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Register" sheetId="3" state="visible" r:id="rId5"/>
    <sheet name="Verified figures" sheetId="4" state="visible" r:id="rId6"/>
    <sheet name="Conflicts" sheetId="5" state="visible" r:id="rId7"/>
    <sheet name="Data gaps" sheetId="6" state="visible" r:id="rId8"/>
    <sheet name="Sources" sheetId="7" state="visible" r:id="rId9"/>
  </sheets>
  <definedNames>
    <definedName function="false" hidden="false" localSheetId="4" name="_xlnm.Print_Titles" vbProcedure="false">Conflicts!$4:$4</definedName>
    <definedName function="false" hidden="false" localSheetId="5" name="_xlnm.Print_Titles" vbProcedure="false">'Data gaps'!$4:$4</definedName>
    <definedName function="false" hidden="true" localSheetId="5" name="_xlnm._FilterDatabase" vbProcedure="false">'Data gaps'!$A$4:$G$25</definedName>
    <definedName function="false" hidden="false" localSheetId="2" name="_xlnm.Print_Titles" vbProcedure="false">Register!$4:$4</definedName>
    <definedName function="false" hidden="true" localSheetId="2" name="_xlnm._FilterDatabase" vbProcedure="false">Register!$A$4:$Q$132</definedName>
    <definedName function="false" hidden="false" localSheetId="6" name="_xlnm.Print_Titles" vbProcedure="false">Sources!$4:$4</definedName>
    <definedName function="false" hidden="false" localSheetId="1" name="_xlnm.Print_Titles" vbProcedure="false">Summary!$4:$4</definedName>
    <definedName function="false" hidden="false" localSheetId="3" name="_xlnm.Print_Titles" vbProcedure="false">'Verified figures'!$4:$4</definedName>
    <definedName function="false" hidden="true" localSheetId="3" name="_xlnm._FilterDatabase" vbProcedure="false">'Verified figures'!$A$4:$I$62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<sst xmlns="http://schemas.openxmlformats.org/spreadsheetml/2006/main" count="2850" uniqueCount="1907">
  <si>
    <t xml:space="preserve">India data centres: data register</t>
  </si>
  <si>
    <t xml:space="preserve">Everything gathered across the 12-report research series and the atlas, with verification status, intended use and what to derive. Built 8 Oct 2026.</t>
  </si>
  <si>
    <t xml:space="preserve">What is in this file</t>
  </si>
  <si>
    <t xml:space="preserve">Register</t>
  </si>
  <si>
    <t xml:space="preserve">One row per dataset (128 datasets): contents and key values, source, verification status, how to use it, what to derive from it, where it is used in the atlas, and the next step to verify or improve it.</t>
  </si>
  <si>
    <t xml:space="preserve">Summary</t>
  </si>
  <si>
    <t xml:space="preserve">Counts of datasets by report and verification status (live formulas).</t>
  </si>
  <si>
    <t xml:space="preserve">Verified figures</t>
  </si>
  <si>
    <t xml:space="preserve">Every individual figure confirmed against its source document during the research, with the link. Where it confirms or corrects a figure from an earlier report, that is noted.</t>
  </si>
  <si>
    <t xml:space="preserve">Conflicts</t>
  </si>
  <si>
    <t xml:space="preserve">Places where two of our sources disagree, which value to use now, and how to resolve it.</t>
  </si>
  <si>
    <t xml:space="preserve">Data gaps</t>
  </si>
  <si>
    <t xml:space="preserve">What is still missing, why it matters, and who to ask.</t>
  </si>
  <si>
    <t xml:space="preserve">Sources</t>
  </si>
  <si>
    <t xml:space="preserve">Source documents, with links where the research captured them.</t>
  </si>
  <si>
    <t xml:space="preserve">Verification status</t>
  </si>
  <si>
    <t xml:space="preserve">Verified</t>
  </si>
  <si>
    <t xml:space="preserve">Confirmed against the primary or authoritative document during the research run (Report 12 recorded this figure by figure). Every value in the row is confirmed unless the note says otherwise.</t>
  </si>
  <si>
    <t xml:space="preserve">Verified (secondary source)</t>
  </si>
  <si>
    <t xml:space="preserve">Confirmed through a secondary summary of the primary document (for example a news report of a tariff order). Good enough for analysis; check the primary before investment decisions.</t>
  </si>
  <si>
    <t xml:space="preserve">Partly verified</t>
  </si>
  <si>
    <t xml:space="preserve">Some values in the row are verified (named in the note), the rest are reported, estimated or modelled.</t>
  </si>
  <si>
    <t xml:space="preserve">Reported, not verified</t>
  </si>
  <si>
    <t xml:space="preserve">Taken from a named published source as cited in Reports 1–11, but not checked against the original document. Most of Reports 1–11 is in this category because those reports recorded sources without a verification step.</t>
  </si>
  <si>
    <t xml:space="preserve">Estimate / proxy</t>
  </si>
  <si>
    <t xml:space="preserve">Analyst estimate, engineering range, proxy or series judgement (for example rubric scores, design temperatures, substation distances).</t>
  </si>
  <si>
    <t xml:space="preserve">Model output</t>
  </si>
  <si>
    <t xml:space="preserve">Calculated by our own formulas from the inputs above (for example worked examples, forecasts, rankings). Only as good as its inputs.</t>
  </si>
  <si>
    <t xml:space="preserve">Unpublished / gap</t>
  </si>
  <si>
    <t xml:space="preserve">No public data exists; the value has to be requested from the owner.</t>
  </si>
  <si>
    <t xml:space="preserve">Important</t>
  </si>
  <si>
    <t xml:space="preserve">What "Verified" means here</t>
  </si>
  <si>
    <t xml:space="preserve">Verification was done during the research runs (mainly Report 12, which checked figures against source documents and labelled each one). Nothing was re-checked when this register was compiled. Where Report 12 later verified a figure first used in an earlier report, the earlier row says so and is marked Partly verified.</t>
  </si>
  <si>
    <t xml:space="preserve">Reports 1–9</t>
  </si>
  <si>
    <t xml:space="preserve">The original nine reports are not stored as files in this workspace; their data is catalogued from the atlas, which carries each figure with its source and an evidence tag (reported / estimate / model).</t>
  </si>
  <si>
    <t xml:space="preserve">Columns to filter</t>
  </si>
  <si>
    <t xml:space="preserve">Use the filter on the Register header. "Verified?" is a formula (Yes / Partly / No) driven by the status column; change a status and it updates.</t>
  </si>
  <si>
    <t xml:space="preserve">Counts (live)</t>
  </si>
  <si>
    <t xml:space="preserve">Total datasets</t>
  </si>
  <si>
    <t xml:space="preserve">Individually verified figures</t>
  </si>
  <si>
    <t xml:space="preserve">Summary by report and status</t>
  </si>
  <si>
    <t xml:space="preserve">Live counts from the Register.</t>
  </si>
  <si>
    <t xml:space="preserve">Report</t>
  </si>
  <si>
    <t xml:space="preserve">Total</t>
  </si>
  <si>
    <t xml:space="preserve">Verified or partly</t>
  </si>
  <si>
    <t xml:space="preserve">R1 Types</t>
  </si>
  <si>
    <t xml:space="preserve">R2 AI vs conventional</t>
  </si>
  <si>
    <t xml:space="preserve">R3 Cooling</t>
  </si>
  <si>
    <t xml:space="preserve">R4 Bengaluru</t>
  </si>
  <si>
    <t xml:space="preserve">R5 Carbon</t>
  </si>
  <si>
    <t xml:space="preserve">R6 Water impact</t>
  </si>
  <si>
    <t xml:space="preserve">R7 Unit economics</t>
  </si>
  <si>
    <t xml:space="preserve">R8 Green</t>
  </si>
  <si>
    <t xml:space="preserve">R9 State policies</t>
  </si>
  <si>
    <t xml:space="preserve">Simulator (R1–R9 synthesis)</t>
  </si>
  <si>
    <t xml:space="preserve">R10 Where to build</t>
  </si>
  <si>
    <t xml:space="preserve">R11 Forecast</t>
  </si>
  <si>
    <t xml:space="preserve">R12 Water &amp; energy</t>
  </si>
  <si>
    <t xml:space="preserve">Reading it</t>
  </si>
  <si>
    <t xml:space="preserve">Report 12 is the only report that verified figures one by one. Earlier reports cited named sources without a verification step, so their rows are "Reported" unless Report 12 later confirmed the same figure. Model outputs and estimates are expected: they are our calculations and judgements, labelled as such.</t>
  </si>
  <si>
    <t xml:space="preserve">Dataset register</t>
  </si>
  <si>
    <t xml:space="preserve">One row per dataset. Status colours follow the README legend. Filter on any column.</t>
  </si>
  <si>
    <t xml:space="preserve">ID</t>
  </si>
  <si>
    <t xml:space="preserve">Theme</t>
  </si>
  <si>
    <t xml:space="preserve">Dataset</t>
  </si>
  <si>
    <t xml:space="preserve">What it contains (key values)</t>
  </si>
  <si>
    <t xml:space="preserve">Unit</t>
  </si>
  <si>
    <t xml:space="preserve">Geography</t>
  </si>
  <si>
    <t xml:space="preserve">As of</t>
  </si>
  <si>
    <t xml:space="preserve">Source(s)</t>
  </si>
  <si>
    <t xml:space="preserve">Link</t>
  </si>
  <si>
    <t xml:space="preserve">Verified?</t>
  </si>
  <si>
    <t xml:space="preserve">Verification note</t>
  </si>
  <si>
    <t xml:space="preserve">How to use it</t>
  </si>
  <si>
    <t xml:space="preserve">What to derive from it</t>
  </si>
  <si>
    <t xml:space="preserve">Used in (atlas)</t>
  </si>
  <si>
    <t xml:space="preserve">Next step to verify or improve</t>
  </si>
  <si>
    <t xml:space="preserve">R1-01</t>
  </si>
  <si>
    <t xml:space="preserve">Market size</t>
  </si>
  <si>
    <t xml:space="preserve">Global data-centre capacity</t>
  </si>
  <si>
    <t xml:space="preserve">~103 GW (2025) → ~200 GW (2030), ~14% CAGR</t>
  </si>
  <si>
    <t xml:space="preserve">GW (IT)</t>
  </si>
  <si>
    <t xml:space="preserve">Global</t>
  </si>
  <si>
    <t xml:space="preserve">Jan 2026</t>
  </si>
  <si>
    <t xml:space="preserve">JLL global outlook, Jan 2026</t>
  </si>
  <si>
    <t xml:space="preserve">Cited by name in Report 1; not checked against the JLL document.</t>
  </si>
  <si>
    <t xml:space="preserve">Global benchmark for India's scale and growth rate.</t>
  </si>
  <si>
    <t xml:space="preserve">India's share of global capacity (1.79 GW ÷ ~103 GW ≈ 1.7%); compare India's ~25% growth with the global 14%.</t>
  </si>
  <si>
    <t xml:space="preserve">Ch 1 headline; Key numbers</t>
  </si>
  <si>
    <t xml:space="preserve">Check against JLL report text.</t>
  </si>
  <si>
    <t xml:space="preserve">R1-02</t>
  </si>
  <si>
    <t xml:space="preserve">Market structure</t>
  </si>
  <si>
    <t xml:space="preserve">Ownership mix of global capacity</t>
  </si>
  <si>
    <t xml:space="preserve">Hyperscale 41% (2024), 44% (2025), 48% (2026), ~67% (2031 proj.); colocation 22/22/20/14%; enterprise on-prem 37/34/32/19%; enterprise 56% in 2018. 20 metros hold 60% of hyperscale; N. Virginia 11%.</t>
  </si>
  <si>
    <t xml:space="preserve">% of capacity</t>
  </si>
  <si>
    <t xml:space="preserve">Apr 2026</t>
  </si>
  <si>
    <t xml:space="preserve">Synergy Research Group</t>
  </si>
  <si>
    <t xml:space="preserve">2031 is a Synergy projection.</t>
  </si>
  <si>
    <t xml:space="preserve">Shows where demand is moving (hyperscale and wholesale colo, away from enterprise rooms).</t>
  </si>
  <si>
    <t xml:space="preserve">Expected Indian demand mix by business model; justify wholesale/hyperscale campuses as the build priority.</t>
  </si>
  <si>
    <t xml:space="preserve">Ch 1 "Who owns the world's capacity" chart</t>
  </si>
  <si>
    <t xml:space="preserve">Confirm against Synergy release.</t>
  </si>
  <si>
    <t xml:space="preserve">R1-03</t>
  </si>
  <si>
    <t xml:space="preserve">Business models</t>
  </si>
  <si>
    <t xml:space="preserve">Six data-centre business models</t>
  </si>
  <si>
    <t xml:space="preserve">Enterprise &lt;1–20 MW; retail colo 1 rack–1 MW; wholesale/BTS 10–100+ MW; hyperscale 30 MW–1 GW+; AI factory 50 MW–5 GW; edge 50 kW–5 MW. Self-build ~13–27% cheaper than leasing in India; &gt;20 MW sites PUE ~1.44.</t>
  </si>
  <si>
    <t xml:space="preserve">MW bands</t>
  </si>
  <si>
    <t xml:space="preserve">Global / India</t>
  </si>
  <si>
    <t xml:space="preserve">2026</t>
  </si>
  <si>
    <t xml:space="preserve">Report 1 synthesis (industry sources); PUE 1.44 for &gt;20 MW from Uptime 2025</t>
  </si>
  <si>
    <t xml:space="preserve">PUE 1.44 for &gt;20 MW sites verified in Report 12 (Uptime 2025); size bands and self-build saving are series estimates.</t>
  </si>
  <si>
    <t xml:space="preserve">Classify any project; feeds the Type finder.</t>
  </si>
  <si>
    <t xml:space="preserve">Which model fits a given size/workload; expected PUE and cost band per type.</t>
  </si>
  <si>
    <t xml:space="preserve">Ch 1 Type explorer and Type finder</t>
  </si>
  <si>
    <t xml:space="preserve">Source the 13–27% self-build saving.</t>
  </si>
  <si>
    <t xml:space="preserve">R1-04</t>
  </si>
  <si>
    <t xml:space="preserve">Reliability</t>
  </si>
  <si>
    <t xml:space="preserve">Uptime Tier availability targets</t>
  </si>
  <si>
    <t xml:space="preserve">Tier I 99.671%, Tier II 99.741%, Tier III 99.982% (1.6 h/yr), Tier IV 99.995%; ANSI/TIA-942 Rated 1–4.</t>
  </si>
  <si>
    <t xml:space="preserve">% availability</t>
  </si>
  <si>
    <t xml:space="preserve">Global standard</t>
  </si>
  <si>
    <t xml:space="preserve">Current</t>
  </si>
  <si>
    <t xml:space="preserve">Uptime Institute Tier Standard</t>
  </si>
  <si>
    <t xml:space="preserve">Standard design targets; not re-checked.</t>
  </si>
  <si>
    <t xml:space="preserve">Set reliability level per workload.</t>
  </si>
  <si>
    <t xml:space="preserve">Allowed downtime = (1 − availability) × 8,760 h; Tier III is the Indian commercial norm.</t>
  </si>
  <si>
    <t xml:space="preserve">Ch 1 Tier clock</t>
  </si>
  <si>
    <t xml:space="preserve">—</t>
  </si>
  <si>
    <t xml:space="preserve">R1-05</t>
  </si>
  <si>
    <t xml:space="preserve">India market</t>
  </si>
  <si>
    <t xml:space="preserve">India operational and pipeline capacity by city</t>
  </si>
  <si>
    <t xml:space="preserve">Operational / upcoming MW: Mumbai 890/1,726; Chennai 214/368; Delhi NCR 183/387; Bengaluru 162/100; Hyderabad 151/710; Pune 133/258; Kolkata 22/84. Total 1,789 MW operational; pipeline 3,860 MW (509 under construction, 3,351 planned); 147 facilities, 33 providers; vacancy 14.9%.</t>
  </si>
  <si>
    <t xml:space="preserve">MW (IT)</t>
  </si>
  <si>
    <t xml:space="preserve">India, 7 markets</t>
  </si>
  <si>
    <t xml:space="preserve">H1 2026 (press release 16 Sep 2026)</t>
  </si>
  <si>
    <t xml:space="preserve">Cushman &amp; Wakefield India Data Centre H1 2026 Update</t>
  </si>
  <si>
    <t xml:space="preserve">Press release figures cited in Reports 1, 10 and 11; city sum (3,633 MW) is 227 MW short of the 3,860 MW total, unexplained.</t>
  </si>
  <si>
    <t xml:space="preserve">Anchor for every capacity number in the atlas: market share, pipeline and the forecast starting point.</t>
  </si>
  <si>
    <t xml:space="preserve">City shares (Mumbai 49.7%); pipeline-to-stock ratios (Hyderabad 4.7×); forecast base C₀ = 1,789 − 178 = 1,611 MW for end-2025.</t>
  </si>
  <si>
    <t xml:space="preserve">Ch 1 city chart; Ch 9 map; Ch 10 demand scores; Ch 11 forecast</t>
  </si>
  <si>
    <t xml:space="preserve">Obtain the full C&amp;W report; reconcile the 227 MW gap.</t>
  </si>
  <si>
    <t xml:space="preserve">R1-06</t>
  </si>
  <si>
    <t xml:space="preserve">Connectivity</t>
  </si>
  <si>
    <t xml:space="preserve">Subsea cable landings and bandwidth concentration</t>
  </si>
  <si>
    <t xml:space="preserve">17–18 international cables at 14–15 landing stations in 5 cities (Mumbai, Chennai, Kochi, Thoothukudi, Thiruvananthapuram); 15 of 17 land within ~6 km of Versova; ~95% of international bandwidth via Mumbai; Chennai 8 cables (JLL); new: SEA-ME-WE 6 Chennai, Google Vizag gateway (3 paths), Meta Waterworth, Jio Digha (unconfirmed).</t>
  </si>
  <si>
    <t xml:space="preserve">Count / %</t>
  </si>
  <si>
    <t xml:space="preserve">India</t>
  </si>
  <si>
    <t xml:space="preserve">Report 1 and Report 10 (TeleGeography-style sources, JLL, Google, Meta announcements)</t>
  </si>
  <si>
    <t xml:space="preserve">The 95% bandwidth share is a series figure without a primary citation.</t>
  </si>
  <si>
    <t xml:space="preserve">Connectivity factor in site ranking; concentration-risk argument.</t>
  </si>
  <si>
    <t xml:space="preserve">Connectivity scores per city; case for east-coast landings; latency to cable heads.</t>
  </si>
  <si>
    <t xml:space="preserve">Ch 1; Ch 10 connectivity scores</t>
  </si>
  <si>
    <t xml:space="preserve">Confirm counts on TeleGeography Submarine Cable Map.</t>
  </si>
  <si>
    <t xml:space="preserve">R1-07</t>
  </si>
  <si>
    <t xml:space="preserve">Investment</t>
  </si>
  <si>
    <t xml:space="preserve">Announced hyperscale and AI investments in India</t>
  </si>
  <si>
    <t xml:space="preserve">Google ≈US$15 bn (1 GW AI hub, Vizag); Microsoft US$17.5 bn; Amazon US$35 bn+ by 2030; Reliance up to 3 GW Jamnagar; Adani ≈US$100 bn by 2035; TCS HyperVault 1 GW+.</t>
  </si>
  <si>
    <t xml:space="preserve">US$ bn / GW</t>
  </si>
  <si>
    <t xml:space="preserve">2025–26</t>
  </si>
  <si>
    <t xml:space="preserve">Company announcements (Report 1)</t>
  </si>
  <si>
    <t xml:space="preserve">Announcements, not built capacity.</t>
  </si>
  <si>
    <t xml:space="preserve">Upside scenarios and pipeline outside C&amp;W's 7 markets.</t>
  </si>
  <si>
    <t xml:space="preserve">Apply 0.2–0.5 conversion to announced capacity (Report 11) to get expected MW.</t>
  </si>
  <si>
    <t xml:space="preserve">Ch 1 callout; Ch 11 extra-campus slider</t>
  </si>
  <si>
    <t xml:space="preserve">Track commissioning, not announcements.</t>
  </si>
  <si>
    <t xml:space="preserve">R2-01</t>
  </si>
  <si>
    <t xml:space="preserve">Energy</t>
  </si>
  <si>
    <t xml:space="preserve">Global data-centre electricity</t>
  </si>
  <si>
    <t xml:space="preserve">415 TWh (2024) → 945 TWh (2030) base; &gt;1,260 TWh high case; ~1,200 TWh (2035). IEA 2026 update: 485 → 950 TWh. US and China ~80% of growth.</t>
  </si>
  <si>
    <t xml:space="preserve">TWh/yr</t>
  </si>
  <si>
    <t xml:space="preserve">Apr 2025 / 2026 update</t>
  </si>
  <si>
    <t xml:space="preserve">IEA, Energy and AI (Apr 2025) and 2026 update</t>
  </si>
  <si>
    <t xml:space="preserve">Two IEA vintages differ for 2024 (415 vs 485 TWh).</t>
  </si>
  <si>
    <t xml:space="preserve">Global context for India's electricity path.</t>
  </si>
  <si>
    <t xml:space="preserve">India's share of global DC electricity (base 2030: 35 TWh ÷ 945 ≈ 3.7%).</t>
  </si>
  <si>
    <t xml:space="preserve">Ch 2 chart; Ch 11 context; Key numbers</t>
  </si>
  <si>
    <t xml:space="preserve">Use the 2026 update consistently.</t>
  </si>
  <si>
    <t xml:space="preserve">R2-02</t>
  </si>
  <si>
    <t xml:space="preserve">AI share of server electricity</t>
  </si>
  <si>
    <t xml:space="preserve">AI servers 24% of server electricity (2024); AI growing ~30%/yr vs ~9% for conventional servers.</t>
  </si>
  <si>
    <t xml:space="preserve">% / %/yr</t>
  </si>
  <si>
    <t xml:space="preserve">2025</t>
  </si>
  <si>
    <t xml:space="preserve">IEA, Energy and AI</t>
  </si>
  <si>
    <t xml:space="preserve">Explains why AI dominates new demand.</t>
  </si>
  <si>
    <t xml:space="preserve">AI share of new Indian capacity assumptions (40% → 70% of new builds in Report 11).</t>
  </si>
  <si>
    <t xml:space="preserve">Ch 2 headline</t>
  </si>
  <si>
    <t xml:space="preserve">R2-03</t>
  </si>
  <si>
    <t xml:space="preserve">Energy per workload</t>
  </si>
  <si>
    <t xml:space="preserve">Energy per query and per training run</t>
  </si>
  <si>
    <t xml:space="preserve">Gemini median text prompt 0.24 Wh and 0.26 mL water (May 2025); ChatGPT avg ~0.34 Wh (Jun 2025); Google search ~0.3 Wh (2009); GPT-4o 500 tokens ~0.3 Wh; 10k/100k-token inputs 2.5/40 Wh; Llama 3.1 405B ≤21.6 GWh (30.84 M H100-hours); GPT-4 training ~50–62 GWh (unofficial).</t>
  </si>
  <si>
    <t xml:space="preserve">Wh / GWh</t>
  </si>
  <si>
    <t xml:space="preserve">2009–2025</t>
  </si>
  <si>
    <t xml:space="preserve">Google (arXiv 2508.15734), OpenAI (Altman), Epoch AI, Meta</t>
  </si>
  <si>
    <t xml:space="preserve">Open source</t>
  </si>
  <si>
    <t xml:space="preserve">Gemini figures verified (Report 12, GOOG25); ChatGPT 0.34 Wh verified via secondary source; others reported or unofficial estimates.</t>
  </si>
  <si>
    <t xml:space="preserve">Per-query footprint comparisons and explainer.</t>
  </si>
  <si>
    <t xml:space="preserve">Water per prompt in India = Wh × (site WUE + grid water); daily load of a service (1 bn messages ≈ 12.5 MW).</t>
  </si>
  <si>
    <t xml:space="preserve">Ch 2 table; Ch 6 and Ch 12 prompt charts</t>
  </si>
  <si>
    <t xml:space="preserve">R2-04</t>
  </si>
  <si>
    <t xml:space="preserve">Hardware</t>
  </si>
  <si>
    <t xml:space="preserve">Rack density and GPU system power</t>
  </si>
  <si>
    <t xml:space="preserve">Enterprise modal ~7–9 kW; air practical ~20 kW; active RDHx ~60 kW; GB200/GB300 NVL72 120–142 kW (HPE 132 kW nominal); Vera Rubin ~190–230 kW (industry estimate); Kyber ~600 kW (2027). DGX H100 10.2 kW; DGX B200 14.3 kW max.</t>
  </si>
  <si>
    <t xml:space="preserve">kW per rack / system</t>
  </si>
  <si>
    <t xml:space="preserve">2025–27</t>
  </si>
  <si>
    <t xml:space="preserve">Nvidia specifications and GTC roadmap; LBNL 2024; NVIDIA DGX B200 guide</t>
  </si>
  <si>
    <t xml:space="preserve">DGX B200 14.3 kW and DGX H100 10.2 kW verified (Report 12); NVL72 ~120 kW verified via secondary source; Rubin figures are estimates.</t>
  </si>
  <si>
    <t xml:space="preserve">Design density for cooling and power chain.</t>
  </si>
  <si>
    <t xml:space="preserve">Racks per MW (1,000 ÷ kW); GPUs per MW; per-GPU energy (NVL72: 18.2 MWh/yr at PUE 1.25).</t>
  </si>
  <si>
    <t xml:space="preserve">Ch 2 rack inspector; Ch 12 energy</t>
  </si>
  <si>
    <t xml:space="preserve">Confirm Rubin specs when published.</t>
  </si>
  <si>
    <t xml:space="preserve">R2-05</t>
  </si>
  <si>
    <t xml:space="preserve">Energy split</t>
  </si>
  <si>
    <t xml:space="preserve">Facility electricity split by class</t>
  </si>
  <si>
    <t xml:space="preserve">IT / cooling / power losses / other (%): legacy PUE~1.9 52/35/10/3; enterprise-colo ~1.55 64/27/7/2; hyperscale ~1.15 88/7.5/3.5/1; AI liquid ~1.2 84/11/4.5/0.5.</t>
  </si>
  <si>
    <t xml:space="preserve">% of facility energy</t>
  </si>
  <si>
    <t xml:space="preserve">Generic</t>
  </si>
  <si>
    <t xml:space="preserve">Series synthesis from PUE ranges and IEA component shares</t>
  </si>
  <si>
    <t xml:space="preserve">Indicative.</t>
  </si>
  <si>
    <t xml:space="preserve">Explain where non-IT energy goes.</t>
  </si>
  <si>
    <t xml:space="preserve">Cooling energy per MW; savings from cooling upgrades.</t>
  </si>
  <si>
    <t xml:space="preserve">Ch 2 chart; simulator overhead split</t>
  </si>
  <si>
    <t xml:space="preserve">R2-06</t>
  </si>
  <si>
    <t xml:space="preserve">Power chain</t>
  </si>
  <si>
    <t xml:space="preserve">Power-chain conversion losses</t>
  </si>
  <si>
    <t xml:space="preserve">Transformer 1–2%; UPS 2–8%; PDU/busway 1–3%; server PSU 4–10%. UPS efficiency: edge 77–85%, colo 80–94%, hyperscale/AI 90–99%. 800 VDC (Kyber, 2027) removes stages.</t>
  </si>
  <si>
    <t xml:space="preserve">% loss</t>
  </si>
  <si>
    <t xml:space="preserve">2024–26</t>
  </si>
  <si>
    <t xml:space="preserve">Industry ranges; LBNL 2024 for UPS efficiency</t>
  </si>
  <si>
    <t xml:space="preserve">UPS efficiency ranges verified (Report 12, LBNL); stage losses are typical ranges.</t>
  </si>
  <si>
    <t xml:space="preserve">PUE build-up and electrical design.</t>
  </si>
  <si>
    <t xml:space="preserve">Loss share of PUE; benefit of high-efficiency UPS / DC distribution.</t>
  </si>
  <si>
    <t xml:space="preserve">Ch 2 power chain; simulator losses</t>
  </si>
  <si>
    <t xml:space="preserve">R2-07</t>
  </si>
  <si>
    <t xml:space="preserve">Grid reliability</t>
  </si>
  <si>
    <t xml:space="preserve">AI load swings and grid events</t>
  </si>
  <si>
    <t xml:space="preserve">NERC: 10 Jul 2024, ~1,500 MW of DC load disconnected (60 load points, 25 substations); ~1,800 MW load loss Feb 2025; ~1,260 MW did not return for hours; one site 450 → 40 MW in 36 s; NERC Level 3 alert 4 May 2026.</t>
  </si>
  <si>
    <t xml:space="preserve">MW</t>
  </si>
  <si>
    <t xml:space="preserve">USA (Virginia)</t>
  </si>
  <si>
    <t xml:space="preserve">NERC/FERC large-loads presentation; POWER; Keentel; NERC alert</t>
  </si>
  <si>
    <t xml:space="preserve">1,500 MW and 1,800 MW events verified (Report 12); 1,260 MW and 450→40 MW via secondary sources; Level 3 alert reported.</t>
  </si>
  <si>
    <t xml:space="preserve">Argue for ride-through and ramp-rate clauses in Indian connection agreements.</t>
  </si>
  <si>
    <t xml:space="preserve">Required BESS/UPS ride-through for &gt;100 MW AI loads.</t>
  </si>
  <si>
    <t xml:space="preserve">Ch 2 load profiles; Ch 12 Example C</t>
  </si>
  <si>
    <t xml:space="preserve">R2-08</t>
  </si>
  <si>
    <t xml:space="preserve">India AI compute</t>
  </si>
  <si>
    <t xml:space="preserve">IndiaAI Mission and Indian AI build-out</t>
  </si>
  <si>
    <t xml:space="preserve">IndiaAI Mission ₹10,372 cr; 38,231 GPUs onboarded across 14 providers (Mar 2026), avg ≈₹65/GPU-hr subsidised; ~20,000 more announced. Yotta NM1 52 MW, 8,192 H100; Reliance Jamnagar up to 3 GW, 120 MW+ H2 2026, Meta lease ~168 MW; Sify DGX-Ready 130 kW/rack, then 200 kW/rack.</t>
  </si>
  <si>
    <t xml:space="preserve">₹ cr / GPUs / MW</t>
  </si>
  <si>
    <t xml:space="preserve">Mar 2026</t>
  </si>
  <si>
    <t xml:space="preserve">PIB (Mar 2026); company announcements</t>
  </si>
  <si>
    <t xml:space="preserve">Size of public AI compute; anchor-tenant evidence.</t>
  </si>
  <si>
    <t xml:space="preserve">IndiaAI GPUs ≈ 40–55 MW of IT (≈3% of national capacity) at 1.0–1.4 kW/GPU.</t>
  </si>
  <si>
    <t xml:space="preserve">Ch 2 India build-out; Ch 7 GPU prices; Ch 11</t>
  </si>
  <si>
    <t xml:space="preserve">Track PIB updates.</t>
  </si>
  <si>
    <t xml:space="preserve">R2-09</t>
  </si>
  <si>
    <t xml:space="preserve">Design comparison</t>
  </si>
  <si>
    <t xml:space="preserve">Conventional vs AI data-centre attributes</t>
  </si>
  <si>
    <t xml:space="preserve">Density 5–15 vs 120–142 → 600 kW; capex JLL shell ≈US$11.3 m/MW + up to US$25 m/MW AI fit-out; India ₹50–55 vs up to ₹75 cr/MW; training sites 300 MW–5 GW, inference 10–200 MW; GPU economic life 3–6 years (contested).</t>
  </si>
  <si>
    <t xml:space="preserve">mixed</t>
  </si>
  <si>
    <t xml:space="preserve">JLL, SBI (Apr 2026), Report 2 synthesis</t>
  </si>
  <si>
    <t xml:space="preserve">GPU life and some ranges contested.</t>
  </si>
  <si>
    <t xml:space="preserve">Planning differences between AI and cloud campuses.</t>
  </si>
  <si>
    <t xml:space="preserve">Siting rule: train near power, serve inference near users.</t>
  </si>
  <si>
    <t xml:space="preserve">Ch 2 tables</t>
  </si>
  <si>
    <t xml:space="preserve">R3-01</t>
  </si>
  <si>
    <t xml:space="preserve">Physics</t>
  </si>
  <si>
    <t xml:space="preserve">Heat-carrying capacity of coolants</t>
  </si>
  <si>
    <t xml:space="preserve">kJ/m³·K: air 1.2; dielectric oil 1,750; two-phase (sensible) 1,850; PG25 4,000; water 4,180. 100 kW at 10 K rise needs ~8 m³/s air vs 2.4 L/s water.</t>
  </si>
  <si>
    <t xml:space="preserve">kJ/m³·K</t>
  </si>
  <si>
    <t xml:space="preserve">Standard physical properties</t>
  </si>
  <si>
    <t xml:space="preserve">Textbook values.</t>
  </si>
  <si>
    <t xml:space="preserve">Explain why liquid cooling wins at high density.</t>
  </si>
  <si>
    <t xml:space="preserve">Flow rates for a given heat load (Q = ρ·cp·V·ΔT).</t>
  </si>
  <si>
    <t xml:space="preserve">Ch 3 chart</t>
  </si>
  <si>
    <t xml:space="preserve">R3-02</t>
  </si>
  <si>
    <t xml:space="preserve">Design limits</t>
  </si>
  <si>
    <t xml:space="preserve">Practical rack-density limits by cooling method</t>
  </si>
  <si>
    <t xml:space="preserve">Perimeter air 15 kW; air + containment 30; active RDHx 70; direct-to-chip and immersion ~250 kW per rack; air stops being practical at 20–40 kW.</t>
  </si>
  <si>
    <t xml:space="preserve">kW per rack</t>
  </si>
  <si>
    <t xml:space="preserve">Report 3 synthesis (vendor and ASHRAE guidance)</t>
  </si>
  <si>
    <t xml:space="preserve">Choose in-room cooling for a target density.</t>
  </si>
  <si>
    <t xml:space="preserve">Which halls are stranded by a density jump; retrofit needs.</t>
  </si>
  <si>
    <t xml:space="preserve">Ch 3 cooling selector</t>
  </si>
  <si>
    <t xml:space="preserve">R3-03</t>
  </si>
  <si>
    <t xml:space="preserve">Heat rejection</t>
  </si>
  <si>
    <t xml:space="preserve">Heat-rejection options: water and energy</t>
  </si>
  <si>
    <t xml:space="preserve">WUE L/kWh: open tower + water-cooled chiller 1.4–2.5; adiabatic 0.1–0.5; hybrid/thermosyphon 0.5–0.7; dry + air-cooled chiller ~0 (+5–15% energy); DLC at W40–W45 + dry 0–0.1; seawater ~0 freshwater.</t>
  </si>
  <si>
    <t xml:space="preserve">L/kWh IT</t>
  </si>
  <si>
    <t xml:space="preserve">Generic, India fit</t>
  </si>
  <si>
    <t xml:space="preserve">Report 3 synthesis; consistent with Report 12 table and LBNL ranking</t>
  </si>
  <si>
    <t xml:space="preserve">Ranges consistent with Report 12 (proxy) and NTT evaporative 1.42–2.93 (verified).</t>
  </si>
  <si>
    <t xml:space="preserve">Pick heat rejection by water stress and climate.</t>
  </si>
  <si>
    <t xml:space="preserve">Site WUE for calculators; water cut from switching designs.</t>
  </si>
  <si>
    <t xml:space="preserve">Ch 3 table; simulator WUE functions</t>
  </si>
  <si>
    <t xml:space="preserve">Replace with metered operator data when disclosed.</t>
  </si>
  <si>
    <t xml:space="preserve">R3-04</t>
  </si>
  <si>
    <t xml:space="preserve">Liquid cooling</t>
  </si>
  <si>
    <t xml:space="preserve">Liquid-cooling technologies compared</t>
  </si>
  <si>
    <t xml:space="preserve">1-phase DLC 50–250 kW+, 70–98% heat to liquid, PUE 1.05–1.20; 2-phase DLC 100–300 kW, PUE 1.04–1.15; 1-phase immersion 100–250 kW/tank, PUE 1.03–1.08; 2-phase immersion 200 kW+, PUE 1.01–1.05 (PFAS risk; 3M exited end-2025).</t>
  </si>
  <si>
    <t xml:space="preserve">kW / PUE</t>
  </si>
  <si>
    <t xml:space="preserve">Vendor and industry reports (Report 3)</t>
  </si>
  <si>
    <t xml:space="preserve">Reported PUEs are vendor claims.</t>
  </si>
  <si>
    <t xml:space="preserve">Technology choice for AI halls.</t>
  </si>
  <si>
    <t xml:space="preserve">PUE and WUE inputs for liquid-cooled cases.</t>
  </si>
  <si>
    <t xml:space="preserve">Ch 3 table</t>
  </si>
  <si>
    <t xml:space="preserve">R3-05</t>
  </si>
  <si>
    <t xml:space="preserve">Market</t>
  </si>
  <si>
    <t xml:space="preserve">Liquid-cooling market size</t>
  </si>
  <si>
    <t xml:space="preserve">Manufacturer revenue US$1.5 bn (2024) → ~3 bn (2025) → ~7 bn (2029); DLC US$1.1 bn (2024) → 5.8 bn (2029), +156% YoY Q2 2025; India US$113 m (2026) → 790 m (2031). 26–50% of projects use liquid for AI (Turner &amp; Townsend).</t>
  </si>
  <si>
    <t xml:space="preserve">US$</t>
  </si>
  <si>
    <t xml:space="preserve">Dell'Oro Group; MarketsandMarkets; Turner &amp; Townsend</t>
  </si>
  <si>
    <t xml:space="preserve">Evidence for fast adoption of liquid cooling.</t>
  </si>
  <si>
    <t xml:space="preserve">Bass diffusion parameters (q ≫ p) for the liquid/dry share in Report 11.</t>
  </si>
  <si>
    <t xml:space="preserve">Ch 3 chart; Ch 11 water model</t>
  </si>
  <si>
    <t xml:space="preserve">R3-06</t>
  </si>
  <si>
    <t xml:space="preserve">Cooling-sector M&amp;A 2024–26</t>
  </si>
  <si>
    <t xml:space="preserve">Eaton–Boyd Thermal US$9.5 bn; Ecolab–CoolIT US$4.75 bn; Vertiv–PurgeRite ~US$1 bn; Schneider–Motivair US$0.85 bn; Trane–LiquidStack (undisclosed). ~US$16 bn total.</t>
  </si>
  <si>
    <t xml:space="preserve">US$ bn</t>
  </si>
  <si>
    <t xml:space="preserve">Company announcements</t>
  </si>
  <si>
    <t xml:space="preserve">Supply-chain and lock-in risk argument.</t>
  </si>
  <si>
    <t xml:space="preserve">Procurement advice: insist on open interfaces (OCP UQD, CDU controls).</t>
  </si>
  <si>
    <t xml:space="preserve">Ch 3</t>
  </si>
  <si>
    <t xml:space="preserve">R3-07</t>
  </si>
  <si>
    <t xml:space="preserve">Regulation</t>
  </si>
  <si>
    <t xml:space="preserve">India HFC phase-down under Kigali Amendment</t>
  </si>
  <si>
    <t xml:space="preserve">Baseline 2024–26; freeze 1 Jan 2028; −10% 2032; −20% 2037; −30% 2042; −85% 2047.</t>
  </si>
  <si>
    <t xml:space="preserve">Dates / % cut</t>
  </si>
  <si>
    <t xml:space="preserve">2016 amendment</t>
  </si>
  <si>
    <t xml:space="preserve">Kigali Amendment to the Montreal Protocol (India: Group 2)</t>
  </si>
  <si>
    <t xml:space="preserve">Refrigerant choice for chillers bought now.</t>
  </si>
  <si>
    <t xml:space="preserve">Specify low-GWP refrigerants (R-1234ze, R-513A, R-32) or chiller-free designs.</t>
  </si>
  <si>
    <t xml:space="preserve">Ch 3; Key numbers</t>
  </si>
  <si>
    <t xml:space="preserve">R3-08</t>
  </si>
  <si>
    <t xml:space="preserve">Climate</t>
  </si>
  <si>
    <t xml:space="preserve">City design temperatures (cooling chapter and simulator)</t>
  </si>
  <si>
    <t xml:space="preserve">Design dry-bulb / wet-bulb °C: Bengaluru 35/23; Hyderabad 41/26; Pune 39/25; Mumbai 35/28; Chennai 38/29; Visakhapatnam 36/28; Delhi NCR 45/29.</t>
  </si>
  <si>
    <t xml:space="preserve">°C</t>
  </si>
  <si>
    <t xml:space="preserve">7 Indian cities</t>
  </si>
  <si>
    <t xml:space="preserve">Indicative 0.4% summer conditions (series estimate)</t>
  </si>
  <si>
    <t xml:space="preserve">Not station data. Report 10 has a separate DB/WB list for 50 cities (also estimates).</t>
  </si>
  <si>
    <t xml:space="preserve">Decide which heat-rejection option can meet a facility water temperature.</t>
  </si>
  <si>
    <t xml:space="preserve">Free-cooling hours, chiller need at peak, PUE by city.</t>
  </si>
  <si>
    <t xml:space="preserve">Ch 3 warm-water explorer; simulator; Ch 4 day model</t>
  </si>
  <si>
    <t xml:space="preserve">Replace with ISHRAE/ASHRAE station design data.</t>
  </si>
  <si>
    <t xml:space="preserve">R3-09</t>
  </si>
  <si>
    <t xml:space="preserve">Operator practice</t>
  </si>
  <si>
    <t xml:space="preserve">Hyperscaler and Indian cooling deployments</t>
  </si>
  <si>
    <t xml:space="preserve">Microsoft: zero-water-evaporation designs since Aug 2024, avoiding &gt;125 million L/yr per site; Google Vizag hub air-cooled heat rejection; Meta air-assisted liquid; AWS in-row HX (Jul 2025). India: NTT NAV1 4.8 MW immersion; Sify 130–200 kW/rack; Yotta RDHx 50–60 kW, DLC 80 kW; leading operators PUE 1.4–1.5; MeitY tenders PUE &lt;1.35; Schneider/Motivair factory Bengaluru, Vertiv Pune.</t>
  </si>
  <si>
    <t xml:space="preserve">Company statements; Microsoft blog (Dec 2024)</t>
  </si>
  <si>
    <t xml:space="preserve">Microsoft 125 million L/yr verified (Report 12); others reported.</t>
  </si>
  <si>
    <t xml:space="preserve">Benchmarks for what is achievable now.</t>
  </si>
  <si>
    <t xml:space="preserve">Target PUE/WUE for new Indian builds.</t>
  </si>
  <si>
    <t xml:space="preserve">R4-01</t>
  </si>
  <si>
    <t xml:space="preserve">City water</t>
  </si>
  <si>
    <t xml:space="preserve">Bengaluru water supply (BWSSB)</t>
  </si>
  <si>
    <t xml:space="preserve">~1,935 MLD delivered of 2,225 MLD capacity; Cauvery Stage V ~485 of 775 MLD; industrial tariff ₹99/kL; STP capacity ~1,348.5 MLD, only ~30 MLD reused commercially at ₹10–20/kL.</t>
  </si>
  <si>
    <t xml:space="preserve">MLD, ₹/kL</t>
  </si>
  <si>
    <t xml:space="preserve">Bengaluru</t>
  </si>
  <si>
    <t xml:space="preserve">Aug 2026</t>
  </si>
  <si>
    <t xml:space="preserve">Karnataka Legislative Council reply (Aug 2026); BWSSB tariff</t>
  </si>
  <si>
    <t xml:space="preserve">Denominator for data-centre water shares; water price in calculators.</t>
  </si>
  <si>
    <t xml:space="preserve">DC share of city supply (50 MW evaporative ≈ 0.09%); treated-water opportunity.</t>
  </si>
  <si>
    <t xml:space="preserve">Ch 4, Ch 6, simulator, Ch 11 city water</t>
  </si>
  <si>
    <t xml:space="preserve">R4-02</t>
  </si>
  <si>
    <t xml:space="preserve">Groundwater</t>
  </si>
  <si>
    <t xml:space="preserve">Bengaluru groundwater extraction</t>
  </si>
  <si>
    <t xml:space="preserve">Bengaluru Urban extraction 1,457 MLD (2024) from ~600 MLD (2020); every taluk over-exploited; Bangalore East ~305% (2024 assessment), Devanahalli 169%; Bangalore East sustainable groundwater ~45 MLD (series estimate).</t>
  </si>
  <si>
    <t xml:space="preserve">% stage of extraction; MLD</t>
  </si>
  <si>
    <t xml:space="preserve">Bengaluru taluks</t>
  </si>
  <si>
    <t xml:space="preserve">2024</t>
  </si>
  <si>
    <t xml:space="preserve">Karnataka dynamic groundwater assessment 2024</t>
  </si>
  <si>
    <t xml:space="preserve">Conflicts with Report 10 (Bangalore East 395% in IN-GRES 2025-26, secondary compilation). See Conflicts tab.</t>
  </si>
  <si>
    <t xml:space="preserve">Water hard filter and scarcity weighting.</t>
  </si>
  <si>
    <t xml:space="preserve">Share of local sustainable groundwater a site would take (50 MW evaporative ≈ 4%).</t>
  </si>
  <si>
    <t xml:space="preserve">Ch 4, Ch 6, Ch 10 filter</t>
  </si>
  <si>
    <t xml:space="preserve">Verify on IN-GRES portal.</t>
  </si>
  <si>
    <t xml:space="preserve">R4-03</t>
  </si>
  <si>
    <t xml:space="preserve">DC water use</t>
  </si>
  <si>
    <t xml:space="preserve">Bengaluru data-centre water use today</t>
  </si>
  <si>
    <t xml:space="preserve">Estimates (MLD): DTE permitted volumes ~2.2; Karnataka IT dept (32 DCs) ~4; series model mixed cooling 4–5; all-evaporative ~8.8; WELL Labs heuristic ~20. BWSSB billing 129,000 L/month for five centres on shared meters; KSPCB cannot quantify.</t>
  </si>
  <si>
    <t xml:space="preserve">MLD</t>
  </si>
  <si>
    <t xml:space="preserve">Down To Earth; Karnataka IT department; WELL Labs; series model</t>
  </si>
  <si>
    <t xml:space="preserve">Fivefold spread; nobody meters it.</t>
  </si>
  <si>
    <t xml:space="preserve">Shows the disclosure gap.</t>
  </si>
  <si>
    <t xml:space="preserve">Range for sector water; case for mandatory metering.</t>
  </si>
  <si>
    <t xml:space="preserve">Ch 4 chart</t>
  </si>
  <si>
    <t xml:space="preserve">Request metered data from BWSSB/KSPCB.</t>
  </si>
  <si>
    <t xml:space="preserve">R4-04</t>
  </si>
  <si>
    <t xml:space="preserve">Water stress event</t>
  </si>
  <si>
    <t xml:space="preserve">March 2024 borewell failure</t>
  </si>
  <si>
    <t xml:space="preserve">6,997 of 14,781 public borewells failed (47%) after a weak 2023 monsoon; BWSSB banned non-essential potable use; tanker prices capped.</t>
  </si>
  <si>
    <t xml:space="preserve">count / %</t>
  </si>
  <si>
    <t xml:space="preserve">Mar 2024</t>
  </si>
  <si>
    <t xml:space="preserve">BWSSB / press reports</t>
  </si>
  <si>
    <t xml:space="preserve">Summer stress test for water supply.</t>
  </si>
  <si>
    <t xml:space="preserve">Tanker trips and storage days needed in a 2024-style summer.</t>
  </si>
  <si>
    <t xml:space="preserve">Ch 6 "Water you can picture" stress test</t>
  </si>
  <si>
    <t xml:space="preserve">R4-05</t>
  </si>
  <si>
    <t xml:space="preserve">Power</t>
  </si>
  <si>
    <t xml:space="preserve">Karnataka electricity denominators</t>
  </si>
  <si>
    <t xml:space="preserve">Karnataka demand ~93,000 MU/yr; household use ~16,089 MU/yr; a Bengaluru home ~1,800 kWh/yr.</t>
  </si>
  <si>
    <t xml:space="preserve">MU</t>
  </si>
  <si>
    <t xml:space="preserve">Karnataka</t>
  </si>
  <si>
    <t xml:space="preserve">FY25</t>
  </si>
  <si>
    <t xml:space="preserve">Report 4 (state energy statistics)</t>
  </si>
  <si>
    <t xml:space="preserve">Express campus energy as share of state demand and homes.</t>
  </si>
  <si>
    <t xml:space="preserve">100 MW AI campus ≈ 841 MU ≈ 5% of household use.</t>
  </si>
  <si>
    <t xml:space="preserve">Ch 4 calculator; simulator</t>
  </si>
  <si>
    <t xml:space="preserve">Confirm with KERC/CEA state data.</t>
  </si>
  <si>
    <t xml:space="preserve">R4-06</t>
  </si>
  <si>
    <t xml:space="preserve">Grid connection</t>
  </si>
  <si>
    <t xml:space="preserve">KERC supply voltage by contract demand</t>
  </si>
  <si>
    <t xml:space="preserve">≤20 MVA 66 kV; ≤35 MVA (55 MVA since June 2025 if feasible) 110 kV; &gt;20 MVA 220 kV dual circuit; 300 MW+ campuses 400 kV.</t>
  </si>
  <si>
    <t xml:space="preserve">MVA / kV</t>
  </si>
  <si>
    <t xml:space="preserve">KERC conditions of supply (as reported)</t>
  </si>
  <si>
    <t xml:space="preserve">Size the grid connection.</t>
  </si>
  <si>
    <t xml:space="preserve">Contract MVA = MW × (PUE + 0.12) ÷ 0.95; voltage class.</t>
  </si>
  <si>
    <t xml:space="preserve">Ch 4; simulator grid connection</t>
  </si>
  <si>
    <t xml:space="preserve">Check KERC supply code text.</t>
  </si>
  <si>
    <t xml:space="preserve">R4-07</t>
  </si>
  <si>
    <t xml:space="preserve">Comparators</t>
  </si>
  <si>
    <t xml:space="preserve">Other water users in Karnataka</t>
  </si>
  <si>
    <t xml:space="preserve">MLD: JSW Vijayanagar 330 (allocation); Raichur TPS ~130; 10 m sq ft IT campus ~6; Toyota Bidadi 4.7; brewery 1.7; 1,000-flat apartments 0.61; 500-bed hospital 0.23.</t>
  </si>
  <si>
    <t xml:space="preserve">Report 4 (company and allocation data; some estimates)</t>
  </si>
  <si>
    <t xml:space="preserve">Mix of allocations and estimates.</t>
  </si>
  <si>
    <t xml:space="preserve">Put data-centre water in context.</t>
  </si>
  <si>
    <t xml:space="preserve">Rank DC water among industrial users.</t>
  </si>
  <si>
    <t xml:space="preserve">Ch 4 comparison chart</t>
  </si>
  <si>
    <t xml:space="preserve">R4-08</t>
  </si>
  <si>
    <t xml:space="preserve">Model</t>
  </si>
  <si>
    <t xml:space="preserve">Bengaluru campus central cases</t>
  </si>
  <si>
    <t xml:space="preserve">20 MW colo ~178 MU/yr, ~33 MVA, 0.60 MLD on site; 50 MW hyperscale evaporative ~1.47 MLD; 100 MW AI ~841 MU/yr, ~140 MVA, 0.13 MLD; 1 GW target all-evaporative ~32 MLD (~1% of supply).</t>
  </si>
  <si>
    <t xml:space="preserve">MU, MVA, MLD</t>
  </si>
  <si>
    <t xml:space="preserve">Report 4 calculations</t>
  </si>
  <si>
    <t xml:space="preserve">Default cases in calculators.</t>
  </si>
  <si>
    <t xml:space="preserve">Energy, connection and water per campus size.</t>
  </si>
  <si>
    <t xml:space="preserve">Ch 4 calculator; Key numbers</t>
  </si>
  <si>
    <t xml:space="preserve">R5-01</t>
  </si>
  <si>
    <t xml:space="preserve">Grid carbon</t>
  </si>
  <si>
    <t xml:space="preserve">India grid emission factor (CEA)</t>
  </si>
  <si>
    <t xml:space="preserve">Weighted average incl. RE, tCO₂/MWh: FY14 0.774; FY21 0.703; FY23 0.716; FY24 0.727; FY25 0.710 (1,234.19 Mt ÷ 1,739.06 BU).</t>
  </si>
  <si>
    <t xml:space="preserve">tCO₂/MWh</t>
  </si>
  <si>
    <t xml:space="preserve">Nov 2025 (v21)</t>
  </si>
  <si>
    <t xml:space="preserve">CEA CO₂ Baseline Database User Guide v21</t>
  </si>
  <si>
    <t xml:space="preserve">FY14 and FY25 verified in Report 12; intermediate years reported in Report 11.</t>
  </si>
  <si>
    <t xml:space="preserve">Carbon for every calculator.</t>
  </si>
  <si>
    <t xml:space="preserve">CO₂ = facility MWh × EF × (1 − clean share); CUE = PUE × EF; ~0.77 at the meter with ~8% losses.</t>
  </si>
  <si>
    <t xml:space="preserve">All calculators; Ch 5; Ch 11 carbon</t>
  </si>
  <si>
    <t xml:space="preserve">R5-02</t>
  </si>
  <si>
    <t xml:space="preserve">Carbon of 1 TWh by supply type</t>
  </si>
  <si>
    <t xml:space="preserve">Mt CO₂ per TWh: India grid avg incl. losses 0.77; Karnataka mix 0.54; marginal coal evening 1.09; 24/7 RE + battery (90% CFE) 0.11; gas CCGT 0.49; France 0.045; Norway 0.025; nuclear 0.009.</t>
  </si>
  <si>
    <t xml:space="preserve">Mt/TWh</t>
  </si>
  <si>
    <t xml:space="preserve">Various</t>
  </si>
  <si>
    <t xml:space="preserve">Report 5 comparison across CEA, Ember, IPCC</t>
  </si>
  <si>
    <t xml:space="preserve">Show that where/when/what you buy matters more than efficiency.</t>
  </si>
  <si>
    <t xml:space="preserve">Carbon range for procurement choices.</t>
  </si>
  <si>
    <t xml:space="preserve">Ch 5 chart</t>
  </si>
  <si>
    <t xml:space="preserve">R5-03</t>
  </si>
  <si>
    <t xml:space="preserve">Grid profile</t>
  </si>
  <si>
    <t xml:space="preserve">Indian grid hourly fossil profile</t>
  </si>
  <si>
    <t xml:space="preserve">Fossil generation ~174 GW at 7 pm vs ~125 GW at 1 pm (H1 2026); Ember India average 670 g/kWh (2025).</t>
  </si>
  <si>
    <t xml:space="preserve">GW; g/kWh</t>
  </si>
  <si>
    <t xml:space="preserve">H1 2026</t>
  </si>
  <si>
    <t xml:space="preserve">Ember (Global Electricity Review 2026, India data)</t>
  </si>
  <si>
    <t xml:space="preserve">Case for shifting load to solar hours.</t>
  </si>
  <si>
    <t xml:space="preserve">Evening vs solar-hour intensity gap.</t>
  </si>
  <si>
    <t xml:space="preserve">Ch 5 headline</t>
  </si>
  <si>
    <t xml:space="preserve">R5-04</t>
  </si>
  <si>
    <t xml:space="preserve">Karnataka hourly carbon curve (illustrative)</t>
  </si>
  <si>
    <t xml:space="preserve">Average intensity by hour 215–610 gCO₂/kWh (low at 13:00, high at 20:00); marginal unit coal 980 (1,080 at 18–22 h). Third-party dashboard 90-day range ~210–603 g.</t>
  </si>
  <si>
    <t xml:space="preserve">gCO₂/kWh</t>
  </si>
  <si>
    <t xml:space="preserve">Modelled third-party dashboard (Report 5)</t>
  </si>
  <si>
    <t xml:space="preserve">No official hourly or marginal factor exists for India.</t>
  </si>
  <si>
    <t xml:space="preserve">Hourly carbon in the 24-hour Bengaluru day and load-shift calculator.</t>
  </si>
  <si>
    <t xml:space="preserve">CO₂ saved per MWh shifted (~0.30 t/MWh evening → solar).</t>
  </si>
  <si>
    <t xml:space="preserve">Ch 4 day model; Ch 5 load shift</t>
  </si>
  <si>
    <t xml:space="preserve">Ask CEA to publish hourly/marginal factors.</t>
  </si>
  <si>
    <t xml:space="preserve">R5-05</t>
  </si>
  <si>
    <t xml:space="preserve">Lifecycle</t>
  </si>
  <si>
    <t xml:space="preserve">Lifecycle carbon by generation source</t>
  </si>
  <si>
    <t xml:space="preserve">gCO₂e/kWh (IPCC AR5 medians): coal 820, gas CCGT 490, solar PV 48, hydro 24, nuclear 12, wind 11. Indian coal units actual 900–1,100.</t>
  </si>
  <si>
    <t xml:space="preserve">gCO₂e/kWh</t>
  </si>
  <si>
    <t xml:space="preserve">2014</t>
  </si>
  <si>
    <t xml:space="preserve">IPCC AR5 Annex III; UNECE LCA</t>
  </si>
  <si>
    <t xml:space="preserve">Compare power sources beyond operational emissions.</t>
  </si>
  <si>
    <t xml:space="preserve">Lifecycle CUE for procurement options.</t>
  </si>
  <si>
    <t xml:space="preserve">R5-06</t>
  </si>
  <si>
    <t xml:space="preserve">Karnataka consumption-mix intensity</t>
  </si>
  <si>
    <t xml:space="preserve">~0.50 tCO₂/MWh (consumption basis).</t>
  </si>
  <si>
    <t xml:space="preserve">Series estimate</t>
  </si>
  <si>
    <t xml:space="preserve">Contested; no official state factor.</t>
  </si>
  <si>
    <t xml:space="preserve">State-specific carbon in Bengaluru cases.</t>
  </si>
  <si>
    <t xml:space="preserve">Karnataka CUE (PUE 1.5 → 0.75 kg/IT-kWh).</t>
  </si>
  <si>
    <t xml:space="preserve">Ch 5; Key numbers</t>
  </si>
  <si>
    <t xml:space="preserve">R5-07</t>
  </si>
  <si>
    <t xml:space="preserve">Projection</t>
  </si>
  <si>
    <t xml:space="preserve">NEP emission-factor path</t>
  </si>
  <si>
    <t xml:space="preserve">0.548 (2026-27) → 0.430 (2031-32) kg/kWh net; draft 0.524 / 0.441. Already ~0.15 off track given FY25 = 0.710.</t>
  </si>
  <si>
    <t xml:space="preserve">NEP 2022-32</t>
  </si>
  <si>
    <t xml:space="preserve">National Electricity Plan 2022-32 (CEA)</t>
  </si>
  <si>
    <t xml:space="preserve">Upper bound for grid decarbonisation.</t>
  </si>
  <si>
    <t xml:space="preserve">Fast EF scenario in the forecast (NEP delayed ~4 years).</t>
  </si>
  <si>
    <t xml:space="preserve">Ch 11 carbon</t>
  </si>
  <si>
    <t xml:space="preserve">R5-08</t>
  </si>
  <si>
    <t xml:space="preserve">Corporate reporting</t>
  </si>
  <si>
    <t xml:space="preserve">Location vs market-based emissions</t>
  </si>
  <si>
    <t xml:space="preserve">Microsoft Scope 2 location-based 4.33 → 9.96 Mt (FY20 → FY24, +130%); market-based 0.456 → 0.259 Mt (−43%). Google 66% hourly CFE globally (2024), 12% in Asia-Pacific. Google +18%, Microsoft +25% emissions growth despite 100% annual RE matching.</t>
  </si>
  <si>
    <t xml:space="preserve">Mt CO₂e; %</t>
  </si>
  <si>
    <t xml:space="preserve">Microsoft and Google sustainability reports</t>
  </si>
  <si>
    <t xml:space="preserve">Show why annual RE matching is not enough.</t>
  </si>
  <si>
    <t xml:space="preserve">Case for hourly CFE targets and dual Scope 2 reporting.</t>
  </si>
  <si>
    <t xml:space="preserve">Ch 5 chart; Ch 8</t>
  </si>
  <si>
    <t xml:space="preserve">R5-09</t>
  </si>
  <si>
    <t xml:space="preserve">Water by source</t>
  </si>
  <si>
    <t xml:space="preserve">Water consumed per MWh by generation source</t>
  </si>
  <si>
    <t xml:space="preserve">L/MWh: coal tower (India actual) ~3,400; CSP wet tower ~3,250; nuclear tower ~2,600; gas CCGT ~850; solar PV 20–100; wind ~0. CSE: ~half of non-seawater coal capacity broke 3.5 m³/MWh; Raichur 87% over.</t>
  </si>
  <si>
    <t xml:space="preserve">L/MWh</t>
  </si>
  <si>
    <t xml:space="preserve">India / global</t>
  </si>
  <si>
    <t xml:space="preserve">CSE; NREL; CEA research</t>
  </si>
  <si>
    <t xml:space="preserve">Coal 2.8–3.4 m³/MWh, nuclear 2.54 L/kWh and the 3.5 m³/MWh norm verified in Report 12; CSP and Raichur reported.</t>
  </si>
  <si>
    <t xml:space="preserve">Power-station (indirect) water in calculators.</t>
  </si>
  <si>
    <t xml:space="preserve">Indirect water = facility kWh × source intensity.</t>
  </si>
  <si>
    <t xml:space="preserve">Ch 5; Ch 6; Ch 12</t>
  </si>
  <si>
    <t xml:space="preserve">R5-10</t>
  </si>
  <si>
    <t xml:space="preserve">Framework</t>
  </si>
  <si>
    <t xml:space="preserve">Five-factor scorecard</t>
  </si>
  <si>
    <t xml:space="preserve">Weights: carbon 30%, water 25%, source 20%, timing 15%, location 10%; each scored 1–5; ≥4 leading, ≥3 improving.</t>
  </si>
  <si>
    <t xml:space="preserve">weights</t>
  </si>
  <si>
    <t xml:space="preserve">Report 5 framework</t>
  </si>
  <si>
    <t xml:space="preserve">Our framework, not an external standard.</t>
  </si>
  <si>
    <t xml:space="preserve">Score a site or power contract.</t>
  </si>
  <si>
    <t xml:space="preserve">Weighted 1–5 score per option.</t>
  </si>
  <si>
    <t xml:space="preserve">Ch 5 scorecard</t>
  </si>
  <si>
    <t xml:space="preserve">R5-11</t>
  </si>
  <si>
    <t xml:space="preserve">Tariff timing</t>
  </si>
  <si>
    <t xml:space="preserve">Time-of-day tariff rules</t>
  </si>
  <si>
    <t xml:space="preserve">India ToD rules: ≥20% off in solar hours, ≥20% extra at peak. Telangana FY26 HT: +₹1.00 at 06–10 and 18–22 h, −₹1.50 at 22–06 h. Maharashtra HT ToD 25%, solar-hour rebate from −15%.</t>
  </si>
  <si>
    <t xml:space="preserve">% / ₹ per unit</t>
  </si>
  <si>
    <t xml:space="preserve">India; TG; MH</t>
  </si>
  <si>
    <t xml:space="preserve">2023–FY26</t>
  </si>
  <si>
    <t xml:space="preserve">Electricity (Rights of Consumers) ToD rules; TGERC; MERC</t>
  </si>
  <si>
    <t xml:space="preserve">Telangana and Maharashtra ToD verified (Report 12); national rule reported.</t>
  </si>
  <si>
    <t xml:space="preserve">Price signal for load shifting.</t>
  </si>
  <si>
    <t xml:space="preserve">Saving from shifting MWh into solar hours.</t>
  </si>
  <si>
    <t xml:space="preserve">Ch 5 load shift; Ch 12 hourly</t>
  </si>
  <si>
    <t xml:space="preserve">R6-01</t>
  </si>
  <si>
    <t xml:space="preserve">50 MW evaporative water balance</t>
  </si>
  <si>
    <t xml:space="preserve">At 80% load (350.4 GWh IT): evaporation 504.6 ML/yr; at CoC 5 withdrawal 646.6 ML (1.77 MLD, peak ~2.4), consumption 508.7 ML (1.39 MLD); WUE 1.85 withdrawal / 1.45 consumption; drift 1.2 ML; non-cooling 14.6 ML; RO recovery 75%.</t>
  </si>
  <si>
    <t xml:space="preserve">ML/yr; L/kWh</t>
  </si>
  <si>
    <t xml:space="preserve">Bengaluru 50 MW case</t>
  </si>
  <si>
    <t xml:space="preserve">Report 6 model</t>
  </si>
  <si>
    <t xml:space="preserve">Separate withdrawal, consumption and discharge.</t>
  </si>
  <si>
    <t xml:space="preserve">Effect of CoC, RO and ZLD on what is drawn vs evaporated.</t>
  </si>
  <si>
    <t xml:space="preserve">Ch 6 water balance</t>
  </si>
  <si>
    <t xml:space="preserve">R6-02</t>
  </si>
  <si>
    <t xml:space="preserve">Monthly withdrawal profile (50 MW evaporative)</t>
  </si>
  <si>
    <t xml:space="preserve">MLD by month: Jan 1.5, Feb 1.68, Mar 2.04, Apr 2.3, May 2.3, Jun 1.77, Jul 1.59, Aug 1.59, Sep 1.68, Oct 1.68, Nov 1.5, Dec 1.5.</t>
  </si>
  <si>
    <t xml:space="preserve">Seasonal peaks coincide with tanker scarcity.</t>
  </si>
  <si>
    <t xml:space="preserve">Peak ÷ average; storage sizing.</t>
  </si>
  <si>
    <t xml:space="preserve">Ch 6 season chart</t>
  </si>
  <si>
    <t xml:space="preserve">Calibrate with metered data.</t>
  </si>
  <si>
    <t xml:space="preserve">R6-03</t>
  </si>
  <si>
    <t xml:space="preserve">Scarcity-weighted water footprint scenarios</t>
  </si>
  <si>
    <t xml:space="preserve">Mm³-eq/yr, on site + off site: A evaporative on Bangalore East groundwater 50.9 + 34.2; B potable 30.5 + 34.2; C treated + RO 15.3 + 34.2; D dry + grid 1.1 + 38.1; E dry + RE PPA 1.1 + 2.5. Impact scores 4.6 (refuse) … 1.9 (preferred).</t>
  </si>
  <si>
    <t xml:space="preserve">Mm³-eq</t>
  </si>
  <si>
    <t xml:space="preserve">Bengaluru 50 MW</t>
  </si>
  <si>
    <t xml:space="preserve">Report 6 model with AWARE-style factors</t>
  </si>
  <si>
    <t xml:space="preserve">Weights illustrative; rankings hold, absolute values do not.</t>
  </si>
  <si>
    <t xml:space="preserve">Compare water impact, not just litres.</t>
  </si>
  <si>
    <t xml:space="preserve">Dry cooling cuts footprint ~54%; adding RE ~96%.</t>
  </si>
  <si>
    <t xml:space="preserve">Ch 6 charts and scorecard</t>
  </si>
  <si>
    <t xml:space="preserve">Use AWARE / Aqueduct factors per catchment.</t>
  </si>
  <si>
    <t xml:space="preserve">R6-04</t>
  </si>
  <si>
    <t xml:space="preserve">Bengaluru scenario WUEs</t>
  </si>
  <si>
    <t xml:space="preserve">Site / source WUE: S1 20 MW colo evaporative 1.80 / 3.90; S2 50 MW evaporative CoC 5 1.85 / 3.80; S3 50 MW dry 0.05 / 2.23; S4 100 MW AI DLC + adiabatic 0.13 / 1.86. Also L per H100-hour and mL per prompt.</t>
  </si>
  <si>
    <t xml:space="preserve">L/kWh</t>
  </si>
  <si>
    <t xml:space="preserve">Show indirect water dominates for dry sites.</t>
  </si>
  <si>
    <t xml:space="preserve">Water per GPU-hour and per prompt.</t>
  </si>
  <si>
    <t xml:space="preserve">Ch 6 table</t>
  </si>
  <si>
    <t xml:space="preserve">R6-05</t>
  </si>
  <si>
    <t xml:space="preserve">Water per prompt</t>
  </si>
  <si>
    <t xml:space="preserve">Water per AI prompt, by boundary</t>
  </si>
  <si>
    <t xml:space="preserve">mL: Bengaluru DLC site only 0.03; Gemini on-site 0.26; DLC site + grid 0.5–0.9; same site on coal ~2; GPT-3 India case 19.7 (Li et al.); Mistral Large 2 full LCA 45.</t>
  </si>
  <si>
    <t xml:space="preserve">mL</t>
  </si>
  <si>
    <t xml:space="preserve">2023–25</t>
  </si>
  <si>
    <t xml:space="preserve">Google; Li et al. (UCR, ACM); Mistral LCA; Report 6 model</t>
  </si>
  <si>
    <t xml:space="preserve">Gemini 0.26 mL and Li et al. 19.7 mL verified (Report 12); Mistral reported; Bengaluru values model.</t>
  </si>
  <si>
    <t xml:space="preserve">Explain boundary choices.</t>
  </si>
  <si>
    <t xml:space="preserve">Per-prompt water for Indian sites.</t>
  </si>
  <si>
    <t xml:space="preserve">Ch 6 and Ch 12 charts</t>
  </si>
  <si>
    <t xml:space="preserve">R6-06</t>
  </si>
  <si>
    <t xml:space="preserve">Water thresholds and disclosure metrics</t>
  </si>
  <si>
    <t xml:space="preserve">Green/amber/red: site consumption WUE ≤0.2 / 0.2–1.0 / &gt;1.0; groundwater for cooling in over-exploited taluk 0% / — / &gt;0%; withdrawal ÷ taluk recharge &lt;0.5% / 0.5–1% / &gt;1%; peak ÷ average &lt;1.5 / 1.5–3 / &gt;3; source WUE &lt;1.0 / 1.0–2.5 / &gt;2.5. Seven monthly metrics to publish.</t>
  </si>
  <si>
    <t xml:space="preserve">thresholds</t>
  </si>
  <si>
    <t xml:space="preserve">Proposed</t>
  </si>
  <si>
    <t xml:space="preserve">Report 6 proposal</t>
  </si>
  <si>
    <t xml:space="preserve">Our proposed thresholds, not regulation.</t>
  </si>
  <si>
    <t xml:space="preserve">Screen sites and set permit conditions.</t>
  </si>
  <si>
    <t xml:space="preserve">Traffic-light rating for any site.</t>
  </si>
  <si>
    <t xml:space="preserve">Ch 6</t>
  </si>
  <si>
    <t xml:space="preserve">R6-07</t>
  </si>
  <si>
    <t xml:space="preserve">Disclosure</t>
  </si>
  <si>
    <t xml:space="preserve">Operator water disclosure status</t>
  </si>
  <si>
    <t xml:space="preserve">Nxtra and CtrlS publish no WUE; CtrlS total water 409,037 kL (2023-24) vs 468,330 kL (2022-23); Yotta claims "extremely low WUE" with no number; Sify's reported withdrawal fell 20× in a year unexplained; NTT omitted water in 2025; AdaniConneX has no standalone report.</t>
  </si>
  <si>
    <t xml:space="preserve">kL</t>
  </si>
  <si>
    <t xml:space="preserve">India operators</t>
  </si>
  <si>
    <t xml:space="preserve">Down To Earth; company reports</t>
  </si>
  <si>
    <t xml:space="preserve">DTE findings and CtrlS volumes verified (Report 12); Sify/NTT/AdaniConneX points reported.</t>
  </si>
  <si>
    <t xml:space="preserve">Evidence of the disclosure gap.</t>
  </si>
  <si>
    <t xml:space="preserve">Case for Karnataka-style mandatory PUE/WUE reporting.</t>
  </si>
  <si>
    <t xml:space="preserve">Ch 6; Ch 12</t>
  </si>
  <si>
    <t xml:space="preserve">Collect BRSR filings.</t>
  </si>
  <si>
    <t xml:space="preserve">R6-08</t>
  </si>
  <si>
    <t xml:space="preserve">Everyday units</t>
  </si>
  <si>
    <t xml:space="preserve">Water conversion norms</t>
  </si>
  <si>
    <t xml:space="preserve">135 L per person per day (CPHEEO); 12,000 L tanker; Olympic pool 2.5 ML.</t>
  </si>
  <si>
    <t xml:space="preserve">L</t>
  </si>
  <si>
    <t xml:space="preserve">CPHEEO manual; common norms</t>
  </si>
  <si>
    <t xml:space="preserve">Turn ML into people, tankers, pools.</t>
  </si>
  <si>
    <t xml:space="preserve">People-equivalent of a site's water.</t>
  </si>
  <si>
    <t xml:space="preserve">Ch 6 water you can picture; Ch 12 calculator</t>
  </si>
  <si>
    <t xml:space="preserve">R7-01</t>
  </si>
  <si>
    <t xml:space="preserve">Build cost</t>
  </si>
  <si>
    <t xml:space="preserve">Global construction cost index</t>
  </si>
  <si>
    <t xml:space="preserve">US$/W (air-cooled): Tokyo 15.2, Singapore 14.5, Zurich 14.2, Silicon Valley 13.3, New Jersey 12.9, Oslo 12.4, London 12.0, Frankfurt 11.6, Atlanta 9.9, Phoenix 9.8, Charlotte 9.5, Mumbai 6.64 (51st of 52; ₹589/W). Inflation +5.5% (2025), +9.0% (2024).</t>
  </si>
  <si>
    <t xml:space="preserve">US$/W</t>
  </si>
  <si>
    <t xml:space="preserve">Turner &amp; Townsend Data Centre Cost Index 2025</t>
  </si>
  <si>
    <t xml:space="preserve">Benchmark Indian capex.</t>
  </si>
  <si>
    <t xml:space="preserve">Mumbai ≈ ₹58.4 cr/MW base for the forecast cost path.</t>
  </si>
  <si>
    <t xml:space="preserve">Ch 7 chart; Ch 11 costs</t>
  </si>
  <si>
    <t xml:space="preserve">R7-02</t>
  </si>
  <si>
    <t xml:space="preserve">Capex stacks for three cases</t>
  </si>
  <si>
    <t xml:space="preserve">₹ cr/MW: A 20 MW Tier III colo — land 5, shell 8.5, electrical 22, cooling 10, backup 4.2, fire/BMS/network 3, soft/contingency/IDC 8.4 → 56.1 excl. land (61.1 incl.). B 50 MW hyperscale BTS 39.2 excl. land (~42 incl.). C 100 MW AI facility 72.5 + GPUs ~266 → ~340 incl. GPUs.</t>
  </si>
  <si>
    <t xml:space="preserve">₹ cr/MW</t>
  </si>
  <si>
    <t xml:space="preserve">Report 7 bottom-up model</t>
  </si>
  <si>
    <t xml:space="preserve">Consistent with T&amp;T Mumbai US$6.64/W and SBI ₹50–55 cr/MW.</t>
  </si>
  <si>
    <t xml:space="preserve">Default capex in simulator and LCOD.</t>
  </si>
  <si>
    <t xml:space="preserve">Capex per case, per rack, per GPU.</t>
  </si>
  <si>
    <t xml:space="preserve">Ch 7; simulator</t>
  </si>
  <si>
    <t xml:space="preserve">Benchmark against actual project disclosures.</t>
  </si>
  <si>
    <t xml:space="preserve">R7-03</t>
  </si>
  <si>
    <t xml:space="preserve">Indian build-cost data points</t>
  </si>
  <si>
    <t xml:space="preserve">SBI: Tier III air ₹50–55 cr/MW, AI/Tier IV up to ₹75; ICRA ~₹47 cr/MW (₹50–55k cr for ~1,100 MW) and ₹62–70 (₹2.0–2.3 lakh cr for 3.0–3.5 GW); C&amp;W ~₹69 (US$29.9 bn for 3,860 MW); Jefferies US$4–5 m/MW; C&amp;W APAC guide US$5.9–9.0 m/MW (secondary); CareEdge ~₹54, costs up 50–70%; US AI premium ×1.7–2.0.</t>
  </si>
  <si>
    <t xml:space="preserve">SBI (Apr 2026); ICRA; C&amp;W; Jefferies; CareEdge; Quartz</t>
  </si>
  <si>
    <t xml:space="preserve">C&amp;W APAC guide seen via a secondary source.</t>
  </si>
  <si>
    <t xml:space="preserve">Cross-check capex model; Wright's-law test.</t>
  </si>
  <si>
    <t xml:space="preserve">Implied learning exponent b ≈ −0.66 (costs rising with volume).</t>
  </si>
  <si>
    <t xml:space="preserve">Ch 7; Ch 11 cost path</t>
  </si>
  <si>
    <t xml:space="preserve">R7-04</t>
  </si>
  <si>
    <t xml:space="preserve">Opex</t>
  </si>
  <si>
    <t xml:space="preserve">Colo opex breakdown (Case A)</t>
  </si>
  <si>
    <t xml:space="preserve">₹ cr/yr: electricity 129; maintenance 15.3; SG&amp;A 15; personnel 7.5; insurance 2.2; DG fuel &amp; testing 1.5; property tax 1.5; network 1; water &amp; chemicals 1 → ~174.</t>
  </si>
  <si>
    <t xml:space="preserve">₹ cr/yr</t>
  </si>
  <si>
    <t xml:space="preserve">20 MW colo</t>
  </si>
  <si>
    <t xml:space="preserve">Report 7 model</t>
  </si>
  <si>
    <t xml:space="preserve">Show power dominates colo opex.</t>
  </si>
  <si>
    <t xml:space="preserve">Opex per MW; power share of cost (39%).</t>
  </si>
  <si>
    <t xml:space="preserve">Ch 7 chart</t>
  </si>
  <si>
    <t xml:space="preserve">R7-05</t>
  </si>
  <si>
    <t xml:space="preserve">Levelised cost</t>
  </si>
  <si>
    <t xml:space="preserve">LCOD and break-even rent</t>
  </si>
  <si>
    <t xml:space="preserve">Case A LCOD ₹29.7 per IT-kWh (electricity ₹11.7, 39%); break-even ₹13,647/kW-month incl. power; sensitivities: utilisation 22–35, capex ±10% 28.3–31.1, PUE 1.35/1.65 28.5–30.9, tariff ±₹1 28.2–31.2, WACC 10/12% 28.8–30.6.</t>
  </si>
  <si>
    <t xml:space="preserve">₹/IT-kWh</t>
  </si>
  <si>
    <t xml:space="preserve">Price a colo deal.</t>
  </si>
  <si>
    <t xml:space="preserve">CRF = r(1+r)ⁿ/((1+r)ⁿ−1); break-even rent; which lever matters most (utilisation).</t>
  </si>
  <si>
    <t xml:space="preserve">Ch 7 calculator and tornado; simulator</t>
  </si>
  <si>
    <t xml:space="preserve">R7-06</t>
  </si>
  <si>
    <t xml:space="preserve">Returns</t>
  </si>
  <si>
    <t xml:space="preserve">Returns by business model</t>
  </si>
  <si>
    <t xml:space="preserve">Colo: capex ₹61 cr/MW, EBITDA 42%, payback 9.6 yrs, IRR ~9.5%, power 39% of cost. Hyperscale BTS: ₹42 cr, 84% of rent, 7.1 yrs, ~14.7%, 48%. AI neocloud: ₹340 cr, 90%, 3.2 yrs, 21.5% → negative, ~6%.</t>
  </si>
  <si>
    <t xml:space="preserve">% / years</t>
  </si>
  <si>
    <t xml:space="preserve">Compare investment cases.</t>
  </si>
  <si>
    <t xml:space="preserve">Which model earns its cost of capital.</t>
  </si>
  <si>
    <t xml:space="preserve">Ch 7 table</t>
  </si>
  <si>
    <t xml:space="preserve">R7-07</t>
  </si>
  <si>
    <t xml:space="preserve">Rents and markets</t>
  </si>
  <si>
    <t xml:space="preserve">Rents, cap rates and power cost: India vs US vs Singapore</t>
  </si>
  <si>
    <t xml:space="preserve">Build US$/W 6.64 / 9.5–13.3 / 14.5; rent US$/kW/month 80–100 / 160–225 / 300–475; electricity US$ m/MW/yr 0.7–0.9 / ~1.22 / ~1.7; cap rate 7.5–8.5% / 4.5–6.5% / 5.0–6.5%. Mumbai 1–5 MW colo rent ₹6,500–8,000/kW/month. Nxtra raise (Mar 2026) ≈US$7 m per operating MW.</t>
  </si>
  <si>
    <t xml:space="preserve">US$; ₹/kW-month</t>
  </si>
  <si>
    <t xml:space="preserve">India, US, Singapore</t>
  </si>
  <si>
    <t xml:space="preserve">Cushman &amp; Wakefield; CBRE; JLL; press</t>
  </si>
  <si>
    <t xml:space="preserve">Market pricing check for LCOD.</t>
  </si>
  <si>
    <t xml:space="preserve">Spread between break-even and market rent.</t>
  </si>
  <si>
    <t xml:space="preserve">Ch 7 table; simulator</t>
  </si>
  <si>
    <t xml:space="preserve">R7-08</t>
  </si>
  <si>
    <t xml:space="preserve">GPU economics</t>
  </si>
  <si>
    <t xml:space="preserve">GPU-hour market prices</t>
  </si>
  <si>
    <t xml:space="preserve">₹/GPU-hr (H100-class, Oct 2026): IndiaAI L1 150 (users ~92 after subsidy; L1 standard ₹115.85); JarvisLabs 218; OCPI-H100 US$2.79 ≈251; E2E 255.55; Yotta ~269 dedicated / 356 on-demand; Neysa 395 on-demand, ~219 on 36-month; Cyfuture 219; hyperscalers 540–1,080. Global H100 peak ~US$8 (early 2024); SemiAnalysis US$1.70 (Oct 2025) → 2.35 (early 2026); contract prices +~40% Oct 2025–Mar 2026.</t>
  </si>
  <si>
    <t xml:space="preserve">₹ or US$ per GPU-hour</t>
  </si>
  <si>
    <t xml:space="preserve">Oct 2026</t>
  </si>
  <si>
    <t xml:space="preserve">IndiaAI tenders; provider price lists; SemiAnalysis; Neysa; OCPI index</t>
  </si>
  <si>
    <t xml:space="preserve">Trade press and price pages; prices move monthly.</t>
  </si>
  <si>
    <t xml:space="preserve">Benchmark the GPU-hour cost model.</t>
  </si>
  <si>
    <t xml:space="preserve">Break-even utilisation; GPU price decline path (base −20%/yr).</t>
  </si>
  <si>
    <t xml:space="preserve">Ch 7 GPU chart; Ch 11 GPU path</t>
  </si>
  <si>
    <t xml:space="preserve">Re-scrape prices quarterly.</t>
  </si>
  <si>
    <t xml:space="preserve">R7-09</t>
  </si>
  <si>
    <t xml:space="preserve">GPU cost model inputs and result</t>
  </si>
  <si>
    <t xml:space="preserve">HGX capex: H100 ~US$275k per 8, H200 ~315k, B200 ~450k; kW per GPU incl. server 1.4 (H100/H200), 2.0 (B200); PUE 1.35; colo ₹7,000/kW-month; ₹70k/yr ops; life 5 yrs; WACC 11%. Result: H100 ≈ ₹178/GPU-hr at 80% use; break-even 96% vs IndiaAI ₹150, 55% vs E2E ₹255.55. GB300 rack price contested US$3.7–6.5 m.</t>
  </si>
  <si>
    <t xml:space="preserve">₹/GPU-hr</t>
  </si>
  <si>
    <t xml:space="preserve">Report 7 model; market prices for hardware</t>
  </si>
  <si>
    <t xml:space="preserve">Hardware prices are estimates.</t>
  </si>
  <si>
    <t xml:space="preserve">Rent vs own decision.</t>
  </si>
  <si>
    <t xml:space="preserve">Cost per GPU-hour at any utilisation; renting beats owning below ~55%.</t>
  </si>
  <si>
    <t xml:space="preserve">Ch 7 GPU calculator</t>
  </si>
  <si>
    <t xml:space="preserve">R7-10</t>
  </si>
  <si>
    <t xml:space="preserve">Land</t>
  </si>
  <si>
    <t xml:space="preserve">Land prices by hub</t>
  </si>
  <si>
    <t xml:space="preserve">₹ cr/acre: Navi Mumbai 15–40 (in-fill ~80); MIDC TTC base ₹31,390/m² (≈₹12.7 cr/acre), market ₹45,000–60,000/m², STT paid ₹282 cr for 14,093 m² incl. building (May 2026); Taloja ₹12,100/m²; Chennai Ambattur 8–15, Oragadam 3–8; Hyderabad 2–6; Bengaluru Devanahalli/Hoskote 4–10 (estimate); YEIDA residential ₹36,260/m² (2026). Land is 4–8% of capex.</t>
  </si>
  <si>
    <t xml:space="preserve">₹ cr/acre</t>
  </si>
  <si>
    <t xml:space="preserve">India hubs</t>
  </si>
  <si>
    <t xml:space="preserve">MIDC rates; transactions; Report 7 and Report 10</t>
  </si>
  <si>
    <t xml:space="preserve">MIDC and YEIDA rates reported with named sources; Bengaluru figure is an estimate.</t>
  </si>
  <si>
    <t xml:space="preserve">Land line in capex.</t>
  </si>
  <si>
    <t xml:space="preserve">Land share of capex by city.</t>
  </si>
  <si>
    <t xml:space="preserve">Ch 7; simulator land</t>
  </si>
  <si>
    <t xml:space="preserve">Get industrial DC rates for YEIDA.</t>
  </si>
  <si>
    <t xml:space="preserve">R7-11</t>
  </si>
  <si>
    <t xml:space="preserve">Power price</t>
  </si>
  <si>
    <t xml:space="preserve">Grid HT tariffs used in Reports 7 and simulator</t>
  </si>
  <si>
    <t xml:space="preserve">Energy + demand: Karnataka ₹6.70 + ₹365/kVA; Maharashtra ₹7.27 + ₹560; Tamil Nadu ₹7.50 + ₹608; Telangana ₹6.65 + ₹500 (FY2025–26 orders). UP ₹7.4, AP ₹7.2 (not verified). RTC renewable SECI tranche V ₹5.25–5.26 at bus.</t>
  </si>
  <si>
    <t xml:space="preserve">₹/kWh; ₹/kVA-month</t>
  </si>
  <si>
    <t xml:space="preserve">6 states</t>
  </si>
  <si>
    <t xml:space="preserve">FY2025–26</t>
  </si>
  <si>
    <t xml:space="preserve">State commission tariff orders</t>
  </si>
  <si>
    <t xml:space="preserve">Telangana verified and TN verified-secondary in Report 12. Karnataka (Report 12 verified 660 paise + ₹345) and Maharashtra (₹7.48 + ₹555 FY26) differ — see Conflicts.</t>
  </si>
  <si>
    <t xml:space="preserve">Power cost in simulator and LCOD.</t>
  </si>
  <si>
    <t xml:space="preserve">Annual power bill; RE saving vs grid (₹0.8–1.5/kWh in MH/TN).</t>
  </si>
  <si>
    <t xml:space="preserve">Simulator; Ch 7</t>
  </si>
  <si>
    <t xml:space="preserve">Update simulator to Report 12 verified rates.</t>
  </si>
  <si>
    <t xml:space="preserve">R8-01</t>
  </si>
  <si>
    <t xml:space="preserve">Twelve dimensions of a green data centre</t>
  </si>
  <si>
    <t xml:space="preserve">Targets: PUE ≤1.30 air / ≤1.20 liquid AI; hourly CFE ≥70–80%, CUE ≤0.3; freshwater WUE ≤0.2; embodied carbon −30–40%; ≥90% assets reused; low-GWP refrigerants; diesel run-hours tracked; flexible MW; public disclosure.</t>
  </si>
  <si>
    <t xml:space="preserve">targets</t>
  </si>
  <si>
    <t xml:space="preserve">India-calibrated</t>
  </si>
  <si>
    <t xml:space="preserve">Report 8 framework</t>
  </si>
  <si>
    <t xml:space="preserve">Our framework.</t>
  </si>
  <si>
    <t xml:space="preserve">Define "green" for Indian sites.</t>
  </si>
  <si>
    <t xml:space="preserve">Checklist for design and procurement.</t>
  </si>
  <si>
    <t xml:space="preserve">Ch 8 grid</t>
  </si>
  <si>
    <t xml:space="preserve">R8-02</t>
  </si>
  <si>
    <t xml:space="preserve">Green upgrade, 20 MW Bengaluru colo</t>
  </si>
  <si>
    <t xml:space="preserve">Capex premium ₹60 cr; savings ₹35.5 cr/yr (efficiency 24.5, RE 9.2); payback 2.3 yrs; CO₂ avoided ~108,843 t/yr (83%); freshwater saved ~196 ML/yr; abatement −₹2,536/t. Inputs: PUE 1.50 → 1.25, 80% hourly RE, grid ₹8.00 vs RE ₹7.25, water ₹90/kL.</t>
  </si>
  <si>
    <t xml:space="preserve">₹ cr; t; ML</t>
  </si>
  <si>
    <t xml:space="preserve">Bengaluru 20 MW</t>
  </si>
  <si>
    <t xml:space="preserve">Report 8 model</t>
  </si>
  <si>
    <t xml:space="preserve">Business case for green design.</t>
  </si>
  <si>
    <t xml:space="preserve">Payback and marginal abatement cost.</t>
  </si>
  <si>
    <t xml:space="preserve">Ch 8 calculator; Key numbers</t>
  </si>
  <si>
    <t xml:space="preserve">R8-03</t>
  </si>
  <si>
    <t xml:space="preserve">Abatement cost by measure</t>
  </si>
  <si>
    <t xml:space="preserve">₹/tCO₂: efficiency + water −8,450; RE at ₹0.75 discount −1,060; full package −2,540; RE at ₹0.50 premium +700. India carbon credit price ~₹955/t (expected initial); EU ETS ~€84/t.</t>
  </si>
  <si>
    <t xml:space="preserve">₹/tCO₂</t>
  </si>
  <si>
    <t xml:space="preserve">Report 8 model; carbon prices reported</t>
  </si>
  <si>
    <t xml:space="preserve">Carbon prices are reported context.</t>
  </si>
  <si>
    <t xml:space="preserve">Rank green measures.</t>
  </si>
  <si>
    <t xml:space="preserve">Which measures pay for themselves.</t>
  </si>
  <si>
    <t xml:space="preserve">Ch 8 MAC chart</t>
  </si>
  <si>
    <t xml:space="preserve">R8-04</t>
  </si>
  <si>
    <t xml:space="preserve">PUE and green thresholds worldwide</t>
  </si>
  <si>
    <t xml:space="preserve">EU A–G grades from Aug 2027 (A: PUE ≤1.15, WUE ≤0.10), EED reporting ≥500 kW; Germany EnEfG new sites PUE ≤1.2 from Jul 2026, 100% RE from 2027; Singapore 2026: PUE 1.25, ≥50% green; China new large DCs ≤1.25 (hubs ≤1.2, ≥80% RE); MeitY tenders &lt;1.35; Karnataka ₹20 cr for ≤1.20; global average 1.54.</t>
  </si>
  <si>
    <t xml:space="preserve">PUE</t>
  </si>
  <si>
    <t xml:space="preserve">2024–27</t>
  </si>
  <si>
    <t xml:space="preserve">EU Delegated Reg. 2024/1364; EnEfG; IMDA; China MIIT; MeitY; Uptime</t>
  </si>
  <si>
    <t xml:space="preserve">EU reporting rule verified; EU rating scheme verified via secondary source; Uptime 1.54 verified (Report 12); others reported.</t>
  </si>
  <si>
    <t xml:space="preserve">Benchmark Indian targets.</t>
  </si>
  <si>
    <t xml:space="preserve">Gap between Indian practice (1.4–1.5) and leading rules.</t>
  </si>
  <si>
    <t xml:space="preserve">Ch 8 chart</t>
  </si>
  <si>
    <t xml:space="preserve">R8-05</t>
  </si>
  <si>
    <t xml:space="preserve">Clean power</t>
  </si>
  <si>
    <t xml:space="preserve">Clean-power routes and landed cost</t>
  </si>
  <si>
    <t xml:space="preserve">₹/kWh landed: rooftop 3–4 (&lt;2–5% of load); group captive 5.5–7; third-party OA 6.5–8; ISTS hybrid 5–6.5 + charges; SECI RTC/FDRE ~5.25 + delivery; unbundled RECs +0.1–0.3. KERC 2025 banking: monthly, 8% charge in kind.</t>
  </si>
  <si>
    <t xml:space="preserve">₹/kWh</t>
  </si>
  <si>
    <t xml:space="preserve">Report 8 synthesis; SECI; KERC</t>
  </si>
  <si>
    <t xml:space="preserve">SECI ₹5.25 verified (Report 12). Report 12 refines landed costs: group captive ₹6.5–7.5, third-party ISTS ₹8.5–10 with surcharges — see Conflicts.</t>
  </si>
  <si>
    <t xml:space="preserve">Choose a procurement route.</t>
  </si>
  <si>
    <t xml:space="preserve">Blended power price; carbon and water by route.</t>
  </si>
  <si>
    <t xml:space="preserve">Ch 8 table; simulator RE price</t>
  </si>
  <si>
    <t xml:space="preserve">Use Report 12 landed-cost build-ups.</t>
  </si>
  <si>
    <t xml:space="preserve">R8-06</t>
  </si>
  <si>
    <t xml:space="preserve">Operators</t>
  </si>
  <si>
    <t xml:space="preserve">Indian operators' green disclosures</t>
  </si>
  <si>
    <t xml:space="preserve">Nxtra: 49% RE in core DCs (FY25), RE100, 70% target by 2027, net zero 2031, wheeling 140,208 MWh/yr cutting 99,547 tCO₂e; AdaniConneX US$875 m sustainability-linked loan (Report 8) / US$1.44 bn (Report 11); Sify &gt;231 MW RE contracted; CtrlS captive solar, NTPC Green up to 2 GW, 100% RE by 2030; Yotta green tariff via TUCO; Meta ~1 GW RE in India; DCs 13.6% of open-access demand (CB Insights).</t>
  </si>
  <si>
    <t xml:space="preserve">% / MW / US$</t>
  </si>
  <si>
    <t xml:space="preserve">Company reports and announcements</t>
  </si>
  <si>
    <t xml:space="preserve">AdaniConneX financing figures differ between reports (likely different instruments).</t>
  </si>
  <si>
    <t xml:space="preserve">Benchmark clean-power share.</t>
  </si>
  <si>
    <t xml:space="preserve">Fleet clean share for carbon forecast (30% in 2026).</t>
  </si>
  <si>
    <t xml:space="preserve">Ch 8 table; Ch 11 carbon</t>
  </si>
  <si>
    <t xml:space="preserve">Reconcile AdaniConneX figures.</t>
  </si>
  <si>
    <t xml:space="preserve">R8-07</t>
  </si>
  <si>
    <t xml:space="preserve">Green maturity ladder L1–L5</t>
  </si>
  <si>
    <t xml:space="preserve">Eight dimensions (energy, carbon, water, materials, circularity, heat, backup, transparency); Indian leaders mostly L2–L3; heat reuse weakest (L1).</t>
  </si>
  <si>
    <t xml:space="preserve">levels</t>
  </si>
  <si>
    <t xml:space="preserve">Report 8 India-calibrated ladder (series judgement)</t>
  </si>
  <si>
    <t xml:space="preserve">Self-assessment.</t>
  </si>
  <si>
    <t xml:space="preserve">Average level and weakest dimension.</t>
  </si>
  <si>
    <t xml:space="preserve">Ch 8 radar</t>
  </si>
  <si>
    <t xml:space="preserve">R9-01</t>
  </si>
  <si>
    <t xml:space="preserve">Policy register</t>
  </si>
  <si>
    <t xml:space="preserve">State data-centre policy register</t>
  </si>
  <si>
    <t xml:space="preserve">15–16 states: instrument, status (active/expiring/lapsed/legacy), power incentives, green conditions, targets, land and approvals, projects. E.g. Maharashtra IT/ITeS 2023 + Green DC Park GRs (ED waiver 20 yrs, ₹1/unit, RE floor 100% → 51% in Jun 2026); Tamil Nadu 2021 lapsed 31 Mar 2026; West Bengal lapses ~Sep 2026; UP 2026; Gujarat 2026–29 (7.5 GW, ₹6 lakh cr); Karnataka 2026–31 (1 GW, ₹1,300.45 cr); AP Policy 4.0.</t>
  </si>
  <si>
    <t xml:space="preserve">text</t>
  </si>
  <si>
    <t xml:space="preserve">India states</t>
  </si>
  <si>
    <t xml:space="preserve">State policy documents and GRs; cabinet notes and press</t>
  </si>
  <si>
    <t xml:space="preserve">Gazette numbers not located for Karnataka, UP and Gujarat 2026; some items from press.</t>
  </si>
  <si>
    <t xml:space="preserve">Compare state regimes; incentives in simulator.</t>
  </si>
  <si>
    <t xml:space="preserve">Incentive value per site; renewal risk.</t>
  </si>
  <si>
    <t xml:space="preserve">Ch 9 table and map; simulator incentives</t>
  </si>
  <si>
    <t xml:space="preserve">Obtain gazette copies.</t>
  </si>
  <si>
    <t xml:space="preserve">R9-02</t>
  </si>
  <si>
    <t xml:space="preserve">Scoring</t>
  </si>
  <si>
    <t xml:space="preserve">State attractiveness factor scores</t>
  </si>
  <si>
    <t xml:space="preserve">Seven factors scored 0–10 per state (power, renewables, connectivity, incentives, land, water, regulatory); report weights 25/15/15/15/10/10/10. Index e.g. Maharashtra 7.6, AP 7.3, Telangana 7.2, Gujarat 7.0, UP 6.7, TN 6.5, Odisha 6.3, Rajasthan 6.1, Karnataka 6.0. Sustainability ranks 1–8.</t>
  </si>
  <si>
    <t xml:space="preserve">0–10</t>
  </si>
  <si>
    <t xml:space="preserve">12 states</t>
  </si>
  <si>
    <t xml:space="preserve">Report 9 judgement</t>
  </si>
  <si>
    <t xml:space="preserve">Not published data.</t>
  </si>
  <si>
    <t xml:space="preserve">Rank states for a use case.</t>
  </si>
  <si>
    <t xml:space="preserve">Weighted policy index; policy score input for Ch 10.</t>
  </si>
  <si>
    <t xml:space="preserve">Ch 9 index; map colouring</t>
  </si>
  <si>
    <t xml:space="preserve">R9-03</t>
  </si>
  <si>
    <t xml:space="preserve">Incentives</t>
  </si>
  <si>
    <t xml:space="preserve">Electricity-duty holidays and tariff subsidies</t>
  </si>
  <si>
    <t xml:space="preserve">Duty holiday years: TN 5, WB 5, Rajasthan 7, UP 10, Odisha 10, Haryana 20, Maharashtra 20, Gujarat 20. ₹1/unit subsidies went from 5 yrs (Gujarat 2022) to 20 yrs (Gujarat 2026; Maharashtra ≥₹60,000 cr). No state publishes disbursements.</t>
  </si>
  <si>
    <t xml:space="preserve">years</t>
  </si>
  <si>
    <t xml:space="preserve">8 states</t>
  </si>
  <si>
    <t xml:space="preserve">State policies</t>
  </si>
  <si>
    <t xml:space="preserve">Incentive race chart; incentive value.</t>
  </si>
  <si>
    <t xml:space="preserve">Present value of duty waivers (modelled at 7.5% of energy charge).</t>
  </si>
  <si>
    <t xml:space="preserve">Ch 9 chart; simulator</t>
  </si>
  <si>
    <t xml:space="preserve">R9-04</t>
  </si>
  <si>
    <t xml:space="preserve">Validity</t>
  </si>
  <si>
    <t xml:space="preserve">Policy validity periods</t>
  </si>
  <si>
    <t xml:space="preserve">Start and end dates of each state's main data-centre instrument (e.g. Telangana 2016–2027, TN 2021–Mar 2026, WB 2021–Sep 2026, UP 2021–2026 replaced, Haryana 2022–2029, Odisha 2022–2027, Maharashtra IT 2023–2028).</t>
  </si>
  <si>
    <t xml:space="preserve">dates</t>
  </si>
  <si>
    <t xml:space="preserve">States</t>
  </si>
  <si>
    <t xml:space="preserve">Show renewal risk.</t>
  </si>
  <si>
    <t xml:space="preserve">States in renewal limbo.</t>
  </si>
  <si>
    <t xml:space="preserve">Ch 9 validity chart</t>
  </si>
  <si>
    <t xml:space="preserve">R9-05</t>
  </si>
  <si>
    <t xml:space="preserve">Central framework</t>
  </si>
  <si>
    <t xml:space="preserve">Central data-centre framework</t>
  </si>
  <si>
    <t xml:space="preserve">Draft National DC Policy (2020) never notified; infrastructure status (Oct 2022) for DCs ≥5 MW; Budget 2026–27 tax holiday to 31 Mar 2047 for foreign cloud firms using Indian DCs; DPDP Rules (Nov 2025); Green Energy Open Access Rules 2022 (100 kW threshold); IndiaAI Mission.</t>
  </si>
  <si>
    <t xml:space="preserve">2020–26</t>
  </si>
  <si>
    <t xml:space="preserve">Gazette notifications; Finance Act 2026; MeitY</t>
  </si>
  <si>
    <t xml:space="preserve">GEOA Rules 2022 verified (Report 12 gazette); others reported.</t>
  </si>
  <si>
    <t xml:space="preserve">National context for state competition.</t>
  </si>
  <si>
    <t xml:space="preserve">Which levers are national vs state.</t>
  </si>
  <si>
    <t xml:space="preserve">Ch 9 table</t>
  </si>
  <si>
    <t xml:space="preserve">R9-06</t>
  </si>
  <si>
    <t xml:space="preserve">Controversy</t>
  </si>
  <si>
    <t xml:space="preserve">Siting controversies and policy critiques</t>
  </si>
  <si>
    <t xml:space="preserve">Vizag Google–Adani campus: Jal Biradari PIL on water near Kambalakonda sanctuary, PIL on 160 acres of temple land, protests at Tarluvada; Karnataka minister called AP's ~₹22,000 cr package "an economic disaster" (unpublished); CEEW (Feb 2026): 5 of 15 policies had sustainability provisions (~8 of 16 now).</t>
  </si>
  <si>
    <t xml:space="preserve">Press reports; CEEW &amp; Systemiq (Feb 2026)</t>
  </si>
  <si>
    <t xml:space="preserve">AP package value is a claim; terms unpublished.</t>
  </si>
  <si>
    <t xml:space="preserve">Social-licence risk.</t>
  </si>
  <si>
    <t xml:space="preserve">Risk flags for siting.</t>
  </si>
  <si>
    <t xml:space="preserve">Ch 9</t>
  </si>
  <si>
    <t xml:space="preserve">SIM-01</t>
  </si>
  <si>
    <t xml:space="preserve">Model inputs</t>
  </si>
  <si>
    <t xml:space="preserve">Simulator city parameters</t>
  </si>
  <si>
    <t xml:space="preserve">Per city (Bengaluru, Mumbai, Chennai, Hyderabad, Noida, Vizag): design DB/WB, land ₹3–20 cr/acre, tariff and demand charge, RE price ₹5.5–6.2, power-station water (KA 1.5, others 2.2 L/kWh), water stress weight, water price (BWSSB ₹99/kL; ₹80 elsewhere; groundwater ₹20; treated + RO ₹40).</t>
  </si>
  <si>
    <t xml:space="preserve">6 cities</t>
  </si>
  <si>
    <t xml:space="preserve">Reports 3–7 (see Assumptions table in the simulator)</t>
  </si>
  <si>
    <t xml:space="preserve">Tariffs partly verified; grid carbon 0.710 verified; power-station water now superseded by Report 12 proxies (KA 1.5–2.2; others 2.8–3.4).</t>
  </si>
  <si>
    <t xml:space="preserve">Drive the "Build a data centre" simulator.</t>
  </si>
  <si>
    <t xml:space="preserve">Capex, LCOD, energy, water, CO₂, MVA, incentives for any design.</t>
  </si>
  <si>
    <t xml:space="preserve">Simulator</t>
  </si>
  <si>
    <t xml:space="preserve">Update grid water and MH/KA tariffs to Report 12 values.</t>
  </si>
  <si>
    <t xml:space="preserve">SIM-02</t>
  </si>
  <si>
    <t xml:space="preserve">Model functions</t>
  </si>
  <si>
    <t xml:space="preserve">Simulator PUE and WUE functions</t>
  </si>
  <si>
    <t xml:space="preserve">PUE = 1 + losses + other + cooling overhead(DB, WB); towers 0.30 + 0.012(WB−23); adiabatic 0.27 + 0.01(DB−35); air chillers 0.42 + 0.015(DB−35); liquid 0.12 (AI variants lower). WUE: towers 1.8 × (1 + 0.03(WB−23)); adiabatic 0.4 × (1 + 0.05(DB−35)); air 0.02; liquid 0.03. Finance WACC 11%, 20/5 yrs; duty 7.5% of energy charge.</t>
  </si>
  <si>
    <t xml:space="preserve">functions</t>
  </si>
  <si>
    <t xml:space="preserve">Reports 3, 4, 6, 7 (series model)</t>
  </si>
  <si>
    <t xml:space="preserve">Climate-sensitive energy and water.</t>
  </si>
  <si>
    <t xml:space="preserve">PUE and WUE by city and design.</t>
  </si>
  <si>
    <t xml:space="preserve">Simulator; Ch 4 day model</t>
  </si>
  <si>
    <t xml:space="preserve">Calibrate against metered Indian sites.</t>
  </si>
  <si>
    <t xml:space="preserve">R10-01</t>
  </si>
  <si>
    <t xml:space="preserve">India capacity estimates by source (H1 2026)</t>
  </si>
  <si>
    <t xml:space="preserve">C&amp;W 1,789 MW operational, 3,860 MW pipeline, vacancy 14.9%; JLL 1,637 MW (Jun 2026), 6 GW by 2029, US$110 bn, H1 absorption 101 MW (82% pre-committed hyperscale), vacancy 2.8%; CBRE ~130 MW added H1 2026 (94% Mumbai, 48% domestic developers), ~2 GW by end-2026; PIB 1.57 GW (Aug 2026).</t>
  </si>
  <si>
    <t xml:space="preserve">Jun–Oct 2026</t>
  </si>
  <si>
    <t xml:space="preserve">C&amp;W H1 2026 Update; JLL 2026 Mid-Year Report (2 Sep 2026); CBRE "Beyond Growth" (Oct 2026); PIB factsheet (14 Sep 2026)</t>
  </si>
  <si>
    <t xml:space="preserve">Sources differ by ~±7% and on vacancy (14.9% vs 2.8%) because definitions differ.</t>
  </si>
  <si>
    <t xml:space="preserve">Range for "how much India has today" (treat as 1.6–1.8 GW).</t>
  </si>
  <si>
    <t xml:space="preserve">Forecast anchor; definitional reconciliation.</t>
  </si>
  <si>
    <t xml:space="preserve">Ch 10 context; Ch 11 history</t>
  </si>
  <si>
    <t xml:space="preserve">Rebase every six months.</t>
  </si>
  <si>
    <t xml:space="preserve">R10-02</t>
  </si>
  <si>
    <t xml:space="preserve">Site data</t>
  </si>
  <si>
    <t xml:space="preserve">50 candidate cities: site attributes</t>
  </si>
  <si>
    <t xml:space="preserve">For each of 50 cities in 23 states/UTs: lat/long, district, nearest 220 kV+ / 400 kV node and distance, water status, seismic zone, flood/cyclone exposure, design DB/WB, free-cooling hours, demand context, strength, weakness.</t>
  </si>
  <si>
    <t xml:space="preserve">50 cities</t>
  </si>
  <si>
    <t xml:space="preserve">Report 10 (public grid knowledge, CGWB/IN-GRES, IS 1893, ASHRAE approximations)</t>
  </si>
  <si>
    <t xml:space="preserve">Coordinates and seismic zones reliable; EHV nodes/distances, most water categories, design temperatures and free-cooling hours are estimates.</t>
  </si>
  <si>
    <t xml:space="preserve">Inputs to Step A (hard filters) and factor scores.</t>
  </si>
  <si>
    <t xml:space="preserve">Pass/fail per filter; latency; climate score.</t>
  </si>
  <si>
    <t xml:space="preserve">Ch 10 map, table, detail panel; worked example</t>
  </si>
  <si>
    <t xml:space="preserve">Verify EHV nodes on STU single-line diagrams; water on IN-GRES.</t>
  </si>
  <si>
    <t xml:space="preserve">R10-03</t>
  </si>
  <si>
    <t xml:space="preserve">Scores</t>
  </si>
  <si>
    <t xml:space="preserve">Nine factor scores per city</t>
  </si>
  <si>
    <t xml:space="preserve">Power (50% tariff score + 50% grid/RE judgement), connectivity, water, climate, hazards, land, policy, demand/talent (0–10 rubric) plus computed latency. Policy scores: AP, UP 9; KA, MH, GJ 8; RJ 7; TG, OD, MP 6; HR 5; TN, WB, KL 3–4; Delhi 3. Report totals 4.0–7.2.</t>
  </si>
  <si>
    <t xml:space="preserve">Report 10 rubric</t>
  </si>
  <si>
    <t xml:space="preserve">Rubric judgements; illustrative.</t>
  </si>
  <si>
    <t xml:space="preserve">Steps B–C of the ranking.</t>
  </si>
  <si>
    <t xml:space="preserve">Weighted and geometric scores; tiers; use-case rankings.</t>
  </si>
  <si>
    <t xml:space="preserve">Ch 10 ranking engine; worked example workbook</t>
  </si>
  <si>
    <t xml:space="preserve">Replace judgement scores with measured inputs where possible.</t>
  </si>
  <si>
    <t xml:space="preserve">R10-04</t>
  </si>
  <si>
    <t xml:space="preserve">Effective tariff by state at 80% load factor</t>
  </si>
  <si>
    <t xml:space="preserve">₹/kWh (energy + demand ÷ 584 h): Odisha ≈5.96; Kerala ≈6.23; Haryana ≈7.1; Andhra Pradesh ≈7.3 (est.); Uttar Pradesh ≈7.41; Telangana ≈7.51; Karnataka ≈7.61; Gujarat ≈8.0 (est.); West Bengal ≈7.5 (est.); Rajasthan ≈7.7 (est.); Madhya Pradesh ≈8.2; Delhi ≈8.5 (est.); Tamil Nadu ≈8.54; Maharashtra ≈8.7.</t>
  </si>
  <si>
    <t xml:space="preserve">14 states</t>
  </si>
  <si>
    <t xml:space="preserve">FY2026-27</t>
  </si>
  <si>
    <t xml:space="preserve">State commission tariff orders (OERC, KSERC, HERC, UPERC, TGERC, KERC, TNERC, MERC, MPERC; others estimated)</t>
  </si>
  <si>
    <t xml:space="preserve">Telangana inputs verified (Report 12) and TN verified-secondary; Delhi, WB, AP, Rajasthan, Gujarat estimated; Karnataka and Maharashtra inputs conflict with Report 12.</t>
  </si>
  <si>
    <t xml:space="preserve">Tariff half of the power score.</t>
  </si>
  <si>
    <t xml:space="preserve">Tariff score = 10 × (8.70 − x) ÷ (8.70 − 5.96); 20-year cost gap between states.</t>
  </si>
  <si>
    <t xml:space="preserve">Ch 10 power score; worked example</t>
  </si>
  <si>
    <t xml:space="preserve">Re-derive with Report 12 verified KA/MH rates.</t>
  </si>
  <si>
    <t xml:space="preserve">R10-05</t>
  </si>
  <si>
    <t xml:space="preserve">State tariff details (FY2026-27)</t>
  </si>
  <si>
    <t xml:space="preserve">MSEDCL HT-I(A) ₹7.11–7.27/kVAh + ~₹0.60 wheeling, ₹560–565/kVA; TNERC T.O. 6/2025 HT-I ₹7.50/kWh + ₹608/kVA; KERC HT-2(a) ~700 paise + ~₹355/kVA (unconfirmed); TGERC HT-I(A) ₹6.65/7.15/7.65 per kVAh (132/33/11 kV) + ₹500/kVA, grid support ₹19.77/kW/month, green +₹0.66; APERC HT-I ~₹475/kVA; UPERC NIDP HV-2 ₹270/kVA + ₹6.95/kVAh, green +₹0.34; HERC ₹290/kVA + ₹6.95/6.85/~6.6; GERC HTP-I ₹4.30 + FPPPA, OA surcharge ₹0.99; WBERC ₹320/kVA; KSERC ₹6.75/6.15/5.55 to Mar 2027; OERC ₹250/kVA, 580/470 paise; Rajasthan ~₹380 + ₹6.50 (aggregator); MPERC ₹729 + 734/635 paise; PSERC ₹5.82–7.04.</t>
  </si>
  <si>
    <t xml:space="preserve">₹/kWh; ₹/kVA</t>
  </si>
  <si>
    <t xml:space="preserve">State commission orders (Report 10)</t>
  </si>
  <si>
    <t xml:space="preserve">TGERC rates verified in Report 12; several others flagged unconfirmed in Report 10 (KERC row, Gujarat slabs, WB energy, AP energy, Rajasthan, MP column mapping, Kerala demand, Delhi).</t>
  </si>
  <si>
    <t xml:space="preserve">Build effective tariffs.</t>
  </si>
  <si>
    <t xml:space="preserve">Effective ₹/kWh per state and voltage.</t>
  </si>
  <si>
    <t xml:space="preserve">Ch 10; simulator</t>
  </si>
  <si>
    <t xml:space="preserve">Pull final orders for flagged states.</t>
  </si>
  <si>
    <t xml:space="preserve">R10-06</t>
  </si>
  <si>
    <t xml:space="preserve">Water</t>
  </si>
  <si>
    <t xml:space="preserve">Groundwater stage of extraction</t>
  </si>
  <si>
    <t xml:space="preserve">National (DGWRA 2025): 60.63% stage; 6,762 units — 730 over-exploited (10.8%), 201 critical, 758 semi-critical, 4,946 safe (73.14%). Bengaluru Urban units (IN-GRES 2025-26, secondary compilation): East 395%, North 257.9%, Yelahanka 251.5%, City 223.4%, South 121.9%, Anekal 106.4%. Chennai district 127.47%, 13 of 16 taluks over-exploited (CGWB 2023). Haryana 136.75%, 91 of 143 units over-exploited, 5 blocks in Gurugram (2025).</t>
  </si>
  <si>
    <t xml:space="preserve">% / count</t>
  </si>
  <si>
    <t xml:space="preserve">India; selected districts</t>
  </si>
  <si>
    <t xml:space="preserve">2023–2026</t>
  </si>
  <si>
    <t xml:space="preserve">Ministry of Jal Shakti / CGWB DGWRA 2025; IN-GRES; CGWB 2023</t>
  </si>
  <si>
    <t xml:space="preserve">Bengaluru unit values come from a secondary compilation; conflict with Report 4 (East ~305%).</t>
  </si>
  <si>
    <t xml:space="preserve">Water hard filter (conditional on treated water).</t>
  </si>
  <si>
    <t xml:space="preserve">Which sites pass the water filter; water factor score.</t>
  </si>
  <si>
    <t xml:space="preserve">Ch 10 filter and water score</t>
  </si>
  <si>
    <t xml:space="preserve">Pull block-level 2025 categories from IN-GRES.</t>
  </si>
  <si>
    <t xml:space="preserve">R10-07</t>
  </si>
  <si>
    <t xml:space="preserve">Hazards</t>
  </si>
  <si>
    <t xml:space="preserve">Seismic zoning standard</t>
  </si>
  <si>
    <t xml:space="preserve">IS 1893:2016 zones used; IS 1893:2025 (with Zone VI on the Himalayan arc) withdrawn by gazette 3 Mar 2026.</t>
  </si>
  <si>
    <t xml:space="preserve">zone</t>
  </si>
  <si>
    <t xml:space="preserve">BIS gazette notification</t>
  </si>
  <si>
    <t xml:space="preserve">Seismic hard filter (zone V excluded).</t>
  </si>
  <si>
    <t xml:space="preserve">Excluded sites (Guwahati); design-risk flag for Himalayan sites.</t>
  </si>
  <si>
    <t xml:space="preserve">Ch 10 Step A</t>
  </si>
  <si>
    <t xml:space="preserve">R10-08</t>
  </si>
  <si>
    <t xml:space="preserve">Internet exchanges</t>
  </si>
  <si>
    <t xml:space="preserve">NIXI 77 nodes; core nodes Delhi (Noida), Mumbai (Vashi), Chennai, Kolkata, Bengaluru, Hyderabad, Ahmedabad, Guwahati; 27 named regional nodes. Private IX (DE-CIX, Extreme IX) in six metros (estimate).</t>
  </si>
  <si>
    <t xml:space="preserve">count</t>
  </si>
  <si>
    <t xml:space="preserve">NIXI; PeeringDB (to confirm)</t>
  </si>
  <si>
    <t xml:space="preserve">NIXI reported; private IX locations estimated.</t>
  </si>
  <si>
    <t xml:space="preserve">Connectivity score; edge siting.</t>
  </si>
  <si>
    <t xml:space="preserve">Edge DC locations near peering.</t>
  </si>
  <si>
    <t xml:space="preserve">Ch 10 connectivity scores</t>
  </si>
  <si>
    <t xml:space="preserve">Confirm on PeeringDB.</t>
  </si>
  <si>
    <t xml:space="preserve">R10-09</t>
  </si>
  <si>
    <t xml:space="preserve">Anchor projects</t>
  </si>
  <si>
    <t xml:space="preserve">Visakhapatnam anchor project</t>
  </si>
  <si>
    <t xml:space="preserve">Google broke ground 28 Apr 2026 on a 1 GW AI hub (US$15 bn, with AdaniConneX and Airtel Nxtra), 601 acres at Tarluvada, Adavivaram, Rambilli; AP promised ~5 GW in Vizag (The Ken); Raiden applied for ~2.1 GW power allowance (DCD); America-India Connect adds three subsea paths.</t>
  </si>
  <si>
    <t xml:space="preserve">MW / acres / US$</t>
  </si>
  <si>
    <t xml:space="preserve">Visakhapatnam</t>
  </si>
  <si>
    <t xml:space="preserve">Google; The Ken; DatacenterDynamics</t>
  </si>
  <si>
    <t xml:space="preserve">Announcements, not commissioned assets.</t>
  </si>
  <si>
    <t xml:space="preserve">Upside for Vizag and AP.</t>
  </si>
  <si>
    <t xml:space="preserve">Vizag city allocation in forecast (~250 MW by 2030).</t>
  </si>
  <si>
    <t xml:space="preserve">Ch 10; Ch 11 city split</t>
  </si>
  <si>
    <t xml:space="preserve">Track commissioning.</t>
  </si>
  <si>
    <t xml:space="preserve">R10-10</t>
  </si>
  <si>
    <t xml:space="preserve">Latency</t>
  </si>
  <si>
    <t xml:space="preserve">Great-circle distances and latency</t>
  </si>
  <si>
    <t xml:space="preserve">Distances from each city to Mumbai, Delhi, Chennai, Bengaluru; RTT = 2 × d × 1.4 ÷ 200 = 0.014 × km. Inter-hub: Mumbai–Delhi 1,150 km 16.1 ms; Mumbai–Chennai 1,030 km 14.4 ms; Mumbai–Bengaluru 845 km 11.8 ms; Delhi–Chennai 1,760 km 24.6 ms; Chennai–Bengaluru 290 km 4.1 ms.</t>
  </si>
  <si>
    <t xml:space="preserve">km; ms</t>
  </si>
  <si>
    <t xml:space="preserve">Computed (haversine on coordinates)</t>
  </si>
  <si>
    <t xml:space="preserve">Straight-line proxy; ignores real fibre routes and peering.</t>
  </si>
  <si>
    <t xml:space="preserve">Latency factor (computed, not judged).</t>
  </si>
  <si>
    <t xml:space="preserve">Mean RTT per city; min–max latency score.</t>
  </si>
  <si>
    <t xml:space="preserve">Ch 10; worked example</t>
  </si>
  <si>
    <t xml:space="preserve">Replace with measured RTTs (RIPE Atlas, operators).</t>
  </si>
  <si>
    <t xml:space="preserve">R10-11</t>
  </si>
  <si>
    <t xml:space="preserve">City ranking and Monte Carlo stability</t>
  </si>
  <si>
    <t xml:space="preserve">Default weights 25/15/10/15/5/10/5/10/5; presets for AI campus, interconnection, sustainability; tiers A (top 30%), B (next 40%), C; 1,000-run Monte Carlo (±20% weights and scores). Report 10 top: Hyderabad periphery 7.2, Visakhapatnam 6.8, Hyderabad core 6.7, Navi Mumbai 6.6, Mysuru 6.5. Atlas engine (min–max): Mysuru 6.35, #5 of 48, Tier A, 76% India top-10.</t>
  </si>
  <si>
    <t xml:space="preserve">score 0–10</t>
  </si>
  <si>
    <t xml:space="preserve">Report 10 model; atlas Chapter 10 engine</t>
  </si>
  <si>
    <t xml:space="preserve">Shortlist sites by use case.</t>
  </si>
  <si>
    <t xml:space="preserve">Robust vs fragile picks; use-case top-3.</t>
  </si>
  <si>
    <t xml:space="preserve">Ch 10; worked-example workbook</t>
  </si>
  <si>
    <t xml:space="preserve">R10-12</t>
  </si>
  <si>
    <t xml:space="preserve">Grid</t>
  </si>
  <si>
    <t xml:space="preserve">Substation spare capacity (MVA headroom)</t>
  </si>
  <si>
    <t xml:space="preserve">Not published by any of 15 state transmission utilities.</t>
  </si>
  <si>
    <t xml:space="preserve">MVA</t>
  </si>
  <si>
    <t xml:space="preserve">None (unpublished)</t>
  </si>
  <si>
    <t xml:space="preserve">The binding unknown for every site.</t>
  </si>
  <si>
    <t xml:space="preserve">Would replace the grid half of the power score.</t>
  </si>
  <si>
    <t xml:space="preserve">Real grid-feasibility filter.</t>
  </si>
  <si>
    <t xml:space="preserve">Ch 10 (flagged)</t>
  </si>
  <si>
    <t xml:space="preserve">Request load-flow studies from STUs and CTUIL GNA margins.</t>
  </si>
  <si>
    <t xml:space="preserve">R11-01</t>
  </si>
  <si>
    <t xml:space="preserve">History</t>
  </si>
  <si>
    <t xml:space="preserve">Harmonised capacity history</t>
  </si>
  <si>
    <t xml:space="preserve">MW IT (year-end): 2019 375; 2020 450; 2021 560; 2022 720; 2023 977; 2024 1,200; 2025 1,611; H1 2026 1,789. Reported points from JLL, C&amp;W, MeitY, ICRA, CBRE, Colliers, Rubix shown alongside.</t>
  </si>
  <si>
    <t xml:space="preserve">2019–2026</t>
  </si>
  <si>
    <t xml:space="preserve">Harmonised from C&amp;W, JLL, MeitY, ICRA, CBRE, Colliers</t>
  </si>
  <si>
    <t xml:space="preserve">Estimate built from reported points with differing definitions.</t>
  </si>
  <si>
    <t xml:space="preserve">Fit growth models.</t>
  </si>
  <si>
    <t xml:space="preserve">CAGR 27.9% (log-linear fit, R² ≈ 0.99); logistic rate r.</t>
  </si>
  <si>
    <t xml:space="preserve">Ch 11 chart</t>
  </si>
  <si>
    <t xml:space="preserve">R11-02</t>
  </si>
  <si>
    <t xml:space="preserve">Forecasts</t>
  </si>
  <si>
    <t xml:space="preserve">Published forecasts for 2030</t>
  </si>
  <si>
    <t xml:space="preserve">GW: CareEdge ~4 (FY30); Colliers &gt;4.5; Arizton 4.8; C&amp;W 5.6 if all built; JLL 6 (2029); Rubix 6.5; Macquarie ~6.5–7.5 implied; Jefferies 8; PIB "nearly 8"; Wood Mackenzie 12. Median ~6.5 GW. ICRA 2.0–2.1 GW by Mar 2027; CBRE ~2 GW end-2026.</t>
  </si>
  <si>
    <t xml:space="preserve">GW</t>
  </si>
  <si>
    <t xml:space="preserve">Named forecasters (Report 11)</t>
  </si>
  <si>
    <t xml:space="preserve">No public India MW forecasts found from Morgan Stanley, Bernstein, Nomura, Goldman, CRISIL, NASSCOM, IEA.</t>
  </si>
  <si>
    <t xml:space="preserve">Compare our base case.</t>
  </si>
  <si>
    <t xml:space="preserve">Haircut test: base 4.7 GW = 0.72× median.</t>
  </si>
  <si>
    <t xml:space="preserve">Ch 11 forecaster chart</t>
  </si>
  <si>
    <t xml:space="preserve">R11-03</t>
  </si>
  <si>
    <t xml:space="preserve">Backtest</t>
  </si>
  <si>
    <t xml:space="preserve">Forecast track record</t>
  </si>
  <si>
    <t xml:space="preserve">Delivered ÷ forecast additions 0.58–0.74; actual ÷ forecast level 0.78–0.87; under-construction projects ~100% within 4–5 years; Arizton raised its 2030 forecast 37% in five months.</t>
  </si>
  <si>
    <t xml:space="preserve">ratio</t>
  </si>
  <si>
    <t xml:space="preserve">2021–26</t>
  </si>
  <si>
    <t xml:space="preserve">Report 11 backtest of JLL, C&amp;W, ICRA forecasts</t>
  </si>
  <si>
    <t xml:space="preserve">Built from reported forecasts and outcomes.</t>
  </si>
  <si>
    <t xml:space="preserve">Calibrate pipeline conversion.</t>
  </si>
  <si>
    <t xml:space="preserve">25–35% haircut on headline additions; conversion c_UC 0.95, c_P 0.60.</t>
  </si>
  <si>
    <t xml:space="preserve">Ch 11 pipeline model</t>
  </si>
  <si>
    <t xml:space="preserve">R11-04</t>
  </si>
  <si>
    <t xml:space="preserve">Power demand</t>
  </si>
  <si>
    <t xml:space="preserve">Government data-centre power-demand estimates</t>
  </si>
  <si>
    <t xml:space="preserve">CEA: up to 17 GW by 2031-32 (PIB factsheet 14 Sep 2026); Ministry of Power 13.56 GW (Mar 2026); MoS Power: additional 26.3 GW AI DC load by 2031-32 (written reply, 29 Jul 2026); CEA committee set up with CTU and Nasscom.</t>
  </si>
  <si>
    <t xml:space="preserve">PIB; Ministry of Power; Business Standard</t>
  </si>
  <si>
    <t xml:space="preserve">High-case check for connected load.</t>
  </si>
  <si>
    <t xml:space="preserve">Plan grids for the high case (~14 GW in 2032).</t>
  </si>
  <si>
    <t xml:space="preserve">Ch 11</t>
  </si>
  <si>
    <t xml:space="preserve">R11-05</t>
  </si>
  <si>
    <t xml:space="preserve">Electricity</t>
  </si>
  <si>
    <t xml:space="preserve">National electricity requirement</t>
  </si>
  <si>
    <t xml:space="preserve">1,694 BU (FY2024-25, CEA LT-NRAP); 20th EPS mid-term review: 3,365 BU and 459 GW peak in 2035-36 (6.41% CAGR); NEP 2,473.8 BU (2031-32); FY26 peak ~245 GW vs 270 projected. FY25 generation 1,824 BU (thermal 74.7%).</t>
  </si>
  <si>
    <t xml:space="preserve">BU</t>
  </si>
  <si>
    <t xml:space="preserve">FY25–FY36</t>
  </si>
  <si>
    <t xml:space="preserve">CEA LT-NRAP; 20th EPS MTR; NEP 2022-32; CREA (generation)</t>
  </si>
  <si>
    <t xml:space="preserve">FY25 generation 1,824 BU and thermal 74.7% verified (Report 12); requirement figures reported. Requirement and generation are different bases.</t>
  </si>
  <si>
    <t xml:space="preserve">Denominator for data-centre share of electricity.</t>
  </si>
  <si>
    <t xml:space="preserve">DC share: 1% (2028), 2% (2033), ~2.5% (2035) base.</t>
  </si>
  <si>
    <t xml:space="preserve">Ch 11 share</t>
  </si>
  <si>
    <t xml:space="preserve">R11-06</t>
  </si>
  <si>
    <t xml:space="preserve">Efficiency</t>
  </si>
  <si>
    <t xml:space="preserve">Indian PUE evidence</t>
  </si>
  <si>
    <t xml:space="preserve">tele.net: Indian DCs typically 1.45–1.55; CtrlS design 1.35; Takshashila 1.6 (2024 assumption); SBI: leaders below 1.5; Karnataka incentive band 1.00–1.20; Uptime Asia-Pacific (excl. China) 1.52 (n=79).</t>
  </si>
  <si>
    <t xml:space="preserve">tele.net; CtrlS; Takshashila; SBI; Uptime Field Report 183</t>
  </si>
  <si>
    <t xml:space="preserve">Uptime APAC 1.52 verified (Report 12); Indian figures reported.</t>
  </si>
  <si>
    <t xml:space="preserve">PUE path in forecast and calculators.</t>
  </si>
  <si>
    <t xml:space="preserve">PUE 1.50 (2026) → 1.42 (2030) → 1.35 (2035).</t>
  </si>
  <si>
    <t xml:space="preserve">Ch 11; Ch 12 calculator</t>
  </si>
  <si>
    <t xml:space="preserve">Collect operator-metered PUE.</t>
  </si>
  <si>
    <t xml:space="preserve">R11-07</t>
  </si>
  <si>
    <t xml:space="preserve">Calibration</t>
  </si>
  <si>
    <t xml:space="preserve">Current Indian DC electricity use</t>
  </si>
  <si>
    <t xml:space="preserve">Nomura: ~8.4 TWh (cited by IEA); CEEW: ~0.5% of national electricity (2025); model gives ~8.8 TWh (2024) and ~10 TWh (2025, 0.57%).</t>
  </si>
  <si>
    <t xml:space="preserve">TWh / %</t>
  </si>
  <si>
    <t xml:space="preserve">2024–25</t>
  </si>
  <si>
    <t xml:space="preserve">IEA critical review citing Nomura; CEEW (Feb 2026)</t>
  </si>
  <si>
    <t xml:space="preserve">CEEW 0.5% verified (Report 12); Nomura reported.</t>
  </si>
  <si>
    <t xml:space="preserve">Calibrate the energy model.</t>
  </si>
  <si>
    <t xml:space="preserve">Utilisation assumption u ≈ 0.55.</t>
  </si>
  <si>
    <t xml:space="preserve">R11-08</t>
  </si>
  <si>
    <t xml:space="preserve">Integrated forecast 2026–2035</t>
  </si>
  <si>
    <t xml:space="preserve">Base MW 2,000 (2026) → 4,700 (2030) → 10,800 (2035); low 3,600 / 6,800; high 6,400 / 18,800. Facility TWh 14.5 → 35.1 → 83.0; share 0.75% → 1.43% → 2.47%; net CO₂ 7.1 → 12.4 → 17.8 Mt; on-site water 28.7 → 52.4 → 62.3 MLD; cumulative capex ₹0.28 → 2.42 → 7.97 lakh cr (US$89.6 bn by 2035).</t>
  </si>
  <si>
    <t xml:space="preserve">MW, TWh, Mt, MLD, ₹</t>
  </si>
  <si>
    <t xml:space="preserve">2026–2035</t>
  </si>
  <si>
    <t xml:space="preserve">Report 11 model</t>
  </si>
  <si>
    <t xml:space="preserve">Planning scenarios.</t>
  </si>
  <si>
    <t xml:space="preserve">Year-by-year path for capacity, power, carbon, water, cost.</t>
  </si>
  <si>
    <t xml:space="preserve">Ch 11 forecast engine</t>
  </si>
  <si>
    <t xml:space="preserve">Rebase to C&amp;W/JLL actuals every six months.</t>
  </si>
  <si>
    <t xml:space="preserve">R11-09</t>
  </si>
  <si>
    <t xml:space="preserve">Assumptions</t>
  </si>
  <si>
    <t xml:space="preserve">Grid-decarbonisation and clean-share paths</t>
  </si>
  <si>
    <t xml:space="preserve">EF tCO₂/MWh slow / base / fast: 2026 0.71/0.70/0.69; 2030 0.69/0.62/0.55; 2035 0.65/0.535/0.45. Fleet clean share base 30% (2026) → 43% (2030) → 60% (2035); low 25→40%; high 35→85%. CEA LT-NRAP: non-fossil 70% of capacity by 2035-36 (52% in Jan 2026); RE ~27% of generation FY26.</t>
  </si>
  <si>
    <t xml:space="preserve">tCO₂/MWh; %</t>
  </si>
  <si>
    <t xml:space="preserve">2026–35</t>
  </si>
  <si>
    <t xml:space="preserve">Report 11 assumptions; CEA LT-NRAP</t>
  </si>
  <si>
    <t xml:space="preserve">Carbon scenarios.</t>
  </si>
  <si>
    <t xml:space="preserve">Net and location-based CO₂.</t>
  </si>
  <si>
    <t xml:space="preserve">R11-10</t>
  </si>
  <si>
    <t xml:space="preserve">Build-cost path</t>
  </si>
  <si>
    <t xml:space="preserve">cost(t) = 58.4 × (X/X₂₀₂₅)^(−b) × (1+π)^t × (1 + a·AI share); b 0.10, π 4%, a 0.5. Air-cooled ₹59.4 (2026) → 63.8 (2030) → 71.5 (2035) cr/MW; AI ×1.5 → ~₹107 (2035); blended ₹71.3 → 96.5.</t>
  </si>
  <si>
    <t xml:space="preserve">Implied historical learning exponent is negative (costs rising).</t>
  </si>
  <si>
    <t xml:space="preserve">Capex in forecast and investment cases.</t>
  </si>
  <si>
    <t xml:space="preserve">Cumulative facility capex.</t>
  </si>
  <si>
    <t xml:space="preserve">R11-11</t>
  </si>
  <si>
    <t xml:space="preserve">GPU-hour price path</t>
  </si>
  <si>
    <t xml:space="preserve">H100-class India on-demand ₹/hr, base −20%/yr: 220 (2026) → 176 → 141 → 113 → 90 (2030); low decline 144; high decline 53 (2030). Fitted single-generation decline −41%/yr (US$8 → 2.4 over 2.25 yrs). Frontier class ~₹450–550 flat. IndiaAI subsidised floor ₹65–92.</t>
  </si>
  <si>
    <t xml:space="preserve">2026–30</t>
  </si>
  <si>
    <t xml:space="preserve">Report 11 model on reported prices</t>
  </si>
  <si>
    <t xml:space="preserve">Rebound in 2025–26 shows the trend is unstable.</t>
  </si>
  <si>
    <t xml:space="preserve">GPU economics over time.</t>
  </si>
  <si>
    <t xml:space="preserve">Rent vs buy timing.</t>
  </si>
  <si>
    <t xml:space="preserve">R11-12</t>
  </si>
  <si>
    <t xml:space="preserve">City water supply and DC share</t>
  </si>
  <si>
    <t xml:space="preserve">City supply (MLD): Mumbai BMC ~4,100 vs 4,600 demand (Oct 2026); Hyderabad HMWSSB 545 MGD ≈ 2,478; Chennai Metrowater 1,245 (Apr 2025 incl. tankers); Delhi DJB ~4,555 target; Pune PMC ~1,222 (older); Bengaluru BWSSB ~1,935; Kolkata KMC 1,654–2,045 (conflict); Visakhapatnam GVMC 383.86 (84.44 MGD), demand 726 MLD by 2040. DC share 2030/2035 base: Mumbai 0.57/0.63%, Vizag 0.73/0.96%, Chennai 0.42/0.66%.</t>
  </si>
  <si>
    <t xml:space="preserve">MLD / %</t>
  </si>
  <si>
    <t xml:space="preserve">8 cities</t>
  </si>
  <si>
    <t xml:space="preserve">Municipal bodies via subagent sources; Yovizag</t>
  </si>
  <si>
    <t xml:space="preserve">Some city figures are secondary or older; Kolkata sources conflict.</t>
  </si>
  <si>
    <t xml:space="preserve">Local water stress of DC growth.</t>
  </si>
  <si>
    <t xml:space="preserve">DC share of city supply; pinch points (Navi Mumbai, Chennai, Vizag).</t>
  </si>
  <si>
    <t xml:space="preserve">Ch 11 water by city</t>
  </si>
  <si>
    <t xml:space="preserve">Confirm with each water utility.</t>
  </si>
  <si>
    <t xml:space="preserve">R11-13</t>
  </si>
  <si>
    <t xml:space="preserve">Cooling mix and liquid-cooling diffusion</t>
  </si>
  <si>
    <t xml:space="preserve">2025 mix: 55% evaporative, 25% adiabatic, 20% dry/closed-loop/DLC. Bass: L₀ 0.20, m 0.85, p 0.03, q 0.40 → dry/liquid 22% (2026), 43% (2030), 74% (2035). WUE_mix 1.09 → 0.77 → 0.37 L/kWh (evaporative 1.8, adiabatic 0.5, dry 0.1).</t>
  </si>
  <si>
    <t xml:space="preserve">share; L/kWh</t>
  </si>
  <si>
    <t xml:space="preserve">2025–35</t>
  </si>
  <si>
    <t xml:space="preserve">Report 11 assumptions; Dell'Oro analogue</t>
  </si>
  <si>
    <t xml:space="preserve">National water forecast.</t>
  </si>
  <si>
    <t xml:space="preserve">National on-site MLD; water per GW.</t>
  </si>
  <si>
    <t xml:space="preserve">Ch 11 water</t>
  </si>
  <si>
    <t xml:space="preserve">R11-14</t>
  </si>
  <si>
    <t xml:space="preserve">City allocation of new capacity</t>
  </si>
  <si>
    <t xml:space="preserve">Pipeline shares (C&amp;W city sum 3,633 MW): Mumbai 47.5%, Hyderabad 19.5%, NCR 10.7%, Chennai 10.1%, Pune 7.1%, Bengaluru 2.8%, Kolkata 2.3%. Blend α = 0.5, k = 8 for 2030–35. Base 2035 MW: Mumbai 4,499 (41.7%), Hyderabad 1,587, Chennai 1,426, NCR 1,025, Pune 692, Vizag 637, Bengaluru 510, Kolkata 147.</t>
  </si>
  <si>
    <t xml:space="preserve">MW / %</t>
  </si>
  <si>
    <t xml:space="preserve">8 markets</t>
  </si>
  <si>
    <t xml:space="preserve">2030–35</t>
  </si>
  <si>
    <t xml:space="preserve">Report 11 model on C&amp;W pipeline</t>
  </si>
  <si>
    <t xml:space="preserve">Illustrative city scores used for the softmax; substitute Ch 10 scores.</t>
  </si>
  <si>
    <t xml:space="preserve">Where new MW go.</t>
  </si>
  <si>
    <t xml:space="preserve">City power and water shares; grid-stress states (Maharashtra ~12% of state units by 2035).</t>
  </si>
  <si>
    <t xml:space="preserve">Ch 11 city split</t>
  </si>
  <si>
    <t xml:space="preserve">R11-15</t>
  </si>
  <si>
    <t xml:space="preserve">Demand drivers</t>
  </si>
  <si>
    <t xml:space="preserve">Demand-driver series and regressions</t>
  </si>
  <si>
    <t xml:space="preserve">UPI volume FY26 24,162 crore transactions (+30%), FY25 18,586; earlier years FY20–FY24 1,250 / 2,233 / 4,597 / 8,375 / 13,116 crore (not re-verified). Ericsson GB per smartphone 13 (2019) → 37 (2025) → 70 (2031 fcst). Gartner India public cloud US$13.7 bn (2025) → 17.5 bn (2026). Regression ln MW = 2.462 + 0.471 ln UPI (R² 0.958). Driver-based 2030: 2.5–4.9 GW (mean ~3.7).</t>
  </si>
  <si>
    <t xml:space="preserve">NPCI via PIB; Ericsson Mobility Report; Gartner; Report 11 regressions</t>
  </si>
  <si>
    <t xml:space="preserve">FY26 UPI reported via PIB; earlier UPI years flagged "not re-verified"; regressions are model outputs with n = 7.</t>
  </si>
  <si>
    <t xml:space="preserve">Cross-check supply forecasts.</t>
  </si>
  <si>
    <t xml:space="preserve">Gap attributable to AI/hyperscale demand (1–3 GW).</t>
  </si>
  <si>
    <t xml:space="preserve">Re-verify NPCI series.</t>
  </si>
  <si>
    <t xml:space="preserve">R11-16</t>
  </si>
  <si>
    <t xml:space="preserve">State electricity denominators</t>
  </si>
  <si>
    <t xml:space="preserve">Approximate state requirement BU 2030 / 2035: Maharashtra 250/330; Telangana 120/160; Tamil Nadu 175/230; AP 105/140; Karnataka 120/160; UP 210/280. CEA: Maharashtra 4.1% unserved energy 2031-32 without additions.</t>
  </si>
  <si>
    <t xml:space="preserve">Report 11 extrapolation (~6%/yr from FY25); CEA adequacy study</t>
  </si>
  <si>
    <t xml:space="preserve">Flagged for replacement with 20th EPS state tables.</t>
  </si>
  <si>
    <t xml:space="preserve">State share of DC electricity.</t>
  </si>
  <si>
    <t xml:space="preserve">Maharashtra DC share 7.2% (2030), 12.1% (2035).</t>
  </si>
  <si>
    <t xml:space="preserve">Ch 11 state shares</t>
  </si>
  <si>
    <t xml:space="preserve">Use 20th EPS MTR state tables.</t>
  </si>
  <si>
    <t xml:space="preserve">R11-17</t>
  </si>
  <si>
    <t xml:space="preserve">Monte Carlo parameter distributions</t>
  </si>
  <si>
    <t xml:space="preserve">Distributions for C₀, g, K (lognormal 12–45 GW), r, conversion rates (Beta), lag, haircut, utilisation, PUE, EF, clean share, learning b, inflation π, base cost, AI premium a, GPU decline d, P₀, Bass p/q/m, WUE by type, k, α, grid growth, FX ₹89/US$; suggested correlations (K–u +0.5, EF–clean −0.3).</t>
  </si>
  <si>
    <t xml:space="preserve">distributions</t>
  </si>
  <si>
    <t xml:space="preserve">Report 11</t>
  </si>
  <si>
    <t xml:space="preserve">Uncertainty bands.</t>
  </si>
  <si>
    <t xml:space="preserve">P10–P90 range around each path.</t>
  </si>
  <si>
    <t xml:space="preserve">Ch 11 Monte Carlo band</t>
  </si>
  <si>
    <t xml:space="preserve">R11-18</t>
  </si>
  <si>
    <t xml:space="preserve">Risks</t>
  </si>
  <si>
    <t xml:space="preserve">Supply-chain and cost-inflation evidence</t>
  </si>
  <si>
    <t xml:space="preserve">Transformer lead times 128–144 weeks (Wood Mackenzie Q2 2025); construction inflation +5.5% (2025), +9.0% (2024) (Turner &amp; Townsend); CareEdge +50–70% cumulative; "Land and capital are no longer the limiting factors" (Wood Mackenzie, Jul 2026); protest over a facility said to need 12 MLD (The Better India).</t>
  </si>
  <si>
    <t xml:space="preserve">weeks; %</t>
  </si>
  <si>
    <t xml:space="preserve">Wood Mackenzie; Turner &amp; Townsend; CareEdge; press</t>
  </si>
  <si>
    <t xml:space="preserve">Risk ranking.</t>
  </si>
  <si>
    <t xml:space="preserve">Delivery floor on timelines; cost escalation.</t>
  </si>
  <si>
    <t xml:space="preserve">Ch 11 risks</t>
  </si>
  <si>
    <t xml:space="preserve">R12-01</t>
  </si>
  <si>
    <t xml:space="preserve">Definitions</t>
  </si>
  <si>
    <t xml:space="preserve">Water metrics and EU reporting rules</t>
  </si>
  <si>
    <t xml:space="preserve">Withdrawal, consumption, discharge; site WUE (L/kWh IT) and source WUE (adds power-station water). EU Delegated Reg. 2024/1364: sites ≥500 kW report total and potable water input (m³) yearly; A–G rating labels from 15 Aug 2027. NTT and Microsoft report withdrawal WUE.</t>
  </si>
  <si>
    <t xml:space="preserve">definitions</t>
  </si>
  <si>
    <t xml:space="preserve">Global / EU</t>
  </si>
  <si>
    <t xml:space="preserve">LBNL 2024; Microsoft; NTT; EU Delegated Regulation 2024/1364</t>
  </si>
  <si>
    <t xml:space="preserve">Rating-scheme details verified via secondary source; ISO/IEC 30134-9 text not reviewed.</t>
  </si>
  <si>
    <t xml:space="preserve">Define what calculators output.</t>
  </si>
  <si>
    <t xml:space="preserve">Report withdrawal and consumption separately; never compare mixed bases.</t>
  </si>
  <si>
    <t xml:space="preserve">Ch 12 calculator; Ch 6</t>
  </si>
  <si>
    <t xml:space="preserve">Obtain ISO/IEC 30134-9 from BIS.</t>
  </si>
  <si>
    <t xml:space="preserve">R12-02</t>
  </si>
  <si>
    <t xml:space="preserve">Cooling-tower water physics</t>
  </si>
  <si>
    <t xml:space="preserve">Latent heat 2,430 kJ/kg at 30 °C → 1.48 L per kWh of heat; latent share 0.75–0.95 (0.85); heat rejected 1.15–1.35 kWh per kWh IT; blowdown B = E ÷ (CoC − 1); drift ~0.002 L/kWh heat; make-up 1.3–3.0 L/kWh heat; tower WUE 1.5–3.5 (typical 2.1) L/kWh IT; RO reject 0.25–0.55 L/L; domestic 45 L/person/day.</t>
  </si>
  <si>
    <t xml:space="preserve">Steam tables; tower practice; NBC/CPHEEO norms</t>
  </si>
  <si>
    <t xml:space="preserve">Engineering proxies; tower WUE consistent with NTT evaporative 1.42–2.93 (verified).</t>
  </si>
  <si>
    <t xml:space="preserve">Tower water balance calculator.</t>
  </si>
  <si>
    <t xml:space="preserve">WUE vs CoC; saving from raising CoC 3 → 8 (25–35%).</t>
  </si>
  <si>
    <t xml:space="preserve">Ch 12 tower calculator; Ch 6 balance</t>
  </si>
  <si>
    <t xml:space="preserve">R12-03</t>
  </si>
  <si>
    <t xml:space="preserve">Benchmarks</t>
  </si>
  <si>
    <t xml:space="preserve">Published WUE and PUE benchmarks</t>
  </si>
  <si>
    <t xml:space="preserve">LBNL US average site WUE ~0.36 (2023), hyperscale median 0.32; Microsoft WUE/PUE 0.30/1.16 (FY24), 0.27/1.17 (FY25); Microsoft APAC 0.03/1.25 (FY24) → 0.25/1.28 (FY25); Google PUE 1.09 (2025), fleet WUE 1.15 (2024, secondary); NTT portfolio WUE 1.01/0.65/0.72 and evaporative sites 2.93/2.77/1.42 (FY22–24), PUE 1.40/1.38/1.38; Equinix 0.91 global / 1.41 evaporative (secondary); Uptime global PUE 1.54 (2025), 1.56 (2024), 1.58 (2023); new facilities 1.48; &gt;20 MW 1.44.</t>
  </si>
  <si>
    <t xml:space="preserve">L/kWh; PUE</t>
  </si>
  <si>
    <t xml:space="preserve">LBNL 2024; Microsoft; Google; NTT DATA ESG; Uptime 2025</t>
  </si>
  <si>
    <t xml:space="preserve">Google WUE 1.15 and Equinix figures via secondary sources.</t>
  </si>
  <si>
    <t xml:space="preserve">Benchmark Indian designs.</t>
  </si>
  <si>
    <t xml:space="preserve">Default WUE/PUE ranges by design.</t>
  </si>
  <si>
    <t xml:space="preserve">Ch 12 power-vs-water chart (fleet dots); Ch 8</t>
  </si>
  <si>
    <t xml:space="preserve">R12-04</t>
  </si>
  <si>
    <t xml:space="preserve">India water</t>
  </si>
  <si>
    <t xml:space="preserve">India sector water and siting data</t>
  </si>
  <si>
    <t xml:space="preserve">CEEW: DCs ≈ 0.5% of national electricity (2025), ~271 DCs (Jan 2026), a 100 MW hyperscale "can take ~2 million litres per day" (≈0.83 L/kWh); ~0.02–0.03% of national water demand (secondary, Scroll); ~75% of DCs in water-stressed regions and ~25 ML per MW per year (DTE via secondary).</t>
  </si>
  <si>
    <t xml:space="preserve">CEEW &amp; Systemiq (Feb 2026); Down To Earth; Scroll</t>
  </si>
  <si>
    <t xml:space="preserve">CEEW figures verified; 0.02–0.03% and 75%/25 ML figures verified via secondary sources.</t>
  </si>
  <si>
    <t xml:space="preserve">Screening values for sector water.</t>
  </si>
  <si>
    <t xml:space="preserve">Implied WUE of screening figures (0.83 vs ~2.9 L/kWh).</t>
  </si>
  <si>
    <t xml:space="preserve">Ch 12; Ch 4</t>
  </si>
  <si>
    <t xml:space="preserve">R12-05</t>
  </si>
  <si>
    <t xml:space="preserve">Power-station water</t>
  </si>
  <si>
    <t xml:space="preserve">Water intensity of electricity generation</t>
  </si>
  <si>
    <t xml:space="preserve">Indian coal closed-loop actual 2.8–3.4 m³/MWh (≈2× world 1.2–1.5); once-through withdrawal 70–200 m³/MWh; MoEFCC norm ≤3.5 m³/MWh existing CT plants, 2.5 → 3.0 (2018) for post-2017 plants; FGD +0.3; air-cooled coal 0.45–0.65; nuclear tower 2.54 L/kWh (672 gal/MWh); tower thermal upper ~3.8 L/kWh; gas CCGT ~0.7–0.8 (proxy); hydro ~17 L/kWh gross (contested); solar PV &lt;0.19; wind ~0.</t>
  </si>
  <si>
    <t xml:space="preserve">m³/MWh; L/kWh</t>
  </si>
  <si>
    <t xml:space="preserve">India / US</t>
  </si>
  <si>
    <t xml:space="preserve">2015–2026</t>
  </si>
  <si>
    <t xml:space="preserve">SD23 (Energy journal); MoEFCC S.O. 3305(E); CSE via PowerLine; NREL (Macknick et al.)</t>
  </si>
  <si>
    <t xml:space="preserve">Coal, norms, FGD, air-cooled coal, nuclear and wind verified; gas proxy; PV verified-secondary; hydro contested.</t>
  </si>
  <si>
    <t xml:space="preserve">Indirect water by source.</t>
  </si>
  <si>
    <t xml:space="preserve">Grid water intensity for any generation mix.</t>
  </si>
  <si>
    <t xml:space="preserve">Ch 12 grid-water chart; calculators</t>
  </si>
  <si>
    <t xml:space="preserve">R12-06</t>
  </si>
  <si>
    <t xml:space="preserve">Thermal plants in water-stressed areas</t>
  </si>
  <si>
    <t xml:space="preserve">40% of India's thermal plants in high water stress; 70% will be by 2030; ~90% of thermal generation depends on freshwater; 14 of 20 largest thermal utilities had water-shortage shutdowns 2013–16, costing US$1.4 bn.</t>
  </si>
  <si>
    <t xml:space="preserve">% / US$</t>
  </si>
  <si>
    <t xml:space="preserve">Jan 2018</t>
  </si>
  <si>
    <t xml:space="preserve">WRI (Tianyi Luo, 16 Jan 2018)</t>
  </si>
  <si>
    <t xml:space="preserve">Show grid water is a real local constraint.</t>
  </si>
  <si>
    <t xml:space="preserve">Scarcity weighting of power-station water.</t>
  </si>
  <si>
    <t xml:space="preserve">Ch 12</t>
  </si>
  <si>
    <t xml:space="preserve">Refresh with WRI Aqueduct 4.0.</t>
  </si>
  <si>
    <t xml:space="preserve">R12-07</t>
  </si>
  <si>
    <t xml:space="preserve">Generation mix</t>
  </si>
  <si>
    <t xml:space="preserve">India FY25 generation mix</t>
  </si>
  <si>
    <t xml:space="preserve">Total 1,824 BU; thermal 1,363 BU (74.7%); RE 403.64 BU (22.13%, appears to include large hydro); nuclear ~3% and large hydro ~8% (residual allocation). Karnataka RE 48.10% of state generation (2024-25).</t>
  </si>
  <si>
    <t xml:space="preserve">BU / %</t>
  </si>
  <si>
    <t xml:space="preserve">India; Karnataka</t>
  </si>
  <si>
    <t xml:space="preserve">FY2024-25</t>
  </si>
  <si>
    <t xml:space="preserve">CREA via Deccan Herald; MNRE RE Statistics 2024-25</t>
  </si>
  <si>
    <t xml:space="preserve">Totals and RE shares verified; nuclear/hydro split is a proxy.</t>
  </si>
  <si>
    <t xml:space="preserve">Weights for grid water and carbon intensity.</t>
  </si>
  <si>
    <t xml:space="preserve">Grid water intensity 2.3–4.4 L/kWh.</t>
  </si>
  <si>
    <t xml:space="preserve">Use CEA generation by source.</t>
  </si>
  <si>
    <t xml:space="preserve">R12-08</t>
  </si>
  <si>
    <t xml:space="preserve">Indian grid water intensity</t>
  </si>
  <si>
    <t xml:space="preserve">Consumption L/kWh: coal 2.19 + gas 0.01 + nuclear 0.08 + RE 0.01 + hydro 0–1.36 = 2.29–3.65 at busbar; ÷ (1 − 17% losses) = 2.76–4.40 at meter; default 3.0. Cross-checks: Li et al. India 3.445 (verified); LBNL US DC 4.52 (verified). State proxies: KA 1.5–2.2, TN 1.8–2.6, AP 2.0–3.0, MH 2.8–3.4, TG 2.8–3.4, UP 3.0–3.6.</t>
  </si>
  <si>
    <t xml:space="preserve">India; 6 states</t>
  </si>
  <si>
    <t xml:space="preserve">Report 12 model on CEA/CREA mix and plant intensities</t>
  </si>
  <si>
    <t xml:space="preserve">State values are proxies; electrons come from the regional grid.</t>
  </si>
  <si>
    <t xml:space="preserve">Default indirect water in all calculators.</t>
  </si>
  <si>
    <t xml:space="preserve">Source WUE = site WUE + PUE × EWIF.</t>
  </si>
  <si>
    <t xml:space="preserve">Ch 12 all charts; calculator</t>
  </si>
  <si>
    <t xml:space="preserve">Replace with SLDC/CEA state mix and plant water data.</t>
  </si>
  <si>
    <t xml:space="preserve">R12-09</t>
  </si>
  <si>
    <t xml:space="preserve">Embedded water</t>
  </si>
  <si>
    <t xml:space="preserve">Embedded and scope-3 water</t>
  </si>
  <si>
    <t xml:space="preserve">Global DC water 2023 (IEA): 560 bn L = 373 indirect + 140 direct + 47 hardware manufacturing (~8%); concrete for a 100 MW campus ~15–40 ML one-time.</t>
  </si>
  <si>
    <t xml:space="preserve">bn L</t>
  </si>
  <si>
    <t xml:space="preserve">2023</t>
  </si>
  <si>
    <t xml:space="preserve">IEA via gpusmith (secondary); construction norms</t>
  </si>
  <si>
    <t xml:space="preserve">IEA split verified via secondary source; concrete figure is a proxy.</t>
  </si>
  <si>
    <t xml:space="preserve">Complete the water boundary.</t>
  </si>
  <si>
    <t xml:space="preserve">Embedded ≈ 1–3 years of a dry site's direct water, &lt;5% of its grid water.</t>
  </si>
  <si>
    <t xml:space="preserve">Ch 12 (context)</t>
  </si>
  <si>
    <t xml:space="preserve">R12-10</t>
  </si>
  <si>
    <t xml:space="preserve">Cooling technologies</t>
  </si>
  <si>
    <t xml:space="preserve">Cooling technology table for Indian climates</t>
  </si>
  <si>
    <t xml:space="preserve">For 14 technologies: site WUE range, annual PUE in India, energy penalty, climate driver, capex vs baseline, maturity. E.g. towers 1.5–2.5 / 1.35–1.60; adiabatic 0.2–0.8 / 1.20–1.40; air-cooled chillers ~0–0.05 / 1.45–1.75; DLC + dry 0–0.05 / 1.10–1.25; immersion 0–0.05 / 1.05–1.15; seawater ~0 fresh / 1.15–1.30.</t>
  </si>
  <si>
    <t xml:space="preserve">Report 12 engineering ranges cross-checked against LBNL and operators</t>
  </si>
  <si>
    <t xml:space="preserve">Power-vs-water trade-off.</t>
  </si>
  <si>
    <t xml:space="preserve">Total water = WUE + PUE × grid water per design.</t>
  </si>
  <si>
    <t xml:space="preserve">Ch 12 power-vs-water chart</t>
  </si>
  <si>
    <t xml:space="preserve">Replace with metered Indian data.</t>
  </si>
  <si>
    <t xml:space="preserve">R12-11</t>
  </si>
  <si>
    <t xml:space="preserve">Wet-mode hours and design wet-bulb by city</t>
  </si>
  <si>
    <t xml:space="preserve">Hours/yr above ~28 °C: Bengaluru 1,000–1,800; Pune 1,800–2,800; Hyderabad 3,000–4,000; Delhi 3,000–3,800; Mumbai 3,500–5,000; Chennai 5,000–6,500; Kolkata 3,500–4,500; Vizag 4,500–6,000. Design WB 23–29 °C. Atlas annual model reproduces: Hyderabad 3,313, Bengaluru 1,329, Delhi 3,700, Mumbai 4,201, Chennai 4,753.</t>
  </si>
  <si>
    <t xml:space="preserve">hours</t>
  </si>
  <si>
    <t xml:space="preserve">Report 12 climatology proxy; atlas Ch 12 hourly model on approximate IMD normals</t>
  </si>
  <si>
    <t xml:space="preserve">Replace with ISHRAE typical-year files.</t>
  </si>
  <si>
    <t xml:space="preserve">Adiabatic water and PUE by city.</t>
  </si>
  <si>
    <t xml:space="preserve">Annual WUE (Hyderabad model 0.31 vs report 0.45 planning value).</t>
  </si>
  <si>
    <t xml:space="preserve">Ch 12 histogram, heatmap, wet-hours chart</t>
  </si>
  <si>
    <t xml:space="preserve">Licence ISHRAE TMY data.</t>
  </si>
  <si>
    <t xml:space="preserve">R12-12</t>
  </si>
  <si>
    <t xml:space="preserve">Peaks</t>
  </si>
  <si>
    <t xml:space="preserve">Peak water factors and storage sizing</t>
  </si>
  <si>
    <t xml:space="preserve">Peak-month / day / hour vs average: towers 1.10–1.25 / 1.3–1.6 / 1.5–1.9; adiabatic 1.8–2.5 / 2.0–2.5 / 3.5–5.0; dry/DLC 1.0–1.1 / 1.1–1.3 / 2–3; adiabatic monsoon months 0.3–0.6. Supply connection = peak-day × 1.1; storage = peak-hour × 12–72 h (24–48 typical Tier III).</t>
  </si>
  <si>
    <t xml:space="preserve">× average</t>
  </si>
  <si>
    <t xml:space="preserve">Generic India</t>
  </si>
  <si>
    <t xml:space="preserve">Report 12 model and industry practice</t>
  </si>
  <si>
    <t xml:space="preserve">Uptime Tier autonomy text not verified.</t>
  </si>
  <si>
    <t xml:space="preserve">Size water connections and tanks.</t>
  </si>
  <si>
    <t xml:space="preserve">Peak-day kL, peak-hour kL/h, storage kL.</t>
  </si>
  <si>
    <t xml:space="preserve">Ch 12 peaks chart; calculator</t>
  </si>
  <si>
    <t xml:space="preserve">Verify against Uptime Tier Standard: Topology.</t>
  </si>
  <si>
    <t xml:space="preserve">R12-13</t>
  </si>
  <si>
    <t xml:space="preserve">Load profiles</t>
  </si>
  <si>
    <t xml:space="preserve">IT load profile archetypes</t>
  </si>
  <si>
    <t xml:space="preserve">Colo server utilisation 21% (2014) → 35% (2027); hyperscale 45% → 50%; AI training 80% operational time at ~70% of rated (8×H100 node 7.9 kW saturated); inference 40% operational time at half of training power; idle AI ~20%, conventional 36% (2023) → 27% (2028).</t>
  </si>
  <si>
    <t xml:space="preserve">%</t>
  </si>
  <si>
    <t xml:space="preserve">US (LBNL)</t>
  </si>
  <si>
    <t xml:space="preserve">LBNL 2024</t>
  </si>
  <si>
    <t xml:space="preserve">Utilisation assumptions.</t>
  </si>
  <si>
    <t xml:space="preserve">Average IT load per archetype.</t>
  </si>
  <si>
    <t xml:space="preserve">Ch 12; Ch 11 utilisation</t>
  </si>
  <si>
    <t xml:space="preserve">R12-14</t>
  </si>
  <si>
    <t xml:space="preserve">Hourly</t>
  </si>
  <si>
    <t xml:space="preserve">Hourly design-day profile, 50 MW Hyderabad adiabatic</t>
  </si>
  <si>
    <t xml:space="preserve">May design day, 42 MW IT: temperature 27 → 40 °C; PUE(T) = 1.22 + 0.015·max(0, T−25); WUE(T) = 0 below 26 °C, else min(1.6, 0.1 + 0.107(T−26)); day total 905.9 kL water, 1,357.7 MWh; peak hour 67.2 kL at 14:00. Exchange price shaped to June 2026 IEX (trough ₹1.17 at 11:00, peak ₹9.90 at 22:30; 08–16 h avg ₹1.63; 18–23 h avg ₹8.10).</t>
  </si>
  <si>
    <t xml:space="preserve">kL/h; MW; ₹/kWh</t>
  </si>
  <si>
    <t xml:space="preserve">Hyderabad</t>
  </si>
  <si>
    <t xml:space="preserve">May / Jun 2026</t>
  </si>
  <si>
    <t xml:space="preserve">Report 12 model; IEX prices via earthsync (secondary)</t>
  </si>
  <si>
    <t xml:space="preserve">IEX averages verified via secondary source; temperature shape and functions are models.</t>
  </si>
  <si>
    <t xml:space="preserve">Hour-by-hour water/power co-optimisation.</t>
  </si>
  <si>
    <t xml:space="preserve">"Dry at noon" saving and cost per kL saved.</t>
  </si>
  <si>
    <t xml:space="preserve">Ch 12 hourly chart</t>
  </si>
  <si>
    <t xml:space="preserve">Use metered site data and ISHRAE hourly temperatures.</t>
  </si>
  <si>
    <t xml:space="preserve">R12-15</t>
  </si>
  <si>
    <t xml:space="preserve">DISCOM HT/EHT tariffs FY2025-26 (verified set)</t>
  </si>
  <si>
    <t xml:space="preserve">MSEDCL HT-I(A) ₹7.48/kVAh (FY26) → 7.27 → 7.11, ₹555/560/565 per kVA-month, wheeling ~₹0.62; HT-II commercial ₹9.26 + 0.62. TPC-D ₹5.89 + 0.69 wheeling, ₹300/kVA, green +₹0.25. TGSPDCL HT-I(A) ₹7.65/7.15/6.65 (11/33/≥132 kV), ₹500/kVA, green +₹0.66; HT-II(A) ₹8.80/8.00/7.80. KERC HT-2(a) 660 paise (FY26, FY27), 650 (FY28), ₹345/350/355 per kVA; P&amp;G surcharge 36 paise; BESCOM true-up +56 paise (May 2026–Apr 2027). TNPDCL HT-I ₹7.50, HT-III ₹9.40, ₹608/kVA, wheeling ₹1.04.</t>
  </si>
  <si>
    <t xml:space="preserve">₹/kWh or kVAh; ₹/kVA</t>
  </si>
  <si>
    <t xml:space="preserve">5 states</t>
  </si>
  <si>
    <t xml:space="preserve">FY2025-26</t>
  </si>
  <si>
    <t xml:space="preserve">MERC press notes; TGERC tariff schedule; KERC tariff schedule; TNERC summary</t>
  </si>
  <si>
    <t xml:space="preserve">MERC, TPC-D, TGERC and KERC base rates verified; BESCOM true-up and TN via secondary sources; ₹8.68 MSEDCL claim unverified.</t>
  </si>
  <si>
    <t xml:space="preserve">Landed electricity cost.</t>
  </si>
  <si>
    <t xml:space="preserve">₹/kWh per option; industrial vs commercial gap (MH ₹1.78/kVAh).</t>
  </si>
  <si>
    <t xml:space="preserve">Ch 12 cost-vs-water chart</t>
  </si>
  <si>
    <t xml:space="preserve">Confirm against final orders before investment.</t>
  </si>
  <si>
    <t xml:space="preserve">R12-16</t>
  </si>
  <si>
    <t xml:space="preserve">Procurement</t>
  </si>
  <si>
    <t xml:space="preserve">Open access and renewable procurement</t>
  </si>
  <si>
    <t xml:space="preserve">GEOA Rules 2022: 100 kW threshold; CSS may not rise &gt;50% over 12 yrs; banking ≥30%; FOR model caps CSS at 20% of tariff. CSS Telangana HT-I ₹1.82/1.56/1.46, HT-II(A) ₹2.15/1.86/1.79; TN industrial ₹1.99, commercial ₹2.57 (secondary); BESCOM proposed AS ₹1.65 (not approved); TN banking 8% in kind. ISTS charges 25% (COD Jul 2025–Jun 2026) → 50 → 75 → 100% after 1 Jul 2028. SECI FDRE-RTC ₹5.25; 4-h peak ₹5.99; RTC-IV ₹5.06–5.07; SJVN FDRE-3 ₹4.82–4.91; 2025 coal PPAs ₹5.38–6.30 (secondary). IEX G-DAM FY25 ₹4.01, Jan 2026 4.06, Feb 3.43; DAM 3.86 / 3.58. Maharashtra GSC ₹1.40 (secondary).</t>
  </si>
  <si>
    <t xml:space="preserve">India; states</t>
  </si>
  <si>
    <t xml:space="preserve">2022–Aug 2026</t>
  </si>
  <si>
    <t xml:space="preserve">GEOA gazette; FOR; TGERC; SECI via pv-magazine; Ministry of Power ISTS order; IEX</t>
  </si>
  <si>
    <t xml:space="preserve">Most verified; TN CSS/banking, BESCOM AS, coal PPA and Maharashtra GSC via secondary sources; 100 kW threshold to confirm against amendments.</t>
  </si>
  <si>
    <t xml:space="preserve">Build landed cost of each procurement route.</t>
  </si>
  <si>
    <t xml:space="preserve">Group captive ₹6.5–7.5 vs third-party ISTS ₹8.5–10; reach COD before Jul 2027.</t>
  </si>
  <si>
    <t xml:space="preserve">Ch 12 cost-vs-water; calculator</t>
  </si>
  <si>
    <t xml:space="preserve">R12-17</t>
  </si>
  <si>
    <t xml:space="preserve">Connection voltage and timelines</t>
  </si>
  <si>
    <t xml:space="preserve">&lt;5 MVA 11 kV; 5–20 MVA 33 kV; 20–60 MVA 66/110/132 kV; 60–200 MVA 132/220 kV; &gt;200 MVA 220/400 kV or ISTS. ≥220 kV connection 18–36 months; transformers 12–24+ months. Dual feeds, N+1 transformers, 2N UPS for Tier III/IV.</t>
  </si>
  <si>
    <t xml:space="preserve">MVA / kV / months</t>
  </si>
  <si>
    <t xml:space="preserve">State supply codes (proxy)</t>
  </si>
  <si>
    <t xml:space="preserve">Grid connection planning.</t>
  </si>
  <si>
    <t xml:space="preserve">Voltage class and lead time per project.</t>
  </si>
  <si>
    <t xml:space="preserve">Ch 12 calculator (MVA)</t>
  </si>
  <si>
    <t xml:space="preserve">Request STU/CTUIL timelines.</t>
  </si>
  <si>
    <t xml:space="preserve">R12-18</t>
  </si>
  <si>
    <t xml:space="preserve">Energy parameters</t>
  </si>
  <si>
    <t xml:space="preserve">Energy formulas and parameters</t>
  </si>
  <si>
    <t xml:space="preserve">IT energy = IT kW × utilisation × 8,760; facility = × PUE; contract kVA = peak facility kW ÷ PF (0.95–0.99); DG fuel 0.26–0.28 L/kWh; UPS battery = IT kW × min/60 ÷ (DoD × η); per NVL72 GPU 1.67 kW IT → 18.2 MWh/yr at PUE 1.25; Gemini prompt 0.10–0.34 Wh range.</t>
  </si>
  <si>
    <t xml:space="preserve">formulas</t>
  </si>
  <si>
    <t xml:space="preserve">Report 12; genset datasheets (proxy)</t>
  </si>
  <si>
    <t xml:space="preserve">Energy calculator.</t>
  </si>
  <si>
    <t xml:space="preserve">MU/yr, MVA, DG L/h, battery kWh.</t>
  </si>
  <si>
    <t xml:space="preserve">Ch 12 calculator</t>
  </si>
  <si>
    <t xml:space="preserve">R12-19</t>
  </si>
  <si>
    <t xml:space="preserve">Scale snapshot archetypes</t>
  </si>
  <si>
    <t xml:space="preserve">5 MW Pune enterprise: 26.3 MU IT, PUE 1.60, 42.0 MU, 9 MVA, DG 2,300 L/h; 20 MW Mumbai colo: 122.6 / 1.50 / 184.0 / 35 / 8,600; 50 MW Hyderabad hyperscale: 350.4 / 1.30 / 455.5 / 76 / 18,900; 100 MW Bengaluru AI: 657.0 / 1.25 / 821.3 / 150 / 35,100.</t>
  </si>
  <si>
    <t xml:space="preserve">MU; MVA; L/h</t>
  </si>
  <si>
    <t xml:space="preserve">Report 12 model</t>
  </si>
  <si>
    <t xml:space="preserve">Quick sizing by archetype.</t>
  </si>
  <si>
    <t xml:space="preserve">Energy and connection per archetype.</t>
  </si>
  <si>
    <t xml:space="preserve">R12-20</t>
  </si>
  <si>
    <t xml:space="preserve">Worked examples A, B, C (water, energy, cost)</t>
  </si>
  <si>
    <t xml:space="preserve">A 20 MW Mumbai colo (towers): direct 245.3 ML, indirect 551.9, total 797.2 ML/yr; peak day 1,056 kL; 35 MVA; landed ₹7.94 (captive) – 11.15 (HT-II). B 50 MW Hyderabad (adiabatic): 157.7 / 1,275.5 / 1,433.1 ML; peak day 906 kL, peak hour 67.2 kL; 76 MVA; ₹7.48 (HT-I) – 9.51. C 100 MW Bengaluru AI (DLC + dry): 19.7 / 1,478.3 / 1,498.0 ML; 90% RE-RTC → ~241 ML; 150 MVA; ₹6.3–7.4 (captive) – 10.7.</t>
  </si>
  <si>
    <t xml:space="preserve">ML/yr; ₹/kWh</t>
  </si>
  <si>
    <t xml:space="preserve">Mumbai, Hyderabad, Bengaluru</t>
  </si>
  <si>
    <t xml:space="preserve">Report 12 model on verified tariffs and proxy parameters</t>
  </si>
  <si>
    <t xml:space="preserve">Reference cases for calculators and decisions.</t>
  </si>
  <si>
    <t xml:space="preserve">Procurement matters more than cooling for total water; captive RE cheapest in 2 of 3.</t>
  </si>
  <si>
    <t xml:space="preserve">Ch 12 charts and calculator</t>
  </si>
  <si>
    <t xml:space="preserve">Confirmed against the source document during the research (Report 12). Secondary = confirmed via a summary of the primary.</t>
  </si>
  <si>
    <t xml:space="preserve">#</t>
  </si>
  <si>
    <t xml:space="preserve">Figure</t>
  </si>
  <si>
    <t xml:space="preserve">Value</t>
  </si>
  <si>
    <t xml:space="preserve">Source</t>
  </si>
  <si>
    <t xml:space="preserve">Status</t>
  </si>
  <si>
    <t xml:space="preserve">Register ID</t>
  </si>
  <si>
    <t xml:space="preserve">Confirms or corrects</t>
  </si>
  <si>
    <t xml:space="preserve">Microsoft fleet WUE / PUE</t>
  </si>
  <si>
    <t xml:space="preserve">0.30 L/kWh / 1.16 (FY24); 0.27 / 1.17 (FY25)</t>
  </si>
  <si>
    <t xml:space="preserve">FY24–25</t>
  </si>
  <si>
    <t xml:space="preserve">Microsoft datacenter efficiency page</t>
  </si>
  <si>
    <t xml:space="preserve">Confirms Report 3 "fleet WUE 0.30"</t>
  </si>
  <si>
    <t xml:space="preserve">Microsoft Asia-Pacific WUE / PUE</t>
  </si>
  <si>
    <t xml:space="preserve">0.03 / 1.25 (FY24); 0.25 / 1.28 (FY25)</t>
  </si>
  <si>
    <t xml:space="preserve">Microsoft zero-water cooling design</t>
  </si>
  <si>
    <t xml:space="preserve">Avoids &gt;125 million L/yr per datacenter; all new designs from Aug 2024</t>
  </si>
  <si>
    <t xml:space="preserve">Dec 2024</t>
  </si>
  <si>
    <t xml:space="preserve">Microsoft Cloud blog</t>
  </si>
  <si>
    <t xml:space="preserve">Confirms Report 3</t>
  </si>
  <si>
    <t xml:space="preserve">Google fleet PUE</t>
  </si>
  <si>
    <t xml:space="preserve">1.09</t>
  </si>
  <si>
    <t xml:space="preserve">Google data centre efficiency</t>
  </si>
  <si>
    <t xml:space="preserve">Confirms Key numbers</t>
  </si>
  <si>
    <t xml:space="preserve">Gemini median text prompt</t>
  </si>
  <si>
    <t xml:space="preserve">0.24 Wh; 0.26 mL water (0.15 mL narrow); 0.03 gCO₂e</t>
  </si>
  <si>
    <t xml:space="preserve">May 2025</t>
  </si>
  <si>
    <t xml:space="preserve">Elsworth et al. (Google), arXiv 2508.15734</t>
  </si>
  <si>
    <t xml:space="preserve">Confirms Reports 2 and 6</t>
  </si>
  <si>
    <t xml:space="preserve">US data-centre average site WUE</t>
  </si>
  <si>
    <t xml:space="preserve">~0.36 L/kWh through 2023; 0.45–0.48 after</t>
  </si>
  <si>
    <t xml:space="preserve">LBNL US Data Center Energy Usage Report</t>
  </si>
  <si>
    <t xml:space="preserve">US data-centre water</t>
  </si>
  <si>
    <t xml:space="preserve">66 bn L direct (2023); ~800 bn L at power plants (4.52 L/kWh) on ~176 TWh</t>
  </si>
  <si>
    <t xml:space="preserve">US hyperscale median WUE</t>
  </si>
  <si>
    <t xml:space="preserve">0.32 L/kWh (0.40 if adiabatic at 0.2); adiabatic self-reported 0.1–0.3</t>
  </si>
  <si>
    <t xml:space="preserve">US average PUE (LBNL)</t>
  </si>
  <si>
    <t xml:space="preserve">1.6 (2014), 1.4 (2023), 1.15–1.35 (2028)</t>
  </si>
  <si>
    <t xml:space="preserve">UPS efficiency by class</t>
  </si>
  <si>
    <t xml:space="preserve">Edge 77–85%; colo 80–94%; hyperscale/AI 90–99%</t>
  </si>
  <si>
    <t xml:space="preserve">Server utilisation and AI load factors</t>
  </si>
  <si>
    <t xml:space="preserve">Colo 21% (2014) → 35% (2027); hyperscale 45% → 50%; AI training 80% of time at ~70% rated; inference 40%</t>
  </si>
  <si>
    <t xml:space="preserve">DGX H100 rated power</t>
  </si>
  <si>
    <t xml:space="preserve">10.2 kW (8 GPU); saturated node 7.9 kW</t>
  </si>
  <si>
    <t xml:space="preserve">Confirms Report 2</t>
  </si>
  <si>
    <t xml:space="preserve">DGX B200 maximum power</t>
  </si>
  <si>
    <t xml:space="preserve">14.3 kW</t>
  </si>
  <si>
    <t xml:space="preserve">NVIDIA DGX B200 user guide</t>
  </si>
  <si>
    <t xml:space="preserve">NTT DATA WUE and PUE</t>
  </si>
  <si>
    <t xml:space="preserve">Portfolio WUE 1.01 / 0.65 / 0.72; evaporative sites 2.93 / 2.77 / 1.42; PUE 1.40 / 1.38 / 1.38</t>
  </si>
  <si>
    <t xml:space="preserve">FY22–24</t>
  </si>
  <si>
    <t xml:space="preserve">NTT DATA ESG environment data</t>
  </si>
  <si>
    <t xml:space="preserve">Global average PUE (Uptime)</t>
  </si>
  <si>
    <t xml:space="preserve">1.54 (2025); 1.56 (2024); 1.58 (2023); facilities since ~2020 1.48; &gt;20 MW 1.44</t>
  </si>
  <si>
    <t xml:space="preserve">Uptime Institute Global Data Center Survey 2025</t>
  </si>
  <si>
    <t xml:space="preserve">Confirms Key numbers and Report 1 (1.44 for &gt;20 MW)</t>
  </si>
  <si>
    <t xml:space="preserve">Asia-Pacific average PUE (excl. China)</t>
  </si>
  <si>
    <t xml:space="preserve">1.52 (n = 79) vs global 1.54</t>
  </si>
  <si>
    <t xml:space="preserve">Uptime Field Report 183</t>
  </si>
  <si>
    <t xml:space="preserve">GPT-3 request served from India (Li et al.)</t>
  </si>
  <si>
    <t xml:space="preserve">19.7 mL (0 on-site + 19.7 off-site); PUE 1.430; EWIF 3.445 L/kWh; Microsoft India on-site WUE 0.000</t>
  </si>
  <si>
    <t xml:space="preserve">2023/2025</t>
  </si>
  <si>
    <t xml:space="preserve">Li, Yang, Islam &amp; Ren, ACM</t>
  </si>
  <si>
    <t xml:space="preserve">Confirms Report 6</t>
  </si>
  <si>
    <t xml:space="preserve">CEEW India sector data</t>
  </si>
  <si>
    <t xml:space="preserve">DCs ≈ 0.5% of national electricity (2025); ~271 DCs (Jan 2026); 100 MW hyperscale ~2 million L/day</t>
  </si>
  <si>
    <t xml:space="preserve">Feb 2026</t>
  </si>
  <si>
    <t xml:space="preserve">CEEW &amp; Systemiq, Scaling India's Data Centre Ecosystem</t>
  </si>
  <si>
    <t xml:space="preserve">Confirms Report 11 calibration</t>
  </si>
  <si>
    <t xml:space="preserve">Indian operator water disclosure</t>
  </si>
  <si>
    <t xml:space="preserve">Nxtra and CtrlS publish no WUE; CtrlS 409,037 kL (2023-24) vs 468,330 kL (2022-23); Yotta gives no number</t>
  </si>
  <si>
    <t xml:space="preserve">Down To Earth</t>
  </si>
  <si>
    <t xml:space="preserve">Confirms Report 6 disclosure gap</t>
  </si>
  <si>
    <t xml:space="preserve">Karnataka Sustainable DC Policy 2026–31</t>
  </si>
  <si>
    <t xml:space="preserve">Plant-wise PUE and WUE reporting required; water-charge reimbursement for WUE 0.7–1.3 L/kWh</t>
  </si>
  <si>
    <t xml:space="preserve">The News Minute (policy summary)</t>
  </si>
  <si>
    <t xml:space="preserve">Confirms Report 4 critique of the WUE band</t>
  </si>
  <si>
    <t xml:space="preserve">Thermal plant water norms</t>
  </si>
  <si>
    <t xml:space="preserve">≤3.5 m³/MWh for existing cooling-tower plants (by 7 Dec 2017); 2.5 m³/MWh for post-2017 plants, relaxed to 3.0 (Jun 2018)</t>
  </si>
  <si>
    <t xml:space="preserve">2015/2018</t>
  </si>
  <si>
    <t xml:space="preserve">MoEFCC S.O. 3305(E) (CPCB); PowerLine</t>
  </si>
  <si>
    <t xml:space="preserve">Confirms Report 5 "3.5/3.0 norms"</t>
  </si>
  <si>
    <t xml:space="preserve">Indian coal plant water consumption</t>
  </si>
  <si>
    <t xml:space="preserve">2.8–3.4 m³/MWh (≈2× world 1.2–1.5); air-cooled condenser 0.45–0.65</t>
  </si>
  <si>
    <t xml:space="preserve">Energy journal (SD23) vulnerability assessment</t>
  </si>
  <si>
    <t xml:space="preserve">Confirms Report 5 (~3,400 L/MWh)</t>
  </si>
  <si>
    <t xml:space="preserve">Coal plant withdrawal and FGD</t>
  </si>
  <si>
    <t xml:space="preserve">Once-through 70–200 m³/MWh; average withdrawal ~4 m³/MWh; FGD adds ~0.3 m³/MWh</t>
  </si>
  <si>
    <t xml:space="preserve">Sep 2026</t>
  </si>
  <si>
    <t xml:space="preserve">CSE via PowerLine</t>
  </si>
  <si>
    <t xml:space="preserve">Nuclear and thermal water factors (NREL)</t>
  </si>
  <si>
    <t xml:space="preserve">Nuclear tower 672 gal/MWh = 2.54 L/kWh; tower thermal upper ~1,000 gal/MWh ≈ 3.8 L/kWh; wind ~0</t>
  </si>
  <si>
    <t xml:space="preserve">2011</t>
  </si>
  <si>
    <t xml:space="preserve">Macknick et al., NREL</t>
  </si>
  <si>
    <t xml:space="preserve">Confirms Report 5 nuclear ~2,600 L/MWh</t>
  </si>
  <si>
    <t xml:space="preserve">40% now; 70% by 2030; 14 of 20 utilities had shutdowns 2013–16 costing US$1.4 bn</t>
  </si>
  <si>
    <t xml:space="preserve">WRI</t>
  </si>
  <si>
    <t xml:space="preserve">India FY25 generation</t>
  </si>
  <si>
    <t xml:space="preserve">1,824 BU total; thermal 1,363 BU (74.7%)</t>
  </si>
  <si>
    <t xml:space="preserve">CREA via Deccan Herald</t>
  </si>
  <si>
    <t xml:space="preserve">India and Karnataka renewable share</t>
  </si>
  <si>
    <t xml:space="preserve">RE 403.64 BU (22.13% of generation); Karnataka RE 48.10% of state generation</t>
  </si>
  <si>
    <t xml:space="preserve">MNRE Renewable Energy Statistics 2024-25</t>
  </si>
  <si>
    <t xml:space="preserve">India grid emission factor</t>
  </si>
  <si>
    <t xml:space="preserve">0.710 tCO₂/MWh FY25 (1,234.19 Mt ÷ 1,739.06 BU); 0.774 FY2013-14</t>
  </si>
  <si>
    <t xml:space="preserve">Nov 2025</t>
  </si>
  <si>
    <t xml:space="preserve">(not captured)</t>
  </si>
  <si>
    <t xml:space="preserve">Confirms Reports 5, 7, 8, 11 and simulator</t>
  </si>
  <si>
    <t xml:space="preserve">EU water reporting</t>
  </si>
  <si>
    <t xml:space="preserve">Sites ≥500 kW IT report total and potable water input (m³); first returns 15 Sep 2024, then 15 May yearly</t>
  </si>
  <si>
    <t xml:space="preserve">Delegated Regulation (EU) 2024/1364</t>
  </si>
  <si>
    <t xml:space="preserve">Confirms Report 8</t>
  </si>
  <si>
    <t xml:space="preserve">NERC large-load events</t>
  </si>
  <si>
    <t xml:space="preserve">~1,500 MW DC load disconnected 10 Jul 2024 (60 load points, 25 substations); 1,800 MW loss Feb 2025</t>
  </si>
  <si>
    <t xml:space="preserve">NERC / FERC presentation</t>
  </si>
  <si>
    <t xml:space="preserve">IEX prices</t>
  </si>
  <si>
    <t xml:space="preserve">DAM Jan 2026 ₹3.86, Feb ₹3.58; G-DAM FY25 ₹4.01, Jan 2026 ₹4.06, Feb ₹3.43</t>
  </si>
  <si>
    <t xml:space="preserve">IEX via SaurEnergy and Business Standard</t>
  </si>
  <si>
    <t xml:space="preserve">SECI firm renewable tenders</t>
  </si>
  <si>
    <t xml:space="preserve">FDRE-RTC ₹5.25/kWh; 4-hour assured peak ₹5.99/kWh; RTC-IV ₹5.06–5.07; SJVN FDRE-3 ₹4.82–4.91</t>
  </si>
  <si>
    <t xml:space="preserve">pv-magazine; SaurEnergy</t>
  </si>
  <si>
    <t xml:space="preserve">Confirms Reports 7 and 8 (₹5.25)</t>
  </si>
  <si>
    <t xml:space="preserve">ISTS charge waiver phase-out</t>
  </si>
  <si>
    <t xml:space="preserve">ISTS charges at 25% for COD Jul 2025–Jun 2026, then 50%, 75%, 100% after 1 Jul 2028</t>
  </si>
  <si>
    <t xml:space="preserve">Ministry of Power via T&amp;D India</t>
  </si>
  <si>
    <t xml:space="preserve">Green Energy Open Access Rules 2022</t>
  </si>
  <si>
    <t xml:space="preserve">CSS may not rise &gt;50% over 12 years; additional surcharge not applicable if fixed charges paid; banking ≥30% monthly</t>
  </si>
  <si>
    <t xml:space="preserve">Jun 2022</t>
  </si>
  <si>
    <t xml:space="preserve">GEOA Rules gazette</t>
  </si>
  <si>
    <t xml:space="preserve">Confirms Report 9</t>
  </si>
  <si>
    <t xml:space="preserve">FOR model GEOA regulations</t>
  </si>
  <si>
    <t xml:space="preserve">Cross-subsidy surcharge not to exceed 20% of tariff or ABR</t>
  </si>
  <si>
    <t xml:space="preserve">Forum of Regulators</t>
  </si>
  <si>
    <t xml:space="preserve">MSEDCL HT tariffs (MERC MYT)</t>
  </si>
  <si>
    <t xml:space="preserve">HT-I(A) ₹7.48/kVAh FY26 → 7.27 → 7.11; ₹555/560/565 per kVA-month; HT-II commercial ₹9.26 + ₹0.62; 10% wheeling discount for DCs on OA/green tariff</t>
  </si>
  <si>
    <t xml:space="preserve">Mar 2025</t>
  </si>
  <si>
    <t xml:space="preserve">MERC press note, MSEDCL MYT order</t>
  </si>
  <si>
    <t xml:space="preserve">Differs from Reports 7/10 (₹7.27 / ₹7.11–7.27) — see Conflicts</t>
  </si>
  <si>
    <t xml:space="preserve">Tata Power-D HT tariffs</t>
  </si>
  <si>
    <t xml:space="preserve">HT-II / EHV commercial ₹5.89 + ₹0.69 wheeling / ₹5.89; ₹300/kVA-month; green tariff ₹0.25/kWh</t>
  </si>
  <si>
    <t xml:space="preserve">MERC press note, TPC-D MYT order</t>
  </si>
  <si>
    <t xml:space="preserve">TGSPDCL HT tariffs</t>
  </si>
  <si>
    <t xml:space="preserve">HT-I(A) ₹7.65 / 7.15 / 6.65 per kVAh (11 / 33 / ≥132 kV); ₹500/kVA-month; green +₹0.66; HT-II(A) ₹8.80 / 8.00 / 7.80</t>
  </si>
  <si>
    <t xml:space="preserve">TGERC tariff schedule</t>
  </si>
  <si>
    <t xml:space="preserve">Confirms Reports 7 and 10 Telangana tariffs</t>
  </si>
  <si>
    <t xml:space="preserve">Telangana cross-subsidy surcharge</t>
  </si>
  <si>
    <t xml:space="preserve">HT-I ₹1.82 / 1.56 / 1.46; HT-II(A) ₹2.15 / 1.86 / 1.79 per kWh</t>
  </si>
  <si>
    <t xml:space="preserve">Telangana ToD</t>
  </si>
  <si>
    <t xml:space="preserve">+₹1.00/unit 06–10 and 18–22 h; −₹1.50/unit 22–06 h</t>
  </si>
  <si>
    <t xml:space="preserve">Maharashtra ToD</t>
  </si>
  <si>
    <t xml:space="preserve">HT ToD charge 25%; solar-hour rebate from −15% (FY26)</t>
  </si>
  <si>
    <t xml:space="preserve">FY26–30</t>
  </si>
  <si>
    <t xml:space="preserve">MERC press note</t>
  </si>
  <si>
    <t xml:space="preserve">KERC HT-2(a) tariff</t>
  </si>
  <si>
    <t xml:space="preserve">660 paise/kWh (FY26, FY27), 650 (FY28); ₹345 / 350 / 355 per kVA-month; P&amp;G surcharge 36 paise (FY26), 35 (FY27)</t>
  </si>
  <si>
    <t xml:space="preserve">KERC tariff schedule</t>
  </si>
  <si>
    <t xml:space="preserve">Differs from Report 10 (~700 paise) and simulator (₹6.70) — see Conflicts</t>
  </si>
  <si>
    <t xml:space="preserve">ChatGPT average query</t>
  </si>
  <si>
    <t xml:space="preserve">0.34 Wh; ~0.32 mL water (Altman, Jun 2025)</t>
  </si>
  <si>
    <t xml:space="preserve">Jun 2025</t>
  </si>
  <si>
    <t xml:space="preserve">Towards Data Science</t>
  </si>
  <si>
    <t xml:space="preserve">Google fleet WUE</t>
  </si>
  <si>
    <t xml:space="preserve">1.15 L/kWh</t>
  </si>
  <si>
    <t xml:space="preserve">MDPI reconstruction of Google data</t>
  </si>
  <si>
    <t xml:space="preserve">Equinix WUE</t>
  </si>
  <si>
    <t xml:space="preserve">0.91 global; 1.41 evaporative sites</t>
  </si>
  <si>
    <t xml:space="preserve">Equinix 2025 report via Wikipedia</t>
  </si>
  <si>
    <t xml:space="preserve">EU data-centre rating scheme</t>
  </si>
  <si>
    <t xml:space="preserve">A–G energy and water labels auto-generated from 15 Aug 2027; A: PUE ≤1.15, WUE ≤0.10</t>
  </si>
  <si>
    <t xml:space="preserve">2026 (draft)</t>
  </si>
  <si>
    <t xml:space="preserve">Philip Lee</t>
  </si>
  <si>
    <t xml:space="preserve">DC share of India water demand</t>
  </si>
  <si>
    <t xml:space="preserve">~0.02–0.03% of national water demand</t>
  </si>
  <si>
    <t xml:space="preserve">CEEW author in Scroll</t>
  </si>
  <si>
    <t xml:space="preserve">Confirms Report 11 (Mongabay)</t>
  </si>
  <si>
    <t xml:space="preserve">India DC siting and water</t>
  </si>
  <si>
    <t xml:space="preserve">~75% of DCs in water-stressed regions; ~25 million L per MW per year</t>
  </si>
  <si>
    <t xml:space="preserve">DTE via Substack</t>
  </si>
  <si>
    <t xml:space="preserve">Global DC water split (IEA)</t>
  </si>
  <si>
    <t xml:space="preserve">560 bn L (2023) = 373 indirect + 140 direct + 47 hardware manufacturing</t>
  </si>
  <si>
    <t xml:space="preserve">IEA via gpusmith</t>
  </si>
  <si>
    <t xml:space="preserve">Solar PV water use</t>
  </si>
  <si>
    <t xml:space="preserve">&lt;0.19 L/kWh (cleaning)</t>
  </si>
  <si>
    <t xml:space="preserve">NREL-derived secondary sources</t>
  </si>
  <si>
    <t xml:space="preserve">IEX hourly price shape</t>
  </si>
  <si>
    <t xml:space="preserve">June 2026 averages: trough ₹1.17 at 11:00; peak ₹9.90 at 22:30; 08–16 h ₹1.63; 18–23 h ₹8.10</t>
  </si>
  <si>
    <t xml:space="preserve">Jun 2026</t>
  </si>
  <si>
    <t xml:space="preserve">earthsync</t>
  </si>
  <si>
    <t xml:space="preserve">NERC follow-on details</t>
  </si>
  <si>
    <t xml:space="preserve">~1,260 MW did not return for hours (POWER); one site 450 → 40 MW in 36 s (NERC Jul 2025 white paper, via Keentel)</t>
  </si>
  <si>
    <t xml:space="preserve">POWER; Keentel Engineering</t>
  </si>
  <si>
    <t xml:space="preserve">GB200 / GB300 NVL72 rack power</t>
  </si>
  <si>
    <t xml:space="preserve">~120 kW (NVIDIA); 132 kW HPE nominal; GB300 135–142 kW</t>
  </si>
  <si>
    <t xml:space="preserve">Pantheon summary of NVIDIA specs</t>
  </si>
  <si>
    <t xml:space="preserve">Confirms Report 2 range</t>
  </si>
  <si>
    <t xml:space="preserve">Tamil Nadu HT tariffs</t>
  </si>
  <si>
    <t xml:space="preserve">HT-I ₹7.50 / HT-III ₹9.40 per kWh; ₹608/kVA-month; HT wheeling ₹1.04; CSS industrial ₹1.99, commercial ₹2.57</t>
  </si>
  <si>
    <t xml:space="preserve">eClouds Energy summary of TNERC T.O. 6/2025</t>
  </si>
  <si>
    <t xml:space="preserve">Confirms Reports 7 and 10 Tamil Nadu tariffs</t>
  </si>
  <si>
    <t xml:space="preserve">BESCOM true-up and proposed surcharge</t>
  </si>
  <si>
    <t xml:space="preserve">True-up +56 paise (May 2026–Apr 2027); additional surcharge ₹1.65/kWh proposed, not approved</t>
  </si>
  <si>
    <t xml:space="preserve">MENAFN; SolarQuarter</t>
  </si>
  <si>
    <t xml:space="preserve">Confirms Report 8 mention of ₹1.65</t>
  </si>
  <si>
    <t xml:space="preserve">Tamil Nadu GEOA banking</t>
  </si>
  <si>
    <t xml:space="preserve">8% of banked energy, in kind (TN GEOA Regulations 2025)</t>
  </si>
  <si>
    <t xml:space="preserve">Sep 2025</t>
  </si>
  <si>
    <t xml:space="preserve">SolarQuarter</t>
  </si>
  <si>
    <t xml:space="preserve">2025 coal PPAs</t>
  </si>
  <si>
    <t xml:space="preserve">₹5.38–6.30/kWh starting tariffs</t>
  </si>
  <si>
    <t xml:space="preserve">IECC via SaurEnergy</t>
  </si>
  <si>
    <t xml:space="preserve">Maharashtra grid support charge</t>
  </si>
  <si>
    <t xml:space="preserve">₹1.40/unit for HT rooftop solar</t>
  </si>
  <si>
    <t xml:space="preserve">Secondary summary of MERC order</t>
  </si>
  <si>
    <t xml:space="preserve">Where our sources disagree</t>
  </si>
  <si>
    <t xml:space="preserve">Use the "Use now" column until the conflict is resolved.</t>
  </si>
  <si>
    <t xml:space="preserve">Topic</t>
  </si>
  <si>
    <t xml:space="preserve">Value A (source)</t>
  </si>
  <si>
    <t xml:space="preserve">Value B (source)</t>
  </si>
  <si>
    <t xml:space="preserve">Likely reason</t>
  </si>
  <si>
    <t xml:space="preserve">Use now</t>
  </si>
  <si>
    <t xml:space="preserve">How to resolve</t>
  </si>
  <si>
    <t xml:space="preserve">MSEDCL HT-I(A) energy charge</t>
  </si>
  <si>
    <t xml:space="preserve">₹7.48/kVAh FY26 → 7.27 → 7.11 (MERC press note; verified in Report 12)</t>
  </si>
  <si>
    <t xml:space="preserve">₹7.11–7.27 (Report 10, MERC documents); ₹7.27 (Report 7 and simulator); ₹8.68 after a Mar 2026 review (blog, unverified)</t>
  </si>
  <si>
    <t xml:space="preserve">Different tariff years and documents; blog figure unconfirmed</t>
  </si>
  <si>
    <t xml:space="preserve">Use ₹7.48 for FY26 and ₹7.27 for FY27 per MERC; ignore ₹8.68 until an order is found</t>
  </si>
  <si>
    <t xml:space="preserve">Pull MERC Case 217/2024 schedule and any 2026 review order</t>
  </si>
  <si>
    <t xml:space="preserve">Karnataka HT-2(a) energy charge</t>
  </si>
  <si>
    <t xml:space="preserve">660 paise/kWh FY26–27, ₹345/kVA (KERC schedule; verified in Report 12)</t>
  </si>
  <si>
    <t xml:space="preserve">~700 paise + ~₹355/kVA (Report 10, unconfirmed row); ₹6.70 + ₹365 (Report 7 and simulator)</t>
  </si>
  <si>
    <t xml:space="preserve">Report 10 subagent could not confirm the row; Report 7 used an older figure</t>
  </si>
  <si>
    <t xml:space="preserve">Use 660 paise + ₹345 (+36 paise P&amp;G, +56 paise BESCOM true-up where applicable)</t>
  </si>
  <si>
    <t xml:space="preserve">Update Report 10 effective tariff (≈₹7.61) and simulator</t>
  </si>
  <si>
    <t xml:space="preserve">Bangalore East groundwater stage</t>
  </si>
  <si>
    <t xml:space="preserve">~305% (2024 assessment; Report 4)</t>
  </si>
  <si>
    <t xml:space="preserve">395% (IN-GRES 2025-26, secondary compilation; Report 10)</t>
  </si>
  <si>
    <t xml:space="preserve">Different assessment years and sources</t>
  </si>
  <si>
    <t xml:space="preserve">Both say severely over-exploited; cite as "305–395%" until verified</t>
  </si>
  <si>
    <t xml:space="preserve">Check IN-GRES 2025-26 directly</t>
  </si>
  <si>
    <t xml:space="preserve">India operational capacity</t>
  </si>
  <si>
    <t xml:space="preserve">1,789 MW (C&amp;W, H1 2026)</t>
  </si>
  <si>
    <t xml:space="preserve">1,637 MW (JLL, Jun 2026); 1.57 GW (PIB, Aug 2026); ~1.7 GW end-2025 (CBRE)</t>
  </si>
  <si>
    <t xml:space="preserve">Coverage (7 markets vs national), IT vs gross MW, timing</t>
  </si>
  <si>
    <t xml:space="preserve">Use C&amp;W for city splits; quote 1.6–1.8 GW range</t>
  </si>
  <si>
    <t xml:space="preserve">Rebase every six months</t>
  </si>
  <si>
    <t xml:space="preserve">Colocation vacancy</t>
  </si>
  <si>
    <t xml:space="preserve">14.9% (C&amp;W)</t>
  </si>
  <si>
    <t xml:space="preserve">2.8% (JLL)</t>
  </si>
  <si>
    <t xml:space="preserve">Different definitions of vacancy</t>
  </si>
  <si>
    <t xml:space="preserve">Avoid using vacancy as a model input without stating the source</t>
  </si>
  <si>
    <t xml:space="preserve">Global DC electricity 2024</t>
  </si>
  <si>
    <t xml:space="preserve">415 TWh (IEA Apr 2025)</t>
  </si>
  <si>
    <t xml:space="preserve">485 TWh (IEA 2026 update)</t>
  </si>
  <si>
    <t xml:space="preserve">Revised baseline</t>
  </si>
  <si>
    <t xml:space="preserve">Use the 2026 update for new work; atlas still shows 415</t>
  </si>
  <si>
    <t xml:space="preserve">Update atlas Ch 2 chart</t>
  </si>
  <si>
    <t xml:space="preserve">Power-station water, non-Karnataka states</t>
  </si>
  <si>
    <t xml:space="preserve">2.2 L/kWh (simulator, Reports 4–6)</t>
  </si>
  <si>
    <t xml:space="preserve">2.8–3.4 L/kWh (Report 12 proxies for MH, TG, UP); 3.0 national default</t>
  </si>
  <si>
    <t xml:space="preserve">Report 12 recomputed from the FY25 generation mix</t>
  </si>
  <si>
    <t xml:space="preserve">Use Report 12 values</t>
  </si>
  <si>
    <t xml:space="preserve">Update simulator input</t>
  </si>
  <si>
    <t xml:space="preserve">Karnataka power-station water</t>
  </si>
  <si>
    <t xml:space="preserve">~1.5 L/kWh (Reports 4–6)</t>
  </si>
  <si>
    <t xml:space="preserve">1.5–2.2 L/kWh (Report 12 proxy); 1.8 used in Example C</t>
  </si>
  <si>
    <t xml:space="preserve">Report 12 range based on 48% RE share</t>
  </si>
  <si>
    <t xml:space="preserve">Use 1.8 as central value</t>
  </si>
  <si>
    <t xml:space="preserve">Group-captive renewable landed cost</t>
  </si>
  <si>
    <t xml:space="preserve">₹5.5–7/kWh (Report 8)</t>
  </si>
  <si>
    <t xml:space="preserve">₹6.5–7.5/kWh landed incl. wheeling, losses, banking and demand (Report 12)</t>
  </si>
  <si>
    <t xml:space="preserve">Report 12 adds delivery charges and demand charge</t>
  </si>
  <si>
    <t xml:space="preserve">Use Report 12 build-up</t>
  </si>
  <si>
    <t xml:space="preserve">Third-party open access landed cost</t>
  </si>
  <si>
    <t xml:space="preserve">₹6.5–8/kWh (Report 8)</t>
  </si>
  <si>
    <t xml:space="preserve">₹8.5–10/kWh once CSS, AS and residual demand are added (Report 12)</t>
  </si>
  <si>
    <t xml:space="preserve">Report 12 includes state surcharges</t>
  </si>
  <si>
    <t xml:space="preserve">Hyderabad adiabatic annual WUE</t>
  </si>
  <si>
    <t xml:space="preserve">0.45 L/kWh (Report 12 planning value)</t>
  </si>
  <si>
    <t xml:space="preserve">0.31 L/kWh (atlas Ch 12 hourly model on average temperatures)</t>
  </si>
  <si>
    <t xml:space="preserve">Average temperatures miss heatwaves; report adds margin</t>
  </si>
  <si>
    <t xml:space="preserve">Plan with 0.45</t>
  </si>
  <si>
    <t xml:space="preserve">Calibrate with ISHRAE TMY</t>
  </si>
  <si>
    <t xml:space="preserve">Peak-hour reduction from "dry at noon"</t>
  </si>
  <si>
    <t xml:space="preserve">Halves peak hour with an 11:00–16:00 window (Report 12 text)</t>
  </si>
  <si>
    <t xml:space="preserve">Only 67 → 63 kL/h with 11:00–16:00 on Report 12's own profile; 67 → 47 kL/h with 10:00–18:00</t>
  </si>
  <si>
    <t xml:space="preserve">16:00–17:00 hours stay hot</t>
  </si>
  <si>
    <t xml:space="preserve">Use a window to ~18:00</t>
  </si>
  <si>
    <t xml:space="preserve">AdaniConneX sustainability financing</t>
  </si>
  <si>
    <t xml:space="preserve">US$875 m sustainability-linked loan (Report 8)</t>
  </si>
  <si>
    <t xml:space="preserve">US$1.44 bn sustainability-linked financing (Report 11)</t>
  </si>
  <si>
    <t xml:space="preserve">Probably different instruments or a later total</t>
  </si>
  <si>
    <t xml:space="preserve">Cite both with dates</t>
  </si>
  <si>
    <t xml:space="preserve">Check AdaniConneX disclosures</t>
  </si>
  <si>
    <t xml:space="preserve">Bengaluru data-centre water use</t>
  </si>
  <si>
    <t xml:space="preserve">~2.2 MLD (DTE permitted)</t>
  </si>
  <si>
    <t xml:space="preserve">~20 MLD (WELL Labs heuristic); 4–5 MLD series model</t>
  </si>
  <si>
    <t xml:space="preserve">No metering</t>
  </si>
  <si>
    <t xml:space="preserve">Quote the range; the spread is the finding</t>
  </si>
  <si>
    <t xml:space="preserve">Request metered data</t>
  </si>
  <si>
    <t xml:space="preserve">Indian DC water (CEEW / Mordor)</t>
  </si>
  <si>
    <t xml:space="preserve">~150 bn L/yr ≈ 410 MLD (2025)</t>
  </si>
  <si>
    <t xml:space="preserve">~20–30 MLD on-site from models (Report 11)</t>
  </si>
  <si>
    <t xml:space="preserve">CEEW figure likely includes power-generation water and semiconductors</t>
  </si>
  <si>
    <t xml:space="preserve">Do not compare with on-site WUE</t>
  </si>
  <si>
    <t xml:space="preserve">National electricity denominator</t>
  </si>
  <si>
    <t xml:space="preserve">1,694 BU requirement FY25 (CEA LT-NRAP)</t>
  </si>
  <si>
    <t xml:space="preserve">1,824 BU generation FY25 (CREA); 1,739.06 BU net generation (CEA EF denominator)</t>
  </si>
  <si>
    <t xml:space="preserve">Requirement vs gross vs net generation</t>
  </si>
  <si>
    <t xml:space="preserve">State the basis whenever quoting a share</t>
  </si>
  <si>
    <t xml:space="preserve">Tamil Nadu policy status</t>
  </si>
  <si>
    <t xml:space="preserve">Lapsed 31 Mar 2026 (Report 9)</t>
  </si>
  <si>
    <t xml:space="preserve">Treat incentives as unavailable until a successor is notified</t>
  </si>
  <si>
    <t xml:space="preserve">Track TN notifications</t>
  </si>
  <si>
    <t xml:space="preserve">Data gaps and how to close them</t>
  </si>
  <si>
    <t xml:space="preserve">Sorted by priority.</t>
  </si>
  <si>
    <t xml:space="preserve">Gap</t>
  </si>
  <si>
    <t xml:space="preserve">Why it matters</t>
  </si>
  <si>
    <t xml:space="preserve">Who to ask / where</t>
  </si>
  <si>
    <t xml:space="preserve">Instrument</t>
  </si>
  <si>
    <t xml:space="preserve">Affects (Register IDs, chapters)</t>
  </si>
  <si>
    <t xml:space="preserve">Priority</t>
  </si>
  <si>
    <t xml:space="preserve">Binding constraint for every site; power scores rest on tariff and judgement</t>
  </si>
  <si>
    <t xml:space="preserve">MSETCL, TANTRANSCO, KPTCL, TGTRANSCO, APTRANSCO, UPPTCL, HVPNL, DTL, GETCO, WBSETCL, KSEB-T, OPTCL, RVPN, MPPTCL, CSPTCL; CTUIL (ISTS GNA margins); Grid-India ATC/TTC</t>
  </si>
  <si>
    <t xml:space="preserve">Load-flow / connectivity study request</t>
  </si>
  <si>
    <t xml:space="preserve">R10-02, R10-12; Ch 10</t>
  </si>
  <si>
    <t xml:space="preserve">High</t>
  </si>
  <si>
    <t xml:space="preserve">EHV node names and distances</t>
  </si>
  <si>
    <t xml:space="preserve">All 50 site distances are estimates</t>
  </si>
  <si>
    <t xml:space="preserve">STU single-line diagrams; CEA/CTUIL transmission maps</t>
  </si>
  <si>
    <t xml:space="preserve">Map check</t>
  </si>
  <si>
    <t xml:space="preserve">R10-02; Ch 10 filter</t>
  </si>
  <si>
    <t xml:space="preserve">Block-level groundwater categories</t>
  </si>
  <si>
    <t xml:space="preserve">Only Bengaluru, Chennai, Haryana and national figures are reported</t>
  </si>
  <si>
    <t xml:space="preserve">IN-GRES (ingres.iith.ac.in), CGWB 2025 assessment</t>
  </si>
  <si>
    <t xml:space="preserve">Portal download</t>
  </si>
  <si>
    <t xml:space="preserve">R4-02, R10-06; Ch 10 water filter</t>
  </si>
  <si>
    <t xml:space="preserve">Operator WUE / PUE (metered)</t>
  </si>
  <si>
    <t xml:space="preserve">No national dataset; most Indian operators publish neither</t>
  </si>
  <si>
    <t xml:space="preserve">Nxtra, CtrlS, Yotta, Sify, STT GDC, AdaniConneX, NTT India; Karnataka plant-wise filings</t>
  </si>
  <si>
    <t xml:space="preserve">ESG/BRSR requests; Karnataka disclosures</t>
  </si>
  <si>
    <t xml:space="preserve">R6-07, R12-03, R11-06</t>
  </si>
  <si>
    <t xml:space="preserve">Hourly climate (typical-year files)</t>
  </si>
  <si>
    <t xml:space="preserve">Wet-mode hours, free-cooling hours, design temperatures are approximations</t>
  </si>
  <si>
    <t xml:space="preserve">ISHRAE / ASHRAE TMY for 8+ cities</t>
  </si>
  <si>
    <t xml:space="preserve">Licence</t>
  </si>
  <si>
    <t xml:space="preserve">R3-08, R10-02, R12-11, R12-14</t>
  </si>
  <si>
    <t xml:space="preserve">Tariff conflicts and missing orders</t>
  </si>
  <si>
    <t xml:space="preserve">MSEDCL, KERC differ across reports; DERC, APERC energy, Gujarat demand slabs, WB energy, Rajasthan, MP mapping, Kerala demand unverified</t>
  </si>
  <si>
    <t xml:space="preserve">MERC Case 217/2024 and 2026 orders; KERC; DERC; APERC; GERC; WBERC; RERC; MPERC; KSERC</t>
  </si>
  <si>
    <t xml:space="preserve">Regulator PDFs</t>
  </si>
  <si>
    <t xml:space="preserve">R7-11, R10-04, R10-05, R12-15</t>
  </si>
  <si>
    <t xml:space="preserve">CSS, additional surcharge and wheeling for MH and KA</t>
  </si>
  <si>
    <t xml:space="preserve">Needed for open-access landed cost</t>
  </si>
  <si>
    <t xml:space="preserve">MERC tables 446–447; KERC OA orders</t>
  </si>
  <si>
    <t xml:space="preserve">Medium</t>
  </si>
  <si>
    <t xml:space="preserve">Water permits and allocations for named DC projects</t>
  </si>
  <si>
    <t xml:space="preserve">No verified Indian figures found (Navi Mumbai, Chennai, Hyderabad, Vizag, Greater Noida, Hoskote)</t>
  </si>
  <si>
    <t xml:space="preserve">State PCBs (CTE/CTO), MIDC, CMWSSB, HMWSSB, BWSSB, GVMC; MoEFCC PARIVESH</t>
  </si>
  <si>
    <t xml:space="preserve">RTI; portal downloads</t>
  </si>
  <si>
    <t xml:space="preserve">R12-12; Ch 12</t>
  </si>
  <si>
    <t xml:space="preserve">Hourly and marginal grid emission factors</t>
  </si>
  <si>
    <t xml:space="preserve">No official hourly or marginal factor for India</t>
  </si>
  <si>
    <t xml:space="preserve">CEA; Grid-India; SLDCs</t>
  </si>
  <si>
    <t xml:space="preserve">Policy request</t>
  </si>
  <si>
    <t xml:space="preserve">Hourly DC load data</t>
  </si>
  <si>
    <t xml:space="preserve">All hourly profiles are modelled</t>
  </si>
  <si>
    <t xml:space="preserve">Grid-India / SLDCs; DISCOM AMR data</t>
  </si>
  <si>
    <t xml:space="preserve">Data-sharing MoU</t>
  </si>
  <si>
    <t xml:space="preserve">R12-14, R4 day model</t>
  </si>
  <si>
    <t xml:space="preserve">Plant-level power-station water</t>
  </si>
  <si>
    <t xml:space="preserve">Grid water intensity is modelled from norms and studies</t>
  </si>
  <si>
    <t xml:space="preserve">CEA; plant CTO returns; WRI India</t>
  </si>
  <si>
    <t xml:space="preserve">RTI; WRI satellite method</t>
  </si>
  <si>
    <t xml:space="preserve">State electricity requirement tables</t>
  </si>
  <si>
    <t xml:space="preserve">State DC shares use extrapolated denominators</t>
  </si>
  <si>
    <t xml:space="preserve">20th EPS mid-term review state tables (CEA)</t>
  </si>
  <si>
    <t xml:space="preserve">Publication</t>
  </si>
  <si>
    <t xml:space="preserve">Flood and cyclone hazard at plot level</t>
  </si>
  <si>
    <t xml:space="preserve">City ratings are qualitative</t>
  </si>
  <si>
    <t xml:space="preserve">NRSC Bhuvan flood atlas; NDMA cyclone zones</t>
  </si>
  <si>
    <t xml:space="preserve">State policy gazettes</t>
  </si>
  <si>
    <t xml:space="preserve">Karnataka, UP, Gujarat 2026 numbers from cabinet notes and press</t>
  </si>
  <si>
    <t xml:space="preserve">State gazettes</t>
  </si>
  <si>
    <t xml:space="preserve">Download</t>
  </si>
  <si>
    <t xml:space="preserve">Talent (graduate counts)</t>
  </si>
  <si>
    <t xml:space="preserve">Demand/talent scores are estimates</t>
  </si>
  <si>
    <t xml:space="preserve">AISHE</t>
  </si>
  <si>
    <t xml:space="preserve">Data download</t>
  </si>
  <si>
    <t xml:space="preserve">Low</t>
  </si>
  <si>
    <t xml:space="preserve">Bespoke state packages</t>
  </si>
  <si>
    <t xml:space="preserve">AP–Google package (~₹22,000 cr claimed) and Telangana deals unpublished</t>
  </si>
  <si>
    <t xml:space="preserve">AP and Telangana governments</t>
  </si>
  <si>
    <t xml:space="preserve">RTI</t>
  </si>
  <si>
    <t xml:space="preserve">Uptime Tier water and fuel autonomy</t>
  </si>
  <si>
    <t xml:space="preserve">Storage sizing rule (12–72 h) not verified against the standard</t>
  </si>
  <si>
    <t xml:space="preserve">Uptime Institute Tier Standard: Topology</t>
  </si>
  <si>
    <t xml:space="preserve">Purchase / request</t>
  </si>
  <si>
    <t xml:space="preserve">Bank forecasts for India MW</t>
  </si>
  <si>
    <t xml:space="preserve">No public figures from Morgan Stanley, Bernstein, Nomura, Goldman, CRISIL, NASSCOM, IEA (country)</t>
  </si>
  <si>
    <t xml:space="preserve">Those firms</t>
  </si>
  <si>
    <t xml:space="preserve">Research subscriptions</t>
  </si>
  <si>
    <t xml:space="preserve">UPI series FY20–FY24</t>
  </si>
  <si>
    <t xml:space="preserve">Used in regressions but not re-verified</t>
  </si>
  <si>
    <t xml:space="preserve">NPCI monthly statistics</t>
  </si>
  <si>
    <t xml:space="preserve">ISO/IEC 30134-9 WUE standard text</t>
  </si>
  <si>
    <t xml:space="preserve">Metric definitions not reviewed</t>
  </si>
  <si>
    <t xml:space="preserve">ISO / BIS</t>
  </si>
  <si>
    <t xml:space="preserve">Purchase</t>
  </si>
  <si>
    <t xml:space="preserve">Measured network latency</t>
  </si>
  <si>
    <t xml:space="preserve">Latency uses straight-line distance × 1.4</t>
  </si>
  <si>
    <t xml:space="preserve">RIPE Atlas; operators</t>
  </si>
  <si>
    <t xml:space="preserve">Measurement</t>
  </si>
  <si>
    <t xml:space="preserve">Links captured by the research runs. Reports 1–11 named many sources without links; those are listed without one.</t>
  </si>
  <si>
    <t xml:space="preserve">Used in</t>
  </si>
  <si>
    <t xml:space="preserve">LBNL 2024 US Data Center Energy Usage Report</t>
  </si>
  <si>
    <t xml:space="preserve">Report 12 (Verified)</t>
  </si>
  <si>
    <t xml:space="preserve">https://eta-publications.lbl.gov/sites/default/files/2024-12/lbnl-2024-united-states-data-center-energy-usage-report_1.pdf</t>
  </si>
  <si>
    <t xml:space="preserve">Report 12 (Verified); Key numbers</t>
  </si>
  <si>
    <t xml:space="preserve">https://datacenter.uptimeinstitute.com/rs/711-RIA-145/images/2025.Annual.Survey.Report.pdf?version=0</t>
  </si>
  <si>
    <t xml:space="preserve">Google: Measuring the environmental impact of delivering AI (arXiv 2508.15734)</t>
  </si>
  <si>
    <t xml:space="preserve">Reports 2, 6, 12</t>
  </si>
  <si>
    <t xml:space="preserve">https://arxiv.org/pdf/2508.15734</t>
  </si>
  <si>
    <t xml:space="preserve">Google data-centre efficiency</t>
  </si>
  <si>
    <t xml:space="preserve">Report 12</t>
  </si>
  <si>
    <t xml:space="preserve">https://datacenters.google/efficiency/</t>
  </si>
  <si>
    <t xml:space="preserve">Microsoft datacenter efficiency</t>
  </si>
  <si>
    <t xml:space="preserve">https://datacenters.microsoft.com/sustainability/efficiency/</t>
  </si>
  <si>
    <t xml:space="preserve">Microsoft: zero-water cooling blog (Dec 2024)</t>
  </si>
  <si>
    <t xml:space="preserve">Reports 3, 12</t>
  </si>
  <si>
    <t xml:space="preserve">https://www.microsoft.com/en-us/microsoft-cloud/blog/2024/12/09/sustainable-by-design-next-generation-datacenters-consume-zero-water-for-cooling/</t>
  </si>
  <si>
    <t xml:space="preserve">Li, Yang, Islam &amp; Ren, Making AI Less "Thirsty" (ACM)</t>
  </si>
  <si>
    <t xml:space="preserve">Reports 6, 12</t>
  </si>
  <si>
    <t xml:space="preserve">https://dl.acm.org/doi/10.1145/3724499</t>
  </si>
  <si>
    <t xml:space="preserve">https://www.nttdata.com/global/en/about-us/sustainability/esg-data/environment-data</t>
  </si>
  <si>
    <t xml:space="preserve">Down To Earth: India's digital thirst</t>
  </si>
  <si>
    <t xml:space="preserve">Reports 4, 6, 12</t>
  </si>
  <si>
    <t xml:space="preserve">https://www.downtoearth.org.in/science-technology/indias-digital-thirst-what-data-centre-giants-arent-saying-about-their-water-use</t>
  </si>
  <si>
    <t xml:space="preserve">CEEW &amp; Systemiq, Scaling India's Data Centre Ecosystem (Feb 2026)</t>
  </si>
  <si>
    <t xml:space="preserve">Reports 9, 11, 12</t>
  </si>
  <si>
    <t xml:space="preserve">https://www.ceew.in/sites/default/files/ceew-data-centre-study-web-ready-final.pdf</t>
  </si>
  <si>
    <t xml:space="preserve">Karnataka DC Policy 2026–31 (The News Minute)</t>
  </si>
  <si>
    <t xml:space="preserve">Reports 4, 9, 12</t>
  </si>
  <si>
    <t xml:space="preserve">https://www.thenewsminute.com/karnataka/karnatakas-new-data-centre-policy-puts-water-energy-in-focus-what-does-it-say</t>
  </si>
  <si>
    <t xml:space="preserve">MoEFCC S.O. 3305(E) thermal plant norms (CPCB)</t>
  </si>
  <si>
    <t xml:space="preserve">Reports 5, 12</t>
  </si>
  <si>
    <t xml:space="preserve">https://cpcb.nic.in/uploads/Thermal_Power_Plant_overview.pdf</t>
  </si>
  <si>
    <t xml:space="preserve">Water stress and thermal plants (PowerLine, Sep 2026)</t>
  </si>
  <si>
    <t xml:space="preserve">https://powerline.net.in/2026/09/04/water-stress-thermal-power-plants-take-steps-to-optimise-consumption/</t>
  </si>
  <si>
    <t xml:space="preserve">Vulnerability of Indian thermal plants under water stress (Energy, 2023)</t>
  </si>
  <si>
    <t xml:space="preserve">https://www.sciencedirect.com/science/article/abs/pii/S0360544223009477</t>
  </si>
  <si>
    <t xml:space="preserve">WRI: 40% of India's thermal plants in water-scarce areas</t>
  </si>
  <si>
    <t xml:space="preserve">https://www.wri.org/insights/40-indias-thermal-power-plants-are-water-scarce-areas-threatening-shutdowns</t>
  </si>
  <si>
    <t xml:space="preserve">NREL operational water factors (Macknick et al.)</t>
  </si>
  <si>
    <t xml:space="preserve">https://docs.nrel.gov/docs/fy11osti/50900.pdf</t>
  </si>
  <si>
    <t xml:space="preserve">https://cdnbbsr.s3waas.gov.in/s3716e1b8c6cd17b771da77391355749f3/uploads/2025/11/202511061627678782.pdf</t>
  </si>
  <si>
    <t xml:space="preserve">CREA FY25 generation (Deccan Herald)</t>
  </si>
  <si>
    <t xml:space="preserve">https://www.deccanherald.com/amp/story/india%2Fthermal-generation-growth-slowest-in-fy-2024-25-since-covid-3497645</t>
  </si>
  <si>
    <t xml:space="preserve">EU Delegated Regulation 2024/1364</t>
  </si>
  <si>
    <t xml:space="preserve">Reports 8, 12</t>
  </si>
  <si>
    <t xml:space="preserve">https://www.eudca.org/documents/content/_wU9NIdhRn2O7FEPP-YZ2Qo33?download=0</t>
  </si>
  <si>
    <t xml:space="preserve">EU draft data-centre rating scheme (Philip Lee)</t>
  </si>
  <si>
    <t xml:space="preserve">https://www.philiplee.ie/eu-publishes-draft-mandatory-sustainability-rating-scheme-for-data-centres/</t>
  </si>
  <si>
    <t xml:space="preserve">NERC / FERC large-load presentation</t>
  </si>
  <si>
    <t xml:space="preserve">Reports 2, 12</t>
  </si>
  <si>
    <t xml:space="preserve">https://www.ferc.gov/sites/default/files/2025-04/Presentation%20NERC%20Seeks%20to%20Address%20Reliability%20Impacts%20from%C2%A0Large%20Load%20Integration_1.pdf</t>
  </si>
  <si>
    <t xml:space="preserve">IEX prices (SaurEnergy; Business Standard; earthsync)</t>
  </si>
  <si>
    <t xml:space="preserve">https://earthsync.io/resources/iex-dam-gdam-rtm-explained</t>
  </si>
  <si>
    <t xml:space="preserve">SECI FDRE-RTC ₹5.25 (pv-magazine)</t>
  </si>
  <si>
    <t xml:space="preserve">Reports 7, 8, 12</t>
  </si>
  <si>
    <t xml:space="preserve">https://www.pv-magazine.com/2026/08/10/secis-1-gw-fdre-rtc-power-tender-discovers-inr-5-25-kwh-tariff/</t>
  </si>
  <si>
    <t xml:space="preserve">SECI 4-hour peak ₹5.99 (pv-magazine)</t>
  </si>
  <si>
    <t xml:space="preserve">https://www.pv-magazine.com/2026/08/24/seci-discovers-inr-5-99-kwh-tariff-for-4-hour-peak-renewable-power/</t>
  </si>
  <si>
    <t xml:space="preserve">ISTS waiver phase-out (T&amp;D India)</t>
  </si>
  <si>
    <t xml:space="preserve">https://www.tndindia.com/waiver-of-ists-charges-on-renewable-energy-to-be-phased-out/</t>
  </si>
  <si>
    <t xml:space="preserve">MERC MSEDCL MYT press note</t>
  </si>
  <si>
    <t xml:space="preserve">Reports 10, 12</t>
  </si>
  <si>
    <t xml:space="preserve">https://merc.gov.in/wp-content/uploads/2025/03/Press-Note_MSEDCL-MYT-Order_English.pdf</t>
  </si>
  <si>
    <t xml:space="preserve">MERC Tata Power-D MYT press note</t>
  </si>
  <si>
    <t xml:space="preserve">https://merc.gov.in/wp-content/uploads/2025/03/Press-Note_MYT-Order_TPC_English.pdf</t>
  </si>
  <si>
    <t xml:space="preserve">TGERC / TGSPDCL FY26 tariff schedule</t>
  </si>
  <si>
    <t xml:space="preserve">https://tgsouthernpower.org/resources/PDF/Tariffs/63tarifffile.pdf</t>
  </si>
  <si>
    <t xml:space="preserve">KERC tariff schedule 2026-27-28</t>
  </si>
  <si>
    <t xml:space="preserve">https://hrecs.co.in/app/documents/TariffRates2026-27-28.pdf</t>
  </si>
  <si>
    <t xml:space="preserve">TNERC T.O. 6/2025 summary (eClouds Energy)</t>
  </si>
  <si>
    <t xml:space="preserve">https://www.ecloudsenergy.com/news-details.php?nid=52</t>
  </si>
  <si>
    <t xml:space="preserve">GEOA Rules 2022 gazette</t>
  </si>
  <si>
    <t xml:space="preserve">Reports 9, 12</t>
  </si>
  <si>
    <t xml:space="preserve">https://www.acma.in/uploads/ciculer-attachement/Electricity%20(Promoting%20Renewable%20Energy%20through%20Green%20Energy%20Open%20Access)%20Rules,2022.pdf</t>
  </si>
  <si>
    <t xml:space="preserve">Forum of Regulators model GEOA regulations</t>
  </si>
  <si>
    <t xml:space="preserve">https://forumofregulators.gov.in/Data/Reports/Revised%20Model%20regulation%20GEOA.pdf</t>
  </si>
  <si>
    <t xml:space="preserve">https://docs.nvidia.com/dgx/dgxb200-user-guide/introduction-to-dgxb200.html</t>
  </si>
  <si>
    <t xml:space="preserve">Cushman &amp; Wakefield India Data Centre H1 2026 Update (press release, 16 Sep 2026)</t>
  </si>
  <si>
    <t xml:space="preserve">Reports 1, 9, 10, 11</t>
  </si>
  <si>
    <t xml:space="preserve">(no link captured)</t>
  </si>
  <si>
    <t xml:space="preserve">JLL India Data Centre 2026 Mid-Year Report (press release, 2 Sep 2026)</t>
  </si>
  <si>
    <t xml:space="preserve">Reports 10, 11</t>
  </si>
  <si>
    <t xml:space="preserve">CBRE "Beyond Growth" (Oct 2026)</t>
  </si>
  <si>
    <t xml:space="preserve">Report 10</t>
  </si>
  <si>
    <t xml:space="preserve">PIB factsheet on data centres (14 Sep 2026); PIB IndiaAI (Mar 2026)</t>
  </si>
  <si>
    <t xml:space="preserve">Reports 2, 11</t>
  </si>
  <si>
    <t xml:space="preserve">Synergy Research Group (Apr 2026)</t>
  </si>
  <si>
    <t xml:space="preserve">Report 1</t>
  </si>
  <si>
    <t xml:space="preserve">Reports 7, 11</t>
  </si>
  <si>
    <t xml:space="preserve">SBI sector report on data centres (Apr 2026)</t>
  </si>
  <si>
    <t xml:space="preserve">Reports 1, 2, 7</t>
  </si>
  <si>
    <t xml:space="preserve">CEA CO₂ Baseline Database v21 (Nov 2025)</t>
  </si>
  <si>
    <t xml:space="preserve">Reports 5, 11, 12</t>
  </si>
  <si>
    <t xml:space="preserve">CEA LT-NRAP; 20th EPS mid-term review; NEP 2022-32</t>
  </si>
  <si>
    <t xml:space="preserve">Reports 5, 11</t>
  </si>
  <si>
    <t xml:space="preserve">Ember Global Electricity Review 2026 (India data)</t>
  </si>
  <si>
    <t xml:space="preserve">Report 5</t>
  </si>
  <si>
    <t xml:space="preserve">IPCC AR5 Annex III</t>
  </si>
  <si>
    <t xml:space="preserve">Dell'Oro Group liquid cooling (Jan 2026)</t>
  </si>
  <si>
    <t xml:space="preserve">Reports 3, 11</t>
  </si>
  <si>
    <t xml:space="preserve">Ministry of Jal Shakti / CGWB Dynamic Groundwater Resources Assessment 2025; IN-GRES</t>
  </si>
  <si>
    <t xml:space="preserve">Reports 4, 10</t>
  </si>
  <si>
    <t xml:space="preserve">https://ingres.iith.ac.in</t>
  </si>
  <si>
    <t xml:space="preserve">BIS IS 1893:2016 and withdrawal notice for IS 1893:2025 (3 Mar 2026)</t>
  </si>
  <si>
    <t xml:space="preserve">NIXI node list</t>
  </si>
  <si>
    <t xml:space="preserve">State data-centre policies and GRs (MH, TN, KA, TG, AP, UP, GJ, HR, WB, OD, RJ, MP, BR, CG, PB)</t>
  </si>
  <si>
    <t xml:space="preserve">Report 9</t>
  </si>
  <si>
    <t xml:space="preserve">ICRA, CareEdge, Colliers, Arizton, Rubix, Macquarie, Jefferies, Wood Mackenzie forecasts</t>
  </si>
  <si>
    <t xml:space="preserve">NPCI UPI statistics; Ericsson Mobility Report; Gartner cloud forecast</t>
  </si>
  <si>
    <t xml:space="preserve">BWSSB tariffs and Karnataka Legislative Council reply (Aug 2026)</t>
  </si>
  <si>
    <t xml:space="preserve">Reports 4, 6</t>
  </si>
  <si>
    <t xml:space="preserve">WELL Labs; KSPCB; Karnataka IT department (Bengaluru DC water)</t>
  </si>
  <si>
    <t xml:space="preserve">Report 4</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</si>
</sst>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name val="Arial"/>
      <family val="0"/>
      <charset val="1"/>
    </font>
    <font>
      <sz val="10"/>
      <name val="Arial"/>
      <family val="0"/>
      <charset val="1"/>
    </font>
    <font>
      <b val="true"/>
      <sz val="10"/>
      <color rgb="FFFFFFFF"/>
      <name val="Arial"/>
      <family val="0"/>
      <charset val="1"/>
    </font>
    <font>
      <u val="single"/>
      <sz val="10"/>
      <color rgb="FF0563C1"/>
      <name val="Arial"/>
      <family val="0"/>
      <charset val="1"/>
    </font>
  </fonts>
  <fills count="10">
    <fill>
      <patternFill patternType="none"/>
    </fill>
    <fill>
      <patternFill patternType="gray125"/>
    </fill>
    <fill>
      <patternFill patternType="solid">
        <fgColor rgb="FFC6EFCE"/>
        <bgColor rgb="FFE2F5D3"/>
      </patternFill>
    </fill>
    <fill>
      <patternFill patternType="solid">
        <fgColor rgb="FFE2F5D3"/>
        <bgColor rgb="FFDDEBF7"/>
      </patternFill>
    </fill>
    <fill>
      <patternFill patternType="solid">
        <fgColor rgb="FFFFF2B3"/>
        <bgColor rgb="FFFCE4D6"/>
      </patternFill>
    </fill>
    <fill>
      <patternFill patternType="solid">
        <fgColor rgb="FFDDEBF7"/>
        <bgColor rgb="FFE8E0F2"/>
      </patternFill>
    </fill>
    <fill>
      <patternFill patternType="solid">
        <fgColor rgb="FFFCE4D6"/>
        <bgColor rgb="FFE8E0F2"/>
      </patternFill>
    </fill>
    <fill>
      <patternFill patternType="solid">
        <fgColor rgb="FFE8E0F2"/>
        <bgColor rgb="FFDDEBF7"/>
      </patternFill>
    </fill>
    <fill>
      <patternFill patternType="solid">
        <fgColor rgb="FFF4C7C3"/>
        <bgColor rgb="FFFCE4D6"/>
      </patternFill>
    </fill>
    <fill>
      <patternFill patternType="solid">
        <fgColor rgb="FF1F3A5F"/>
        <bgColor rgb="FF333333"/>
      </patternFill>
    </fill>
  </fills>
  <borders count="2">
    <border diagonalUp="false" diagonalDown="false">
      <left/>
      <right/>
      <top/>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6" borderId="0" xfId="0" applyFont="true" applyBorder="false" applyAlignment="true" applyProtection="false">
      <alignment horizontal="general" vertical="top" textRotation="0" wrapText="true" indent="0" shrinkToFit="false"/>
      <protection locked="true" hidden="false"/>
    </xf>
    <xf numFmtId="164" fontId="6" fillId="7" borderId="0" xfId="0" applyFont="true" applyBorder="false" applyAlignment="true" applyProtection="false">
      <alignment horizontal="general" vertical="top" textRotation="0" wrapText="true" indent="0" shrinkToFit="false"/>
      <protection locked="true" hidden="false"/>
    </xf>
    <xf numFmtId="164" fontId="6" fillId="8"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left"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4" fontId="8" fillId="9"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6" fillId="4" borderId="0" xfId="0" applyFont="true" applyBorder="false" applyAlignment="true" applyProtection="false">
      <alignment horizontal="general" vertical="center" textRotation="0" wrapText="true" indent="0" shrinkToFit="false"/>
      <protection locked="true" hidden="false"/>
    </xf>
    <xf numFmtId="164" fontId="6" fillId="5" borderId="0" xfId="0" applyFont="true" applyBorder="false" applyAlignment="true" applyProtection="false">
      <alignment horizontal="general" vertical="center" textRotation="0" wrapText="true" indent="0" shrinkToFit="false"/>
      <protection locked="true" hidden="false"/>
    </xf>
    <xf numFmtId="164" fontId="6" fillId="6" borderId="0" xfId="0" applyFont="true" applyBorder="false" applyAlignment="true" applyProtection="false">
      <alignment horizontal="general" vertical="center" textRotation="0" wrapText="true" indent="0" shrinkToFit="false"/>
      <protection locked="true" hidden="false"/>
    </xf>
    <xf numFmtId="164" fontId="6" fillId="7" borderId="0" xfId="0" applyFont="true" applyBorder="false" applyAlignment="true" applyProtection="false">
      <alignment horizontal="general" vertical="center" textRotation="0" wrapText="true" indent="0" shrinkToFit="false"/>
      <protection locked="true" hidden="false"/>
    </xf>
    <xf numFmtId="164" fontId="6" fillId="8"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DDEBF7"/>
          <bgColor rgb="FF000000"/>
        </patternFill>
      </fill>
    </dxf>
    <dxf>
      <fill>
        <patternFill patternType="solid">
          <fgColor rgb="FFE8E0F2"/>
          <bgColor rgb="FF000000"/>
        </patternFill>
      </fill>
    </dxf>
    <dxf>
      <fill>
        <patternFill patternType="solid">
          <fgColor rgb="FFF4C7C3"/>
          <bgColor rgb="FF000000"/>
        </patternFill>
      </fill>
    </dxf>
    <dxf>
      <fill>
        <patternFill patternType="solid">
          <fgColor rgb="FFFCE4D6"/>
          <bgColor rgb="FF000000"/>
        </patternFill>
      </fill>
    </dxf>
    <dxf>
      <fill>
        <patternFill patternType="solid">
          <fgColor rgb="FFFFF2B3"/>
          <bgColor rgb="FF000000"/>
        </patternFill>
      </fill>
    </dxf>
    <dxf>
      <fill>
        <patternFill>
          <bgColor rgb="FFC6EFCE"/>
        </patternFill>
      </fill>
    </dxf>
    <dxf>
      <fill>
        <patternFill>
          <bgColor rgb="FFE2F5D3"/>
        </patternFill>
      </fill>
    </dxf>
    <dxf>
      <fill>
        <patternFill>
          <bgColor rgb="FFFFF2B3"/>
        </patternFill>
      </fill>
    </dxf>
    <dxf>
      <fill>
        <patternFill>
          <bgColor rgb="FFDDEBF7"/>
        </patternFill>
      </fill>
    </dxf>
    <dxf>
      <fill>
        <patternFill>
          <bgColor rgb="FFFCE4D6"/>
        </patternFill>
      </fill>
    </dxf>
    <dxf>
      <fill>
        <patternFill>
          <bgColor rgb="FFE8E0F2"/>
        </patternFill>
      </fill>
    </dxf>
    <dxf>
      <fill>
        <patternFill>
          <bgColor rgb="FFF4C7C3"/>
        </patternFill>
      </fill>
    </dxf>
    <dxf>
      <fill>
        <patternFill patternType="solid">
          <fgColor rgb="FFE2F5D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E8E0F2"/>
      <rgbColor rgb="FF808080"/>
      <rgbColor rgb="FF9999FF"/>
      <rgbColor rgb="FF993366"/>
      <rgbColor rgb="FFFFF2B3"/>
      <rgbColor rgb="FFDDEBF7"/>
      <rgbColor rgb="FF660066"/>
      <rgbColor rgb="FFFF8080"/>
      <rgbColor rgb="FF0563C1"/>
      <rgbColor rgb="FFD0D7DE"/>
      <rgbColor rgb="FF000080"/>
      <rgbColor rgb="FFFF00FF"/>
      <rgbColor rgb="FFFFFF00"/>
      <rgbColor rgb="FF00FFFF"/>
      <rgbColor rgb="FF800080"/>
      <rgbColor rgb="FF800000"/>
      <rgbColor rgb="FF008080"/>
      <rgbColor rgb="FF0000FF"/>
      <rgbColor rgb="FF00CCFF"/>
      <rgbColor rgb="FFE2F5D3"/>
      <rgbColor rgb="FFC6EFCE"/>
      <rgbColor rgb="FFFCE4D6"/>
      <rgbColor rgb="FF99CCFF"/>
      <rgbColor rgb="FFFF99CC"/>
      <rgbColor rgb="FFCC99FF"/>
      <rgbColor rgb="FFF4C7C3"/>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arxiv.org/pdf/2508.15734" TargetMode="External"/><Relationship Id="rId2" Type="http://schemas.openxmlformats.org/officeDocument/2006/relationships/hyperlink" Target="https://docs.nvidia.com/dgx/dgxb200-user-guide/introduction-to-dgxb200.html" TargetMode="External"/><Relationship Id="rId3" Type="http://schemas.openxmlformats.org/officeDocument/2006/relationships/hyperlink" Target="https://eta-publications.lbl.gov/sites/default/files/2024-12/lbnl-2024-united-states-data-center-energy-usage-report_1.pdf" TargetMode="External"/><Relationship Id="rId4" Type="http://schemas.openxmlformats.org/officeDocument/2006/relationships/hyperlink" Target="https://www.ferc.gov/sites/default/files/2025-04/Presentation%20NERC%20Seeks%20to%20Address%20Reliability%20Impacts%20from&#160;Large%20Load%20Integration_1.pdf" TargetMode="External"/><Relationship Id="rId5" Type="http://schemas.openxmlformats.org/officeDocument/2006/relationships/hyperlink" Target="https://www.microsoft.com/en-us/microsoft-cloud/blog/2024/12/09/sustainable-by-design-next-generation-datacenters-consume-zero-water-for-cooling/" TargetMode="External"/><Relationship Id="rId6" Type="http://schemas.openxmlformats.org/officeDocument/2006/relationships/hyperlink" Target="https://tgsouthernpower.org/resources/PDF/Tariffs/63tarifffile.pdf" TargetMode="External"/><Relationship Id="rId7" Type="http://schemas.openxmlformats.org/officeDocument/2006/relationships/hyperlink" Target="https://dl.acm.org/doi/10.1145/3724499" TargetMode="External"/><Relationship Id="rId8" Type="http://schemas.openxmlformats.org/officeDocument/2006/relationships/hyperlink" Target="https://www.downtoearth.org.in/science-technology/indias-digital-thirst-what-data-centre-giants-arent-saying-about-their-water-use" TargetMode="External"/><Relationship Id="rId9" Type="http://schemas.openxmlformats.org/officeDocument/2006/relationships/hyperlink" Target="https://www.philiplee.ie/eu-publishes-draft-mandatory-sustainability-rating-scheme-for-data-centres/" TargetMode="External"/><Relationship Id="rId10" Type="http://schemas.openxmlformats.org/officeDocument/2006/relationships/hyperlink" Target="https://www.acma.in/uploads/ciculer-attachement/Electricity%20(Promoting%20Renewable%20Energy%20through%20Green%20Energy%20Open%20Access)%20Rules,2022.pdf" TargetMode="External"/><Relationship Id="rId11" Type="http://schemas.openxmlformats.org/officeDocument/2006/relationships/hyperlink" Target="https://www.ceew.in/sites/default/files/ceew-data-centre-study-web-ready-final.pdf" TargetMode="External"/><Relationship Id="rId12" Type="http://schemas.openxmlformats.org/officeDocument/2006/relationships/hyperlink" Target="https://www.eudca.org/documents/content/_wU9NIdhRn2O7FEPP-YZ2Qo33?download=0" TargetMode="External"/><Relationship Id="rId13" Type="http://schemas.openxmlformats.org/officeDocument/2006/relationships/hyperlink" Target="https://datacenters.microsoft.com/sustainability/efficiency/" TargetMode="External"/><Relationship Id="rId14" Type="http://schemas.openxmlformats.org/officeDocument/2006/relationships/hyperlink" Target="https://www.ceew.in/sites/default/files/ceew-data-centre-study-web-ready-final.pdf" TargetMode="External"/><Relationship Id="rId15" Type="http://schemas.openxmlformats.org/officeDocument/2006/relationships/hyperlink" Target="https://docs.nrel.gov/docs/fy11osti/50900.pdf" TargetMode="External"/><Relationship Id="rId16" Type="http://schemas.openxmlformats.org/officeDocument/2006/relationships/hyperlink" Target="https://www.wri.org/insights/40-indias-thermal-power-plants-are-water-scarce-areas-threatening-shutdowns" TargetMode="External"/><Relationship Id="rId17" Type="http://schemas.openxmlformats.org/officeDocument/2006/relationships/hyperlink" Target="https://cdnbbsr.s3waas.gov.in/s3716e1b8c6cd17b771da77391355749f3/uploads/2025/11/202511061627678782.pdf" TargetMode="External"/><Relationship Id="rId18" Type="http://schemas.openxmlformats.org/officeDocument/2006/relationships/hyperlink" Target="https://gpusmith.com/articles/en/pdfs/how-much-water-do-data-centers-use.pdf" TargetMode="External"/><Relationship Id="rId19" Type="http://schemas.openxmlformats.org/officeDocument/2006/relationships/hyperlink" Target="https://eta-publications.lbl.gov/sites/default/files/2024-12/lbnl-2024-united-states-data-center-energy-usage-report_1.pdf" TargetMode="External"/><Relationship Id="rId20" Type="http://schemas.openxmlformats.org/officeDocument/2006/relationships/hyperlink" Target="https://earthsync.io/resources/iex-dam-gdam-rtm-explained" TargetMode="External"/><Relationship Id="rId21" Type="http://schemas.openxmlformats.org/officeDocument/2006/relationships/hyperlink" Target="https://merc.gov.in/wp-content/uploads/2025/03/Press-Note_MSEDCL-MYT-Order_English.pdf" TargetMode="External"/><Relationship Id="rId22" Type="http://schemas.openxmlformats.org/officeDocument/2006/relationships/hyperlink" Target="https://www.pv-magazine.com/2026/08/10/secis-1-gw-fdre-rtc-power-tender-discovers-inr-5-25-kwh-tariff/" TargetMode="External"/><Relationship Id="rId23"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atacenters.microsoft.com/sustainability/efficiency/" TargetMode="External"/><Relationship Id="rId2" Type="http://schemas.openxmlformats.org/officeDocument/2006/relationships/hyperlink" Target="https://datacenters.microsoft.com/sustainability/efficiency/" TargetMode="External"/><Relationship Id="rId3" Type="http://schemas.openxmlformats.org/officeDocument/2006/relationships/hyperlink" Target="https://www.microsoft.com/en-us/microsoft-cloud/blog/2024/12/09/sustainable-by-design-next-generation-datacenters-consume-zero-water-for-cooling/" TargetMode="External"/><Relationship Id="rId4" Type="http://schemas.openxmlformats.org/officeDocument/2006/relationships/hyperlink" Target="https://datacenters.google/efficiency/" TargetMode="External"/><Relationship Id="rId5" Type="http://schemas.openxmlformats.org/officeDocument/2006/relationships/hyperlink" Target="https://arxiv.org/pdf/2508.15734" TargetMode="External"/><Relationship Id="rId6" Type="http://schemas.openxmlformats.org/officeDocument/2006/relationships/hyperlink" Target="https://eta-publications.lbl.gov/sites/default/files/2024-12/lbnl-2024-united-states-data-center-energy-usage-report_1.pdf" TargetMode="External"/><Relationship Id="rId7" Type="http://schemas.openxmlformats.org/officeDocument/2006/relationships/hyperlink" Target="https://eta-publications.lbl.gov/sites/default/files/2024-12/lbnl-2024-united-states-data-center-energy-usage-report_1.pdf" TargetMode="External"/><Relationship Id="rId8" Type="http://schemas.openxmlformats.org/officeDocument/2006/relationships/hyperlink" Target="https://eta-publications.lbl.gov/sites/default/files/2024-12/lbnl-2024-united-states-data-center-energy-usage-report_1.pdf" TargetMode="External"/><Relationship Id="rId9" Type="http://schemas.openxmlformats.org/officeDocument/2006/relationships/hyperlink" Target="https://eta-publications.lbl.gov/sites/default/files/2024-12/lbnl-2024-united-states-data-center-energy-usage-report_1.pdf" TargetMode="External"/><Relationship Id="rId10" Type="http://schemas.openxmlformats.org/officeDocument/2006/relationships/hyperlink" Target="https://eta-publications.lbl.gov/sites/default/files/2024-12/lbnl-2024-united-states-data-center-energy-usage-report_1.pdf" TargetMode="External"/><Relationship Id="rId11" Type="http://schemas.openxmlformats.org/officeDocument/2006/relationships/hyperlink" Target="https://eta-publications.lbl.gov/sites/default/files/2024-12/lbnl-2024-united-states-data-center-energy-usage-report_1.pdf" TargetMode="External"/><Relationship Id="rId12" Type="http://schemas.openxmlformats.org/officeDocument/2006/relationships/hyperlink" Target="https://eta-publications.lbl.gov/sites/default/files/2024-12/lbnl-2024-united-states-data-center-energy-usage-report_1.pdf" TargetMode="External"/><Relationship Id="rId13" Type="http://schemas.openxmlformats.org/officeDocument/2006/relationships/hyperlink" Target="https://docs.nvidia.com/dgx/dgxb200-user-guide/introduction-to-dgxb200.html" TargetMode="External"/><Relationship Id="rId14" Type="http://schemas.openxmlformats.org/officeDocument/2006/relationships/hyperlink" Target="https://www.nttdata.com/global/en/about-us/sustainability/esg-data/environment-data" TargetMode="External"/><Relationship Id="rId15" Type="http://schemas.openxmlformats.org/officeDocument/2006/relationships/hyperlink" Target="https://datacenter.uptimeinstitute.com/rs/711-RIA-145/images/2025.Annual.Survey.Report.pdf?version=0" TargetMode="External"/><Relationship Id="rId16" Type="http://schemas.openxmlformats.org/officeDocument/2006/relationships/hyperlink" Target="https://journal.uptimeinstitute.com/large-data-centers-are-mostly-more-efficient-analysis-confirms/" TargetMode="External"/><Relationship Id="rId17" Type="http://schemas.openxmlformats.org/officeDocument/2006/relationships/hyperlink" Target="https://dl.acm.org/doi/10.1145/3724499" TargetMode="External"/><Relationship Id="rId18" Type="http://schemas.openxmlformats.org/officeDocument/2006/relationships/hyperlink" Target="https://www.ceew.in/sites/default/files/ceew-data-centre-study-web-ready-final.pdf" TargetMode="External"/><Relationship Id="rId19" Type="http://schemas.openxmlformats.org/officeDocument/2006/relationships/hyperlink" Target="https://www.downtoearth.org.in/science-technology/indias-digital-thirst-what-data-centre-giants-arent-saying-about-their-water-use" TargetMode="External"/><Relationship Id="rId20" Type="http://schemas.openxmlformats.org/officeDocument/2006/relationships/hyperlink" Target="https://www.thenewsminute.com/karnataka/karnatakas-new-data-centre-policy-puts-water-energy-in-focus-what-does-it-say" TargetMode="External"/><Relationship Id="rId21" Type="http://schemas.openxmlformats.org/officeDocument/2006/relationships/hyperlink" Target="https://cpcb.nic.in/uploads/Thermal_Power_Plant_overview.pdf" TargetMode="External"/><Relationship Id="rId22" Type="http://schemas.openxmlformats.org/officeDocument/2006/relationships/hyperlink" Target="https://www.sciencedirect.com/science/article/abs/pii/S0360544223009477" TargetMode="External"/><Relationship Id="rId23" Type="http://schemas.openxmlformats.org/officeDocument/2006/relationships/hyperlink" Target="https://powerline.net.in/2026/09/04/water-stress-thermal-power-plants-take-steps-to-optimise-consumption/" TargetMode="External"/><Relationship Id="rId24" Type="http://schemas.openxmlformats.org/officeDocument/2006/relationships/hyperlink" Target="https://docs.nrel.gov/docs/fy11osti/50900.pdf" TargetMode="External"/><Relationship Id="rId25" Type="http://schemas.openxmlformats.org/officeDocument/2006/relationships/hyperlink" Target="https://www.wri.org/insights/40-indias-thermal-power-plants-are-water-scarce-areas-threatening-shutdowns" TargetMode="External"/><Relationship Id="rId26" Type="http://schemas.openxmlformats.org/officeDocument/2006/relationships/hyperlink" Target="https://www.deccanherald.com/amp/story/india%2Fthermal-generation-growth-slowest-in-fy-2024-25-since-covid-3497645" TargetMode="External"/><Relationship Id="rId27" Type="http://schemas.openxmlformats.org/officeDocument/2006/relationships/hyperlink" Target="https://cdnbbsr.s3waas.gov.in/s3716e1b8c6cd17b771da77391355749f3/uploads/2025/11/202511061627678782.pdf" TargetMode="External"/><Relationship Id="rId28" Type="http://schemas.openxmlformats.org/officeDocument/2006/relationships/hyperlink" Target="https://www.eudca.org/documents/content/_wU9NIdhRn2O7FEPP-YZ2Qo33?download=0" TargetMode="External"/><Relationship Id="rId29" Type="http://schemas.openxmlformats.org/officeDocument/2006/relationships/hyperlink" Target="https://www.ferc.gov/sites/default/files/2025-04/Presentation%20NERC%20Seeks%20to%20Address%20Reliability%20Impacts%20from&#160;Large%20Load%20Integration_1.pdf" TargetMode="External"/><Relationship Id="rId30" Type="http://schemas.openxmlformats.org/officeDocument/2006/relationships/hyperlink" Target="https://www.saurenergy.com/solar-energy-news/iex-dam-prices-drop-nearly-18-yoy-despite-rising-demand-11176360" TargetMode="External"/><Relationship Id="rId31" Type="http://schemas.openxmlformats.org/officeDocument/2006/relationships/hyperlink" Target="https://www.pv-magazine.com/2026/08/10/secis-1-gw-fdre-rtc-power-tender-discovers-inr-5-25-kwh-tariff/" TargetMode="External"/><Relationship Id="rId32" Type="http://schemas.openxmlformats.org/officeDocument/2006/relationships/hyperlink" Target="https://www.tndindia.com/waiver-of-ists-charges-on-renewable-energy-to-be-phased-out/" TargetMode="External"/><Relationship Id="rId33" Type="http://schemas.openxmlformats.org/officeDocument/2006/relationships/hyperlink" Target="https://www.acma.in/uploads/ciculer-attachement/Electricity%20(Promoting%20Renewable%20Energy%20through%20Green%20Energy%20Open%20Access)%20Rules,2022.pdf" TargetMode="External"/><Relationship Id="rId34" Type="http://schemas.openxmlformats.org/officeDocument/2006/relationships/hyperlink" Target="https://forumofregulators.gov.in/Data/Reports/Revised%20Model%20regulation%20GEOA.pdf" TargetMode="External"/><Relationship Id="rId35" Type="http://schemas.openxmlformats.org/officeDocument/2006/relationships/hyperlink" Target="https://merc.gov.in/wp-content/uploads/2025/03/Press-Note_MSEDCL-MYT-Order_English.pdf" TargetMode="External"/><Relationship Id="rId36" Type="http://schemas.openxmlformats.org/officeDocument/2006/relationships/hyperlink" Target="https://merc.gov.in/wp-content/uploads/2025/03/Press-Note_MYT-Order_TPC_English.pdf" TargetMode="External"/><Relationship Id="rId37" Type="http://schemas.openxmlformats.org/officeDocument/2006/relationships/hyperlink" Target="https://tgsouthernpower.org/resources/PDF/Tariffs/63tarifffile.pdf" TargetMode="External"/><Relationship Id="rId38" Type="http://schemas.openxmlformats.org/officeDocument/2006/relationships/hyperlink" Target="https://tgsouthernpower.org/resources/PDF/Tariffs/63tarifffile.pdf" TargetMode="External"/><Relationship Id="rId39" Type="http://schemas.openxmlformats.org/officeDocument/2006/relationships/hyperlink" Target="https://tgsouthernpower.org/resources/PDF/Tariffs/63tarifffile.pdf" TargetMode="External"/><Relationship Id="rId40" Type="http://schemas.openxmlformats.org/officeDocument/2006/relationships/hyperlink" Target="https://merc.gov.in/wp-content/uploads/2025/03/Press-Note_MSEDCL-MYT-Order_English.pdf" TargetMode="External"/><Relationship Id="rId41" Type="http://schemas.openxmlformats.org/officeDocument/2006/relationships/hyperlink" Target="https://hrecs.co.in/app/documents/TariffRates2026-27-28.pdf" TargetMode="External"/><Relationship Id="rId42" Type="http://schemas.openxmlformats.org/officeDocument/2006/relationships/hyperlink" Target="https://towardsdatascience.com/is-googles-reveal-of-geminis-impact-progress-or-greenwashing/" TargetMode="External"/><Relationship Id="rId43" Type="http://schemas.openxmlformats.org/officeDocument/2006/relationships/hyperlink" Target="https://www.mdpi.com/3042-9242/1/2/8" TargetMode="External"/><Relationship Id="rId44" Type="http://schemas.openxmlformats.org/officeDocument/2006/relationships/hyperlink" Target="https://en.wikipedia.org/wiki/Water_usage_effectiveness" TargetMode="External"/><Relationship Id="rId45" Type="http://schemas.openxmlformats.org/officeDocument/2006/relationships/hyperlink" Target="https://www.philiplee.ie/eu-publishes-draft-mandatory-sustainability-rating-scheme-for-data-centres/" TargetMode="External"/><Relationship Id="rId46" Type="http://schemas.openxmlformats.org/officeDocument/2006/relationships/hyperlink" Target="https://scroll.in/article/1092827/water-energy-use-concerns-grow-with-more-india-data-centres-in-the-pipeline" TargetMode="External"/><Relationship Id="rId47" Type="http://schemas.openxmlformats.org/officeDocument/2006/relationships/hyperlink" Target="https://akhileshwarsahay.substack.com/p/neither-watts-nor-water-what-the" TargetMode="External"/><Relationship Id="rId48" Type="http://schemas.openxmlformats.org/officeDocument/2006/relationships/hyperlink" Target="https://gpusmith.com/articles/en/pdfs/how-much-water-do-data-centers-use.pdf" TargetMode="External"/><Relationship Id="rId49" Type="http://schemas.openxmlformats.org/officeDocument/2006/relationships/hyperlink" Target="https://earthsync.io/resources/iex-dam-gdam-rtm-explained" TargetMode="External"/><Relationship Id="rId50" Type="http://schemas.openxmlformats.org/officeDocument/2006/relationships/hyperlink" Target="https://keentelengineering.com/nerc-large-loads-grid-reliability" TargetMode="External"/><Relationship Id="rId51" Type="http://schemas.openxmlformats.org/officeDocument/2006/relationships/hyperlink" Target="https://pantheon.run/learn/nvidia-gb200-nvl72-power-and-cooling" TargetMode="External"/><Relationship Id="rId52" Type="http://schemas.openxmlformats.org/officeDocument/2006/relationships/hyperlink" Target="https://www.ecloudsenergy.com/news-details.php?nid=52" TargetMode="External"/><Relationship Id="rId53" Type="http://schemas.openxmlformats.org/officeDocument/2006/relationships/hyperlink" Target="https://menafn.com/1110999711/KERC-Issues-True-Up-Tariff-Order-BESCOM-Consumers-To-Pay-56-Paise-More-Per-Unit" TargetMode="External"/><Relationship Id="rId54" Type="http://schemas.openxmlformats.org/officeDocument/2006/relationships/hyperlink" Target="https://solarquarter.com/2025/09/26/tnerc-issues-new-regulations-2025-for-green-energy-open-access-2025-in-tamil-nadu/" TargetMode="External"/><Relationship Id="rId55" Type="http://schemas.openxmlformats.org/officeDocument/2006/relationships/hyperlink" Target="https://www.saurenergy.com/solar-energy-news/secis-525kwh-fdre-tender-shows-solar-storage-can-mimic-coal-iecc-12425151" TargetMode="External"/><Relationship Id="rId56" Type="http://schemas.openxmlformats.org/officeDocument/2006/relationships/hyperlink" Target="https://pwrnxt.in/blog/merc-myt-order-maharashtra-ci-regulatory-insight.html" TargetMode="External"/><Relationship Id="rId57"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hyperlink" Target="https://eta-publications.lbl.gov/sites/default/files/2024-12/lbnl-2024-united-states-data-center-energy-usage-report_1.pdf" TargetMode="External"/><Relationship Id="rId2" Type="http://schemas.openxmlformats.org/officeDocument/2006/relationships/hyperlink" Target="https://datacenter.uptimeinstitute.com/rs/711-RIA-145/images/2025.Annual.Survey.Report.pdf?version=0" TargetMode="External"/><Relationship Id="rId3" Type="http://schemas.openxmlformats.org/officeDocument/2006/relationships/hyperlink" Target="https://arxiv.org/pdf/2508.15734" TargetMode="External"/><Relationship Id="rId4" Type="http://schemas.openxmlformats.org/officeDocument/2006/relationships/hyperlink" Target="https://datacenters.google/efficiency/" TargetMode="External"/><Relationship Id="rId5" Type="http://schemas.openxmlformats.org/officeDocument/2006/relationships/hyperlink" Target="https://datacenters.microsoft.com/sustainability/efficiency/" TargetMode="External"/><Relationship Id="rId6" Type="http://schemas.openxmlformats.org/officeDocument/2006/relationships/hyperlink" Target="https://www.microsoft.com/en-us/microsoft-cloud/blog/2024/12/09/sustainable-by-design-next-generation-datacenters-consume-zero-water-for-cooling/" TargetMode="External"/><Relationship Id="rId7" Type="http://schemas.openxmlformats.org/officeDocument/2006/relationships/hyperlink" Target="https://dl.acm.org/doi/10.1145/3724499" TargetMode="External"/><Relationship Id="rId8" Type="http://schemas.openxmlformats.org/officeDocument/2006/relationships/hyperlink" Target="https://www.nttdata.com/global/en/about-us/sustainability/esg-data/environment-data" TargetMode="External"/><Relationship Id="rId9" Type="http://schemas.openxmlformats.org/officeDocument/2006/relationships/hyperlink" Target="https://www.downtoearth.org.in/science-technology/indias-digital-thirst-what-data-centre-giants-arent-saying-about-their-water-use" TargetMode="External"/><Relationship Id="rId10" Type="http://schemas.openxmlformats.org/officeDocument/2006/relationships/hyperlink" Target="https://www.ceew.in/sites/default/files/ceew-data-centre-study-web-ready-final.pdf" TargetMode="External"/><Relationship Id="rId11" Type="http://schemas.openxmlformats.org/officeDocument/2006/relationships/hyperlink" Target="https://www.thenewsminute.com/karnataka/karnatakas-new-data-centre-policy-puts-water-energy-in-focus-what-does-it-say" TargetMode="External"/><Relationship Id="rId12" Type="http://schemas.openxmlformats.org/officeDocument/2006/relationships/hyperlink" Target="https://cpcb.nic.in/uploads/Thermal_Power_Plant_overview.pdf" TargetMode="External"/><Relationship Id="rId13" Type="http://schemas.openxmlformats.org/officeDocument/2006/relationships/hyperlink" Target="https://powerline.net.in/2026/09/04/water-stress-thermal-power-plants-take-steps-to-optimise-consumption/" TargetMode="External"/><Relationship Id="rId14" Type="http://schemas.openxmlformats.org/officeDocument/2006/relationships/hyperlink" Target="https://www.sciencedirect.com/science/article/abs/pii/S0360544223009477" TargetMode="External"/><Relationship Id="rId15" Type="http://schemas.openxmlformats.org/officeDocument/2006/relationships/hyperlink" Target="https://www.wri.org/insights/40-indias-thermal-power-plants-are-water-scarce-areas-threatening-shutdowns" TargetMode="External"/><Relationship Id="rId16" Type="http://schemas.openxmlformats.org/officeDocument/2006/relationships/hyperlink" Target="https://docs.nrel.gov/docs/fy11osti/50900.pdf" TargetMode="External"/><Relationship Id="rId17" Type="http://schemas.openxmlformats.org/officeDocument/2006/relationships/hyperlink" Target="https://cdnbbsr.s3waas.gov.in/s3716e1b8c6cd17b771da77391355749f3/uploads/2025/11/202511061627678782.pdf" TargetMode="External"/><Relationship Id="rId18" Type="http://schemas.openxmlformats.org/officeDocument/2006/relationships/hyperlink" Target="https://www.deccanherald.com/amp/story/india%2Fthermal-generation-growth-slowest-in-fy-2024-25-since-covid-3497645" TargetMode="External"/><Relationship Id="rId19" Type="http://schemas.openxmlformats.org/officeDocument/2006/relationships/hyperlink" Target="https://www.eudca.org/documents/content/_wU9NIdhRn2O7FEPP-YZ2Qo33?download=0" TargetMode="External"/><Relationship Id="rId20" Type="http://schemas.openxmlformats.org/officeDocument/2006/relationships/hyperlink" Target="https://www.philiplee.ie/eu-publishes-draft-mandatory-sustainability-rating-scheme-for-data-centres/" TargetMode="External"/><Relationship Id="rId21" Type="http://schemas.openxmlformats.org/officeDocument/2006/relationships/hyperlink" Target="https://www.ferc.gov/sites/default/files/2025-04/Presentation%20NERC%20Seeks%20to%20Address%20Reliability%20Impacts%20from&#160;Large%20Load%20Integration_1.pdf" TargetMode="External"/><Relationship Id="rId22" Type="http://schemas.openxmlformats.org/officeDocument/2006/relationships/hyperlink" Target="https://earthsync.io/resources/iex-dam-gdam-rtm-explained" TargetMode="External"/><Relationship Id="rId23" Type="http://schemas.openxmlformats.org/officeDocument/2006/relationships/hyperlink" Target="https://www.pv-magazine.com/2026/08/10/secis-1-gw-fdre-rtc-power-tender-discovers-inr-5-25-kwh-tariff/" TargetMode="External"/><Relationship Id="rId24" Type="http://schemas.openxmlformats.org/officeDocument/2006/relationships/hyperlink" Target="https://www.pv-magazine.com/2026/08/24/seci-discovers-inr-5-99-kwh-tariff-for-4-hour-peak-renewable-power/" TargetMode="External"/><Relationship Id="rId25" Type="http://schemas.openxmlformats.org/officeDocument/2006/relationships/hyperlink" Target="https://www.tndindia.com/waiver-of-ists-charges-on-renewable-energy-to-be-phased-out/" TargetMode="External"/><Relationship Id="rId26" Type="http://schemas.openxmlformats.org/officeDocument/2006/relationships/hyperlink" Target="https://merc.gov.in/wp-content/uploads/2025/03/Press-Note_MSEDCL-MYT-Order_English.pdf" TargetMode="External"/><Relationship Id="rId27" Type="http://schemas.openxmlformats.org/officeDocument/2006/relationships/hyperlink" Target="https://merc.gov.in/wp-content/uploads/2025/03/Press-Note_MYT-Order_TPC_English.pdf" TargetMode="External"/><Relationship Id="rId28" Type="http://schemas.openxmlformats.org/officeDocument/2006/relationships/hyperlink" Target="https://tgsouthernpower.org/resources/PDF/Tariffs/63tarifffile.pdf" TargetMode="External"/><Relationship Id="rId29" Type="http://schemas.openxmlformats.org/officeDocument/2006/relationships/hyperlink" Target="https://hrecs.co.in/app/documents/TariffRates2026-27-28.pdf" TargetMode="External"/><Relationship Id="rId30" Type="http://schemas.openxmlformats.org/officeDocument/2006/relationships/hyperlink" Target="https://www.ecloudsenergy.com/news-details.php?nid=52" TargetMode="External"/><Relationship Id="rId31" Type="http://schemas.openxmlformats.org/officeDocument/2006/relationships/hyperlink" Target="https://www.acma.in/uploads/ciculer-attachement/Electricity%20(Promoting%20Renewable%20Energy%20through%20Green%20Energy%20Open%20Access)%20Rules,2022.pdf" TargetMode="External"/><Relationship Id="rId32" Type="http://schemas.openxmlformats.org/officeDocument/2006/relationships/hyperlink" Target="https://forumofregulators.gov.in/Data/Reports/Revised%20Model%20regulation%20GEOA.pdf" TargetMode="External"/><Relationship Id="rId33" Type="http://schemas.openxmlformats.org/officeDocument/2006/relationships/hyperlink" Target="https://docs.nvidia.com/dgx/dgxb200-user-guide/introduction-to-dgxb200.html" TargetMode="External"/><Relationship Id="rId34" Type="http://schemas.openxmlformats.org/officeDocument/2006/relationships/hyperlink" Target="https://ingres.iith.ac.i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5"/>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3" t="s">
        <v>3</v>
      </c>
      <c r="B5" s="4" t="s">
        <v>4</v>
      </c>
    </row>
    <row r="6" customFormat="false" ht="15" hidden="false" customHeight="false" outlineLevel="0" collapsed="false">
      <c r="A6" s="3" t="s">
        <v>5</v>
      </c>
      <c r="B6" s="4" t="s">
        <v>6</v>
      </c>
    </row>
    <row r="7" customFormat="false" ht="23.85" hidden="false" customHeight="false" outlineLevel="0" collapsed="false">
      <c r="A7" s="3" t="s">
        <v>7</v>
      </c>
      <c r="B7" s="4" t="s">
        <v>8</v>
      </c>
    </row>
    <row r="8" customFormat="false" ht="15" hidden="false" customHeight="false" outlineLevel="0" collapsed="false">
      <c r="A8" s="3" t="s">
        <v>9</v>
      </c>
      <c r="B8" s="4" t="s">
        <v>10</v>
      </c>
    </row>
    <row r="9" customFormat="false" ht="15" hidden="false" customHeight="false" outlineLevel="0" collapsed="false">
      <c r="A9" s="3" t="s">
        <v>11</v>
      </c>
      <c r="B9" s="4" t="s">
        <v>12</v>
      </c>
    </row>
    <row r="10" customFormat="false" ht="15" hidden="false" customHeight="false" outlineLevel="0" collapsed="false">
      <c r="A10" s="3" t="s">
        <v>13</v>
      </c>
      <c r="B10" s="4" t="s">
        <v>14</v>
      </c>
    </row>
    <row r="12" customFormat="false" ht="15" hidden="false" customHeight="false" outlineLevel="0" collapsed="false">
      <c r="A12" s="3" t="s">
        <v>15</v>
      </c>
      <c r="B12" s="4"/>
    </row>
    <row r="13" customFormat="false" ht="23.85" hidden="false" customHeight="false" outlineLevel="0" collapsed="false">
      <c r="A13" s="5" t="s">
        <v>16</v>
      </c>
      <c r="B13" s="4" t="s">
        <v>17</v>
      </c>
    </row>
    <row r="14" customFormat="false" ht="23.85" hidden="false" customHeight="false" outlineLevel="0" collapsed="false">
      <c r="A14" s="6" t="s">
        <v>18</v>
      </c>
      <c r="B14" s="4" t="s">
        <v>19</v>
      </c>
    </row>
    <row r="15" customFormat="false" ht="15" hidden="false" customHeight="false" outlineLevel="0" collapsed="false">
      <c r="A15" s="7" t="s">
        <v>20</v>
      </c>
      <c r="B15" s="4" t="s">
        <v>21</v>
      </c>
    </row>
    <row r="16" customFormat="false" ht="23.85" hidden="false" customHeight="false" outlineLevel="0" collapsed="false">
      <c r="A16" s="8" t="s">
        <v>22</v>
      </c>
      <c r="B16" s="4" t="s">
        <v>23</v>
      </c>
    </row>
    <row r="17" customFormat="false" ht="23.85" hidden="false" customHeight="false" outlineLevel="0" collapsed="false">
      <c r="A17" s="9" t="s">
        <v>24</v>
      </c>
      <c r="B17" s="4" t="s">
        <v>25</v>
      </c>
    </row>
    <row r="18" customFormat="false" ht="23.85" hidden="false" customHeight="false" outlineLevel="0" collapsed="false">
      <c r="A18" s="10" t="s">
        <v>26</v>
      </c>
      <c r="B18" s="4" t="s">
        <v>27</v>
      </c>
    </row>
    <row r="19" customFormat="false" ht="15" hidden="false" customHeight="false" outlineLevel="0" collapsed="false">
      <c r="A19" s="11" t="s">
        <v>28</v>
      </c>
      <c r="B19" s="4" t="s">
        <v>29</v>
      </c>
    </row>
    <row r="21" customFormat="false" ht="15" hidden="false" customHeight="false" outlineLevel="0" collapsed="false">
      <c r="A21" s="3" t="s">
        <v>30</v>
      </c>
      <c r="B21" s="4"/>
    </row>
    <row r="22" customFormat="false" ht="35.05" hidden="false" customHeight="false" outlineLevel="0" collapsed="false">
      <c r="A22" s="3" t="s">
        <v>31</v>
      </c>
      <c r="B22" s="4" t="s">
        <v>32</v>
      </c>
    </row>
    <row r="23" customFormat="false" ht="23.85" hidden="false" customHeight="false" outlineLevel="0" collapsed="false">
      <c r="A23" s="3" t="s">
        <v>33</v>
      </c>
      <c r="B23" s="4" t="s">
        <v>34</v>
      </c>
    </row>
    <row r="24" customFormat="false" ht="23.85" hidden="false" customHeight="false" outlineLevel="0" collapsed="false">
      <c r="A24" s="3" t="s">
        <v>35</v>
      </c>
      <c r="B24" s="4" t="s">
        <v>36</v>
      </c>
    </row>
    <row r="26" customFormat="false" ht="15" hidden="false" customHeight="false" outlineLevel="0" collapsed="false">
      <c r="A26" s="3" t="s">
        <v>37</v>
      </c>
      <c r="B26" s="4"/>
    </row>
    <row r="27" customFormat="false" ht="15" hidden="false" customHeight="false" outlineLevel="0" collapsed="false">
      <c r="A27" s="12" t="s">
        <v>16</v>
      </c>
      <c r="B27" s="13" t="n">
        <f aca="false">COUNTIF(Register!$K$5:$K$132,A27)</f>
        <v>4</v>
      </c>
    </row>
    <row r="28" customFormat="false" ht="15" hidden="false" customHeight="false" outlineLevel="0" collapsed="false">
      <c r="A28" s="14" t="s">
        <v>18</v>
      </c>
      <c r="B28" s="13" t="n">
        <f aca="false">COUNTIF(Register!$K$5:$K$132,A28)</f>
        <v>0</v>
      </c>
    </row>
    <row r="29" customFormat="false" ht="15" hidden="false" customHeight="false" outlineLevel="0" collapsed="false">
      <c r="A29" s="15" t="s">
        <v>20</v>
      </c>
      <c r="B29" s="13" t="n">
        <f aca="false">COUNTIF(Register!$K$5:$K$132,A29)</f>
        <v>31</v>
      </c>
    </row>
    <row r="30" customFormat="false" ht="15" hidden="false" customHeight="false" outlineLevel="0" collapsed="false">
      <c r="A30" s="16" t="s">
        <v>22</v>
      </c>
      <c r="B30" s="13" t="n">
        <f aca="false">COUNTIF(Register!$K$5:$K$132,A30)</f>
        <v>44</v>
      </c>
    </row>
    <row r="31" customFormat="false" ht="15" hidden="false" customHeight="false" outlineLevel="0" collapsed="false">
      <c r="A31" s="17" t="s">
        <v>24</v>
      </c>
      <c r="B31" s="13" t="n">
        <f aca="false">COUNTIF(Register!$K$5:$K$132,A31)</f>
        <v>18</v>
      </c>
    </row>
    <row r="32" customFormat="false" ht="15" hidden="false" customHeight="false" outlineLevel="0" collapsed="false">
      <c r="A32" s="18" t="s">
        <v>26</v>
      </c>
      <c r="B32" s="13" t="n">
        <f aca="false">COUNTIF(Register!$K$5:$K$132,A32)</f>
        <v>30</v>
      </c>
    </row>
    <row r="33" customFormat="false" ht="15" hidden="false" customHeight="false" outlineLevel="0" collapsed="false">
      <c r="A33" s="19" t="s">
        <v>28</v>
      </c>
      <c r="B33" s="13" t="n">
        <f aca="false">COUNTIF(Register!$K$5:$K$132,A33)</f>
        <v>1</v>
      </c>
    </row>
    <row r="34" customFormat="false" ht="15" hidden="false" customHeight="false" outlineLevel="0" collapsed="false">
      <c r="A34" s="20" t="s">
        <v>38</v>
      </c>
      <c r="B34" s="21" t="n">
        <f aca="false">COUNTA(Register!$A$5:$A$132)</f>
        <v>128</v>
      </c>
    </row>
    <row r="35" customFormat="false" ht="15" hidden="false" customHeight="false" outlineLevel="0" collapsed="false">
      <c r="A35" s="20" t="s">
        <v>39</v>
      </c>
      <c r="B35" s="21" t="n">
        <f aca="false">COUNTA('Verified figures'!$B$5:$B$62)</f>
        <v>58</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4"/>
    <col collapsed="false" customWidth="true" hidden="false" outlineLevel="0" max="9" min="9" style="0" width="10"/>
    <col collapsed="false" customWidth="true" hidden="false" outlineLevel="0" max="10" min="10" style="0" width="14"/>
  </cols>
  <sheetData>
    <row r="1" customFormat="false" ht="17.35" hidden="false" customHeight="false" outlineLevel="0" collapsed="false">
      <c r="A1" s="1" t="s">
        <v>40</v>
      </c>
    </row>
    <row r="2" customFormat="false" ht="15" hidden="false" customHeight="false" outlineLevel="0" collapsed="false">
      <c r="A2" s="2" t="s">
        <v>41</v>
      </c>
    </row>
    <row r="4" customFormat="false" ht="31.5" hidden="false" customHeight="true" outlineLevel="0" collapsed="false">
      <c r="A4" s="22" t="s">
        <v>42</v>
      </c>
      <c r="B4" s="23" t="s">
        <v>16</v>
      </c>
      <c r="C4" s="24" t="s">
        <v>18</v>
      </c>
      <c r="D4" s="25" t="s">
        <v>20</v>
      </c>
      <c r="E4" s="26" t="s">
        <v>22</v>
      </c>
      <c r="F4" s="27" t="s">
        <v>24</v>
      </c>
      <c r="G4" s="28" t="s">
        <v>26</v>
      </c>
      <c r="H4" s="29" t="s">
        <v>28</v>
      </c>
      <c r="I4" s="22" t="s">
        <v>43</v>
      </c>
      <c r="J4" s="22" t="s">
        <v>44</v>
      </c>
    </row>
    <row r="5" customFormat="false" ht="15" hidden="false" customHeight="false" outlineLevel="0" collapsed="false">
      <c r="A5" s="30" t="s">
        <v>45</v>
      </c>
      <c r="B5" s="30" t="n">
        <f aca="false">COUNTIFS(Register!$B$5:$B$132,$A5,Register!$K$5:$K$132,B$4)</f>
        <v>0</v>
      </c>
      <c r="C5" s="30" t="n">
        <f aca="false">COUNTIFS(Register!$B$5:$B$132,$A5,Register!$K$5:$K$132,C$4)</f>
        <v>0</v>
      </c>
      <c r="D5" s="30" t="n">
        <f aca="false">COUNTIFS(Register!$B$5:$B$132,$A5,Register!$K$5:$K$132,D$4)</f>
        <v>1</v>
      </c>
      <c r="E5" s="30" t="n">
        <f aca="false">COUNTIFS(Register!$B$5:$B$132,$A5,Register!$K$5:$K$132,E$4)</f>
        <v>6</v>
      </c>
      <c r="F5" s="30" t="n">
        <f aca="false">COUNTIFS(Register!$B$5:$B$132,$A5,Register!$K$5:$K$132,F$4)</f>
        <v>0</v>
      </c>
      <c r="G5" s="30" t="n">
        <f aca="false">COUNTIFS(Register!$B$5:$B$132,$A5,Register!$K$5:$K$132,G$4)</f>
        <v>0</v>
      </c>
      <c r="H5" s="30" t="n">
        <f aca="false">COUNTIFS(Register!$B$5:$B$132,$A5,Register!$K$5:$K$132,H$4)</f>
        <v>0</v>
      </c>
      <c r="I5" s="20" t="n">
        <f aca="false">SUM(B5:H5)</f>
        <v>7</v>
      </c>
      <c r="J5" s="20" t="n">
        <f aca="false">SUM(B5:D5)</f>
        <v>1</v>
      </c>
    </row>
    <row r="6" customFormat="false" ht="15" hidden="false" customHeight="false" outlineLevel="0" collapsed="false">
      <c r="A6" s="30" t="s">
        <v>46</v>
      </c>
      <c r="B6" s="30" t="n">
        <f aca="false">COUNTIFS(Register!$B$5:$B$132,$A6,Register!$K$5:$K$132,B$4)</f>
        <v>0</v>
      </c>
      <c r="C6" s="30" t="n">
        <f aca="false">COUNTIFS(Register!$B$5:$B$132,$A6,Register!$K$5:$K$132,C$4)</f>
        <v>0</v>
      </c>
      <c r="D6" s="30" t="n">
        <f aca="false">COUNTIFS(Register!$B$5:$B$132,$A6,Register!$K$5:$K$132,D$4)</f>
        <v>4</v>
      </c>
      <c r="E6" s="30" t="n">
        <f aca="false">COUNTIFS(Register!$B$5:$B$132,$A6,Register!$K$5:$K$132,E$4)</f>
        <v>4</v>
      </c>
      <c r="F6" s="30" t="n">
        <f aca="false">COUNTIFS(Register!$B$5:$B$132,$A6,Register!$K$5:$K$132,F$4)</f>
        <v>1</v>
      </c>
      <c r="G6" s="30" t="n">
        <f aca="false">COUNTIFS(Register!$B$5:$B$132,$A6,Register!$K$5:$K$132,G$4)</f>
        <v>0</v>
      </c>
      <c r="H6" s="30" t="n">
        <f aca="false">COUNTIFS(Register!$B$5:$B$132,$A6,Register!$K$5:$K$132,H$4)</f>
        <v>0</v>
      </c>
      <c r="I6" s="20" t="n">
        <f aca="false">SUM(B6:H6)</f>
        <v>9</v>
      </c>
      <c r="J6" s="20" t="n">
        <f aca="false">SUM(B6:D6)</f>
        <v>4</v>
      </c>
    </row>
    <row r="7" customFormat="false" ht="15" hidden="false" customHeight="false" outlineLevel="0" collapsed="false">
      <c r="A7" s="30" t="s">
        <v>47</v>
      </c>
      <c r="B7" s="30" t="n">
        <f aca="false">COUNTIFS(Register!$B$5:$B$132,$A7,Register!$K$5:$K$132,B$4)</f>
        <v>0</v>
      </c>
      <c r="C7" s="30" t="n">
        <f aca="false">COUNTIFS(Register!$B$5:$B$132,$A7,Register!$K$5:$K$132,C$4)</f>
        <v>0</v>
      </c>
      <c r="D7" s="30" t="n">
        <f aca="false">COUNTIFS(Register!$B$5:$B$132,$A7,Register!$K$5:$K$132,D$4)</f>
        <v>1</v>
      </c>
      <c r="E7" s="30" t="n">
        <f aca="false">COUNTIFS(Register!$B$5:$B$132,$A7,Register!$K$5:$K$132,E$4)</f>
        <v>5</v>
      </c>
      <c r="F7" s="30" t="n">
        <f aca="false">COUNTIFS(Register!$B$5:$B$132,$A7,Register!$K$5:$K$132,F$4)</f>
        <v>3</v>
      </c>
      <c r="G7" s="30" t="n">
        <f aca="false">COUNTIFS(Register!$B$5:$B$132,$A7,Register!$K$5:$K$132,G$4)</f>
        <v>0</v>
      </c>
      <c r="H7" s="30" t="n">
        <f aca="false">COUNTIFS(Register!$B$5:$B$132,$A7,Register!$K$5:$K$132,H$4)</f>
        <v>0</v>
      </c>
      <c r="I7" s="20" t="n">
        <f aca="false">SUM(B7:H7)</f>
        <v>9</v>
      </c>
      <c r="J7" s="20" t="n">
        <f aca="false">SUM(B7:D7)</f>
        <v>1</v>
      </c>
    </row>
    <row r="8" customFormat="false" ht="15" hidden="false" customHeight="false" outlineLevel="0" collapsed="false">
      <c r="A8" s="30" t="s">
        <v>48</v>
      </c>
      <c r="B8" s="30" t="n">
        <f aca="false">COUNTIFS(Register!$B$5:$B$132,$A8,Register!$K$5:$K$132,B$4)</f>
        <v>0</v>
      </c>
      <c r="C8" s="30" t="n">
        <f aca="false">COUNTIFS(Register!$B$5:$B$132,$A8,Register!$K$5:$K$132,C$4)</f>
        <v>0</v>
      </c>
      <c r="D8" s="30" t="n">
        <f aca="false">COUNTIFS(Register!$B$5:$B$132,$A8,Register!$K$5:$K$132,D$4)</f>
        <v>0</v>
      </c>
      <c r="E8" s="30" t="n">
        <f aca="false">COUNTIFS(Register!$B$5:$B$132,$A8,Register!$K$5:$K$132,E$4)</f>
        <v>7</v>
      </c>
      <c r="F8" s="30" t="n">
        <f aca="false">COUNTIFS(Register!$B$5:$B$132,$A8,Register!$K$5:$K$132,F$4)</f>
        <v>0</v>
      </c>
      <c r="G8" s="30" t="n">
        <f aca="false">COUNTIFS(Register!$B$5:$B$132,$A8,Register!$K$5:$K$132,G$4)</f>
        <v>1</v>
      </c>
      <c r="H8" s="30" t="n">
        <f aca="false">COUNTIFS(Register!$B$5:$B$132,$A8,Register!$K$5:$K$132,H$4)</f>
        <v>0</v>
      </c>
      <c r="I8" s="20" t="n">
        <f aca="false">SUM(B8:H8)</f>
        <v>8</v>
      </c>
      <c r="J8" s="20" t="n">
        <f aca="false">SUM(B8:D8)</f>
        <v>0</v>
      </c>
    </row>
    <row r="9" customFormat="false" ht="15" hidden="false" customHeight="false" outlineLevel="0" collapsed="false">
      <c r="A9" s="30" t="s">
        <v>49</v>
      </c>
      <c r="B9" s="30" t="n">
        <f aca="false">COUNTIFS(Register!$B$5:$B$132,$A9,Register!$K$5:$K$132,B$4)</f>
        <v>0</v>
      </c>
      <c r="C9" s="30" t="n">
        <f aca="false">COUNTIFS(Register!$B$5:$B$132,$A9,Register!$K$5:$K$132,C$4)</f>
        <v>0</v>
      </c>
      <c r="D9" s="30" t="n">
        <f aca="false">COUNTIFS(Register!$B$5:$B$132,$A9,Register!$K$5:$K$132,D$4)</f>
        <v>3</v>
      </c>
      <c r="E9" s="30" t="n">
        <f aca="false">COUNTIFS(Register!$B$5:$B$132,$A9,Register!$K$5:$K$132,E$4)</f>
        <v>4</v>
      </c>
      <c r="F9" s="30" t="n">
        <f aca="false">COUNTIFS(Register!$B$5:$B$132,$A9,Register!$K$5:$K$132,F$4)</f>
        <v>1</v>
      </c>
      <c r="G9" s="30" t="n">
        <f aca="false">COUNTIFS(Register!$B$5:$B$132,$A9,Register!$K$5:$K$132,G$4)</f>
        <v>3</v>
      </c>
      <c r="H9" s="30" t="n">
        <f aca="false">COUNTIFS(Register!$B$5:$B$132,$A9,Register!$K$5:$K$132,H$4)</f>
        <v>0</v>
      </c>
      <c r="I9" s="20" t="n">
        <f aca="false">SUM(B9:H9)</f>
        <v>11</v>
      </c>
      <c r="J9" s="20" t="n">
        <f aca="false">SUM(B9:D9)</f>
        <v>3</v>
      </c>
    </row>
    <row r="10" customFormat="false" ht="15" hidden="false" customHeight="false" outlineLevel="0" collapsed="false">
      <c r="A10" s="30" t="s">
        <v>50</v>
      </c>
      <c r="B10" s="30" t="n">
        <f aca="false">COUNTIFS(Register!$B$5:$B$132,$A10,Register!$K$5:$K$132,B$4)</f>
        <v>0</v>
      </c>
      <c r="C10" s="30" t="n">
        <f aca="false">COUNTIFS(Register!$B$5:$B$132,$A10,Register!$K$5:$K$132,C$4)</f>
        <v>0</v>
      </c>
      <c r="D10" s="30" t="n">
        <f aca="false">COUNTIFS(Register!$B$5:$B$132,$A10,Register!$K$5:$K$132,D$4)</f>
        <v>2</v>
      </c>
      <c r="E10" s="30" t="n">
        <f aca="false">COUNTIFS(Register!$B$5:$B$132,$A10,Register!$K$5:$K$132,E$4)</f>
        <v>1</v>
      </c>
      <c r="F10" s="30" t="n">
        <f aca="false">COUNTIFS(Register!$B$5:$B$132,$A10,Register!$K$5:$K$132,F$4)</f>
        <v>0</v>
      </c>
      <c r="G10" s="30" t="n">
        <f aca="false">COUNTIFS(Register!$B$5:$B$132,$A10,Register!$K$5:$K$132,G$4)</f>
        <v>5</v>
      </c>
      <c r="H10" s="30" t="n">
        <f aca="false">COUNTIFS(Register!$B$5:$B$132,$A10,Register!$K$5:$K$132,H$4)</f>
        <v>0</v>
      </c>
      <c r="I10" s="20" t="n">
        <f aca="false">SUM(B10:H10)</f>
        <v>8</v>
      </c>
      <c r="J10" s="20" t="n">
        <f aca="false">SUM(B10:D10)</f>
        <v>2</v>
      </c>
    </row>
    <row r="11" customFormat="false" ht="15" hidden="false" customHeight="false" outlineLevel="0" collapsed="false">
      <c r="A11" s="30" t="s">
        <v>51</v>
      </c>
      <c r="B11" s="30" t="n">
        <f aca="false">COUNTIFS(Register!$B$5:$B$132,$A11,Register!$K$5:$K$132,B$4)</f>
        <v>0</v>
      </c>
      <c r="C11" s="30" t="n">
        <f aca="false">COUNTIFS(Register!$B$5:$B$132,$A11,Register!$K$5:$K$132,C$4)</f>
        <v>0</v>
      </c>
      <c r="D11" s="30" t="n">
        <f aca="false">COUNTIFS(Register!$B$5:$B$132,$A11,Register!$K$5:$K$132,D$4)</f>
        <v>2</v>
      </c>
      <c r="E11" s="30" t="n">
        <f aca="false">COUNTIFS(Register!$B$5:$B$132,$A11,Register!$K$5:$K$132,E$4)</f>
        <v>4</v>
      </c>
      <c r="F11" s="30" t="n">
        <f aca="false">COUNTIFS(Register!$B$5:$B$132,$A11,Register!$K$5:$K$132,F$4)</f>
        <v>0</v>
      </c>
      <c r="G11" s="30" t="n">
        <f aca="false">COUNTIFS(Register!$B$5:$B$132,$A11,Register!$K$5:$K$132,G$4)</f>
        <v>5</v>
      </c>
      <c r="H11" s="30" t="n">
        <f aca="false">COUNTIFS(Register!$B$5:$B$132,$A11,Register!$K$5:$K$132,H$4)</f>
        <v>0</v>
      </c>
      <c r="I11" s="20" t="n">
        <f aca="false">SUM(B11:H11)</f>
        <v>11</v>
      </c>
      <c r="J11" s="20" t="n">
        <f aca="false">SUM(B11:D11)</f>
        <v>2</v>
      </c>
    </row>
    <row r="12" customFormat="false" ht="15" hidden="false" customHeight="false" outlineLevel="0" collapsed="false">
      <c r="A12" s="30" t="s">
        <v>52</v>
      </c>
      <c r="B12" s="30" t="n">
        <f aca="false">COUNTIFS(Register!$B$5:$B$132,$A12,Register!$K$5:$K$132,B$4)</f>
        <v>0</v>
      </c>
      <c r="C12" s="30" t="n">
        <f aca="false">COUNTIFS(Register!$B$5:$B$132,$A12,Register!$K$5:$K$132,C$4)</f>
        <v>0</v>
      </c>
      <c r="D12" s="30" t="n">
        <f aca="false">COUNTIFS(Register!$B$5:$B$132,$A12,Register!$K$5:$K$132,D$4)</f>
        <v>2</v>
      </c>
      <c r="E12" s="30" t="n">
        <f aca="false">COUNTIFS(Register!$B$5:$B$132,$A12,Register!$K$5:$K$132,E$4)</f>
        <v>1</v>
      </c>
      <c r="F12" s="30" t="n">
        <f aca="false">COUNTIFS(Register!$B$5:$B$132,$A12,Register!$K$5:$K$132,F$4)</f>
        <v>1</v>
      </c>
      <c r="G12" s="30" t="n">
        <f aca="false">COUNTIFS(Register!$B$5:$B$132,$A12,Register!$K$5:$K$132,G$4)</f>
        <v>3</v>
      </c>
      <c r="H12" s="30" t="n">
        <f aca="false">COUNTIFS(Register!$B$5:$B$132,$A12,Register!$K$5:$K$132,H$4)</f>
        <v>0</v>
      </c>
      <c r="I12" s="20" t="n">
        <f aca="false">SUM(B12:H12)</f>
        <v>7</v>
      </c>
      <c r="J12" s="20" t="n">
        <f aca="false">SUM(B12:D12)</f>
        <v>2</v>
      </c>
    </row>
    <row r="13" customFormat="false" ht="15" hidden="false" customHeight="false" outlineLevel="0" collapsed="false">
      <c r="A13" s="30" t="s">
        <v>53</v>
      </c>
      <c r="B13" s="30" t="n">
        <f aca="false">COUNTIFS(Register!$B$5:$B$132,$A13,Register!$K$5:$K$132,B$4)</f>
        <v>0</v>
      </c>
      <c r="C13" s="30" t="n">
        <f aca="false">COUNTIFS(Register!$B$5:$B$132,$A13,Register!$K$5:$K$132,C$4)</f>
        <v>0</v>
      </c>
      <c r="D13" s="30" t="n">
        <f aca="false">COUNTIFS(Register!$B$5:$B$132,$A13,Register!$K$5:$K$132,D$4)</f>
        <v>1</v>
      </c>
      <c r="E13" s="30" t="n">
        <f aca="false">COUNTIFS(Register!$B$5:$B$132,$A13,Register!$K$5:$K$132,E$4)</f>
        <v>4</v>
      </c>
      <c r="F13" s="30" t="n">
        <f aca="false">COUNTIFS(Register!$B$5:$B$132,$A13,Register!$K$5:$K$132,F$4)</f>
        <v>1</v>
      </c>
      <c r="G13" s="30" t="n">
        <f aca="false">COUNTIFS(Register!$B$5:$B$132,$A13,Register!$K$5:$K$132,G$4)</f>
        <v>0</v>
      </c>
      <c r="H13" s="30" t="n">
        <f aca="false">COUNTIFS(Register!$B$5:$B$132,$A13,Register!$K$5:$K$132,H$4)</f>
        <v>0</v>
      </c>
      <c r="I13" s="20" t="n">
        <f aca="false">SUM(B13:H13)</f>
        <v>6</v>
      </c>
      <c r="J13" s="20" t="n">
        <f aca="false">SUM(B13:D13)</f>
        <v>1</v>
      </c>
    </row>
    <row r="14" customFormat="false" ht="15" hidden="false" customHeight="false" outlineLevel="0" collapsed="false">
      <c r="A14" s="30" t="s">
        <v>54</v>
      </c>
      <c r="B14" s="30" t="n">
        <f aca="false">COUNTIFS(Register!$B$5:$B$132,$A14,Register!$K$5:$K$132,B$4)</f>
        <v>0</v>
      </c>
      <c r="C14" s="30" t="n">
        <f aca="false">COUNTIFS(Register!$B$5:$B$132,$A14,Register!$K$5:$K$132,C$4)</f>
        <v>0</v>
      </c>
      <c r="D14" s="30" t="n">
        <f aca="false">COUNTIFS(Register!$B$5:$B$132,$A14,Register!$K$5:$K$132,D$4)</f>
        <v>1</v>
      </c>
      <c r="E14" s="30" t="n">
        <f aca="false">COUNTIFS(Register!$B$5:$B$132,$A14,Register!$K$5:$K$132,E$4)</f>
        <v>0</v>
      </c>
      <c r="F14" s="30" t="n">
        <f aca="false">COUNTIFS(Register!$B$5:$B$132,$A14,Register!$K$5:$K$132,F$4)</f>
        <v>0</v>
      </c>
      <c r="G14" s="30" t="n">
        <f aca="false">COUNTIFS(Register!$B$5:$B$132,$A14,Register!$K$5:$K$132,G$4)</f>
        <v>1</v>
      </c>
      <c r="H14" s="30" t="n">
        <f aca="false">COUNTIFS(Register!$B$5:$B$132,$A14,Register!$K$5:$K$132,H$4)</f>
        <v>0</v>
      </c>
      <c r="I14" s="20" t="n">
        <f aca="false">SUM(B14:H14)</f>
        <v>2</v>
      </c>
      <c r="J14" s="20" t="n">
        <f aca="false">SUM(B14:D14)</f>
        <v>1</v>
      </c>
    </row>
    <row r="15" customFormat="false" ht="15" hidden="false" customHeight="false" outlineLevel="0" collapsed="false">
      <c r="A15" s="30" t="s">
        <v>55</v>
      </c>
      <c r="B15" s="30" t="n">
        <f aca="false">COUNTIFS(Register!$B$5:$B$132,$A15,Register!$K$5:$K$132,B$4)</f>
        <v>0</v>
      </c>
      <c r="C15" s="30" t="n">
        <f aca="false">COUNTIFS(Register!$B$5:$B$132,$A15,Register!$K$5:$K$132,C$4)</f>
        <v>0</v>
      </c>
      <c r="D15" s="30" t="n">
        <f aca="false">COUNTIFS(Register!$B$5:$B$132,$A15,Register!$K$5:$K$132,D$4)</f>
        <v>4</v>
      </c>
      <c r="E15" s="30" t="n">
        <f aca="false">COUNTIFS(Register!$B$5:$B$132,$A15,Register!$K$5:$K$132,E$4)</f>
        <v>4</v>
      </c>
      <c r="F15" s="30" t="n">
        <f aca="false">COUNTIFS(Register!$B$5:$B$132,$A15,Register!$K$5:$K$132,F$4)</f>
        <v>1</v>
      </c>
      <c r="G15" s="30" t="n">
        <f aca="false">COUNTIFS(Register!$B$5:$B$132,$A15,Register!$K$5:$K$132,G$4)</f>
        <v>2</v>
      </c>
      <c r="H15" s="30" t="n">
        <f aca="false">COUNTIFS(Register!$B$5:$B$132,$A15,Register!$K$5:$K$132,H$4)</f>
        <v>1</v>
      </c>
      <c r="I15" s="20" t="n">
        <f aca="false">SUM(B15:H15)</f>
        <v>12</v>
      </c>
      <c r="J15" s="20" t="n">
        <f aca="false">SUM(B15:D15)</f>
        <v>4</v>
      </c>
    </row>
    <row r="16" customFormat="false" ht="15" hidden="false" customHeight="false" outlineLevel="0" collapsed="false">
      <c r="A16" s="30" t="s">
        <v>56</v>
      </c>
      <c r="B16" s="30" t="n">
        <f aca="false">COUNTIFS(Register!$B$5:$B$132,$A16,Register!$K$5:$K$132,B$4)</f>
        <v>0</v>
      </c>
      <c r="C16" s="30" t="n">
        <f aca="false">COUNTIFS(Register!$B$5:$B$132,$A16,Register!$K$5:$K$132,C$4)</f>
        <v>0</v>
      </c>
      <c r="D16" s="30" t="n">
        <f aca="false">COUNTIFS(Register!$B$5:$B$132,$A16,Register!$K$5:$K$132,D$4)</f>
        <v>4</v>
      </c>
      <c r="E16" s="30" t="n">
        <f aca="false">COUNTIFS(Register!$B$5:$B$132,$A16,Register!$K$5:$K$132,E$4)</f>
        <v>4</v>
      </c>
      <c r="F16" s="30" t="n">
        <f aca="false">COUNTIFS(Register!$B$5:$B$132,$A16,Register!$K$5:$K$132,F$4)</f>
        <v>5</v>
      </c>
      <c r="G16" s="30" t="n">
        <f aca="false">COUNTIFS(Register!$B$5:$B$132,$A16,Register!$K$5:$K$132,G$4)</f>
        <v>5</v>
      </c>
      <c r="H16" s="30" t="n">
        <f aca="false">COUNTIFS(Register!$B$5:$B$132,$A16,Register!$K$5:$K$132,H$4)</f>
        <v>0</v>
      </c>
      <c r="I16" s="20" t="n">
        <f aca="false">SUM(B16:H16)</f>
        <v>18</v>
      </c>
      <c r="J16" s="20" t="n">
        <f aca="false">SUM(B16:D16)</f>
        <v>4</v>
      </c>
    </row>
    <row r="17" customFormat="false" ht="15" hidden="false" customHeight="false" outlineLevel="0" collapsed="false">
      <c r="A17" s="30" t="s">
        <v>57</v>
      </c>
      <c r="B17" s="30" t="n">
        <f aca="false">COUNTIFS(Register!$B$5:$B$132,$A17,Register!$K$5:$K$132,B$4)</f>
        <v>4</v>
      </c>
      <c r="C17" s="30" t="n">
        <f aca="false">COUNTIFS(Register!$B$5:$B$132,$A17,Register!$K$5:$K$132,C$4)</f>
        <v>0</v>
      </c>
      <c r="D17" s="30" t="n">
        <f aca="false">COUNTIFS(Register!$B$5:$B$132,$A17,Register!$K$5:$K$132,D$4)</f>
        <v>6</v>
      </c>
      <c r="E17" s="30" t="n">
        <f aca="false">COUNTIFS(Register!$B$5:$B$132,$A17,Register!$K$5:$K$132,E$4)</f>
        <v>0</v>
      </c>
      <c r="F17" s="30" t="n">
        <f aca="false">COUNTIFS(Register!$B$5:$B$132,$A17,Register!$K$5:$K$132,F$4)</f>
        <v>5</v>
      </c>
      <c r="G17" s="30" t="n">
        <f aca="false">COUNTIFS(Register!$B$5:$B$132,$A17,Register!$K$5:$K$132,G$4)</f>
        <v>5</v>
      </c>
      <c r="H17" s="30" t="n">
        <f aca="false">COUNTIFS(Register!$B$5:$B$132,$A17,Register!$K$5:$K$132,H$4)</f>
        <v>0</v>
      </c>
      <c r="I17" s="20" t="n">
        <f aca="false">SUM(B17:H17)</f>
        <v>20</v>
      </c>
      <c r="J17" s="20" t="n">
        <f aca="false">SUM(B17:D17)</f>
        <v>10</v>
      </c>
    </row>
    <row r="18" customFormat="false" ht="15" hidden="false" customHeight="false" outlineLevel="0" collapsed="false">
      <c r="A18" s="20" t="s">
        <v>43</v>
      </c>
      <c r="B18" s="20" t="n">
        <f aca="false">SUM(B5:B17)</f>
        <v>4</v>
      </c>
      <c r="C18" s="20" t="n">
        <f aca="false">SUM(C5:C17)</f>
        <v>0</v>
      </c>
      <c r="D18" s="20" t="n">
        <f aca="false">SUM(D5:D17)</f>
        <v>31</v>
      </c>
      <c r="E18" s="20" t="n">
        <f aca="false">SUM(E5:E17)</f>
        <v>44</v>
      </c>
      <c r="F18" s="20" t="n">
        <f aca="false">SUM(F5:F17)</f>
        <v>18</v>
      </c>
      <c r="G18" s="20" t="n">
        <f aca="false">SUM(G5:G17)</f>
        <v>30</v>
      </c>
      <c r="H18" s="20" t="n">
        <f aca="false">SUM(H5:H17)</f>
        <v>1</v>
      </c>
      <c r="I18" s="20" t="n">
        <f aca="false">SUM(I5:I17)</f>
        <v>128</v>
      </c>
      <c r="J18" s="20" t="n">
        <f aca="false">SUM(J5:J17)</f>
        <v>35</v>
      </c>
    </row>
    <row r="20" customFormat="false" ht="15" hidden="false" customHeight="false" outlineLevel="0" collapsed="false">
      <c r="A20" s="20" t="s">
        <v>58</v>
      </c>
    </row>
    <row r="21" customFormat="false" ht="45" hidden="false" customHeight="true" outlineLevel="0" collapsed="false">
      <c r="A21" s="31" t="s">
        <v>59</v>
      </c>
      <c r="B21" s="31"/>
      <c r="C21" s="31"/>
      <c r="D21" s="31"/>
      <c r="E21" s="31"/>
      <c r="F21" s="31"/>
      <c r="G21" s="31"/>
      <c r="H21" s="31"/>
      <c r="I21" s="31"/>
      <c r="J21" s="31"/>
    </row>
  </sheetData>
  <mergeCells count="1">
    <mergeCell ref="A21:J2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4"/>
    <col collapsed="false" customWidth="true" hidden="false" outlineLevel="0" max="4" min="4" style="0" width="28"/>
    <col collapsed="false" customWidth="true" hidden="false" outlineLevel="0" max="5" min="5" style="0" width="70"/>
    <col collapsed="false" customWidth="true" hidden="false" outlineLevel="0" max="6" min="6" style="0" width="12"/>
    <col collapsed="false" customWidth="true" hidden="false" outlineLevel="0" max="7" min="7" style="0" width="14"/>
    <col collapsed="false" customWidth="true" hidden="false" outlineLevel="0" max="8" min="8" style="0" width="12"/>
    <col collapsed="false" customWidth="true" hidden="false" outlineLevel="0" max="9" min="9" style="0" width="30"/>
    <col collapsed="false" customWidth="true" hidden="false" outlineLevel="0" max="10" min="10" style="0" width="22"/>
    <col collapsed="false" customWidth="true" hidden="false" outlineLevel="0" max="11" min="11" style="0" width="18"/>
    <col collapsed="false" customWidth="true" hidden="false" outlineLevel="0" max="12" min="12" style="0" width="10"/>
    <col collapsed="false" customWidth="true" hidden="false" outlineLevel="0" max="13" min="13" style="0" width="40"/>
    <col collapsed="false" customWidth="true" hidden="false" outlineLevel="0" max="14" min="14" style="0" width="38"/>
    <col collapsed="false" customWidth="true" hidden="false" outlineLevel="0" max="15" min="15" style="0" width="42"/>
    <col collapsed="false" customWidth="true" hidden="false" outlineLevel="0" max="16" min="16" style="0" width="26"/>
    <col collapsed="false" customWidth="true" hidden="false" outlineLevel="0" max="17" min="17" style="0" width="30"/>
  </cols>
  <sheetData>
    <row r="1" customFormat="false" ht="17.35" hidden="false" customHeight="false" outlineLevel="0" collapsed="false">
      <c r="A1" s="1" t="s">
        <v>60</v>
      </c>
    </row>
    <row r="2" customFormat="false" ht="15" hidden="false" customHeight="false" outlineLevel="0" collapsed="false">
      <c r="A2" s="2" t="s">
        <v>61</v>
      </c>
    </row>
    <row r="4" customFormat="false" ht="31.5" hidden="false" customHeight="true" outlineLevel="0" collapsed="false">
      <c r="A4" s="22" t="s">
        <v>62</v>
      </c>
      <c r="B4" s="22" t="s">
        <v>42</v>
      </c>
      <c r="C4" s="22" t="s">
        <v>63</v>
      </c>
      <c r="D4" s="22" t="s">
        <v>64</v>
      </c>
      <c r="E4" s="22" t="s">
        <v>65</v>
      </c>
      <c r="F4" s="22" t="s">
        <v>66</v>
      </c>
      <c r="G4" s="22" t="s">
        <v>67</v>
      </c>
      <c r="H4" s="22" t="s">
        <v>68</v>
      </c>
      <c r="I4" s="22" t="s">
        <v>69</v>
      </c>
      <c r="J4" s="22" t="s">
        <v>70</v>
      </c>
      <c r="K4" s="22" t="s">
        <v>15</v>
      </c>
      <c r="L4" s="22" t="s">
        <v>71</v>
      </c>
      <c r="M4" s="22" t="s">
        <v>72</v>
      </c>
      <c r="N4" s="22" t="s">
        <v>73</v>
      </c>
      <c r="O4" s="22" t="s">
        <v>74</v>
      </c>
      <c r="P4" s="22" t="s">
        <v>75</v>
      </c>
      <c r="Q4" s="22" t="s">
        <v>76</v>
      </c>
    </row>
    <row r="5" customFormat="false" ht="35.05" hidden="false" customHeight="false" outlineLevel="0" collapsed="false">
      <c r="A5" s="32" t="s">
        <v>77</v>
      </c>
      <c r="B5" s="32" t="s">
        <v>45</v>
      </c>
      <c r="C5" s="32" t="s">
        <v>78</v>
      </c>
      <c r="D5" s="32" t="s">
        <v>79</v>
      </c>
      <c r="E5" s="32" t="s">
        <v>80</v>
      </c>
      <c r="F5" s="32" t="s">
        <v>81</v>
      </c>
      <c r="G5" s="32" t="s">
        <v>82</v>
      </c>
      <c r="H5" s="32" t="s">
        <v>83</v>
      </c>
      <c r="I5" s="32" t="s">
        <v>84</v>
      </c>
      <c r="J5" s="32"/>
      <c r="K5" s="32" t="s">
        <v>22</v>
      </c>
      <c r="L5" s="33" t="str">
        <f aca="false">IF(K5="Partly verified","Partly",IF(LEFT(K5,8)="Verified","Yes","No"))</f>
        <v>No</v>
      </c>
      <c r="M5" s="32" t="s">
        <v>85</v>
      </c>
      <c r="N5" s="32" t="s">
        <v>86</v>
      </c>
      <c r="O5" s="32" t="s">
        <v>87</v>
      </c>
      <c r="P5" s="32" t="s">
        <v>88</v>
      </c>
      <c r="Q5" s="32" t="s">
        <v>89</v>
      </c>
    </row>
    <row r="6" customFormat="false" ht="35.05" hidden="false" customHeight="false" outlineLevel="0" collapsed="false">
      <c r="A6" s="32" t="s">
        <v>90</v>
      </c>
      <c r="B6" s="32" t="s">
        <v>45</v>
      </c>
      <c r="C6" s="32" t="s">
        <v>91</v>
      </c>
      <c r="D6" s="32" t="s">
        <v>92</v>
      </c>
      <c r="E6" s="32" t="s">
        <v>93</v>
      </c>
      <c r="F6" s="32" t="s">
        <v>94</v>
      </c>
      <c r="G6" s="32" t="s">
        <v>82</v>
      </c>
      <c r="H6" s="32" t="s">
        <v>95</v>
      </c>
      <c r="I6" s="32" t="s">
        <v>96</v>
      </c>
      <c r="J6" s="32"/>
      <c r="K6" s="32" t="s">
        <v>22</v>
      </c>
      <c r="L6" s="33" t="str">
        <f aca="false">IF(K6="Partly verified","Partly",IF(LEFT(K6,8)="Verified","Yes","No"))</f>
        <v>No</v>
      </c>
      <c r="M6" s="32" t="s">
        <v>97</v>
      </c>
      <c r="N6" s="32" t="s">
        <v>98</v>
      </c>
      <c r="O6" s="32" t="s">
        <v>99</v>
      </c>
      <c r="P6" s="32" t="s">
        <v>100</v>
      </c>
      <c r="Q6" s="32" t="s">
        <v>101</v>
      </c>
    </row>
    <row r="7" customFormat="false" ht="35.05" hidden="false" customHeight="false" outlineLevel="0" collapsed="false">
      <c r="A7" s="32" t="s">
        <v>102</v>
      </c>
      <c r="B7" s="32" t="s">
        <v>45</v>
      </c>
      <c r="C7" s="32" t="s">
        <v>103</v>
      </c>
      <c r="D7" s="32" t="s">
        <v>104</v>
      </c>
      <c r="E7" s="32" t="s">
        <v>105</v>
      </c>
      <c r="F7" s="32" t="s">
        <v>106</v>
      </c>
      <c r="G7" s="32" t="s">
        <v>107</v>
      </c>
      <c r="H7" s="32" t="s">
        <v>108</v>
      </c>
      <c r="I7" s="32" t="s">
        <v>109</v>
      </c>
      <c r="J7" s="32"/>
      <c r="K7" s="32" t="s">
        <v>20</v>
      </c>
      <c r="L7" s="33" t="str">
        <f aca="false">IF(K7="Partly verified","Partly",IF(LEFT(K7,8)="Verified","Yes","No"))</f>
        <v>Partly</v>
      </c>
      <c r="M7" s="32" t="s">
        <v>110</v>
      </c>
      <c r="N7" s="32" t="s">
        <v>111</v>
      </c>
      <c r="O7" s="32" t="s">
        <v>112</v>
      </c>
      <c r="P7" s="32" t="s">
        <v>113</v>
      </c>
      <c r="Q7" s="32" t="s">
        <v>114</v>
      </c>
    </row>
    <row r="8" customFormat="false" ht="23.85" hidden="false" customHeight="false" outlineLevel="0" collapsed="false">
      <c r="A8" s="32" t="s">
        <v>115</v>
      </c>
      <c r="B8" s="32" t="s">
        <v>45</v>
      </c>
      <c r="C8" s="32" t="s">
        <v>116</v>
      </c>
      <c r="D8" s="32" t="s">
        <v>117</v>
      </c>
      <c r="E8" s="32" t="s">
        <v>118</v>
      </c>
      <c r="F8" s="32" t="s">
        <v>119</v>
      </c>
      <c r="G8" s="32" t="s">
        <v>120</v>
      </c>
      <c r="H8" s="32" t="s">
        <v>121</v>
      </c>
      <c r="I8" s="32" t="s">
        <v>122</v>
      </c>
      <c r="J8" s="32"/>
      <c r="K8" s="32" t="s">
        <v>22</v>
      </c>
      <c r="L8" s="33" t="str">
        <f aca="false">IF(K8="Partly verified","Partly",IF(LEFT(K8,8)="Verified","Yes","No"))</f>
        <v>No</v>
      </c>
      <c r="M8" s="32" t="s">
        <v>123</v>
      </c>
      <c r="N8" s="32" t="s">
        <v>124</v>
      </c>
      <c r="O8" s="32" t="s">
        <v>125</v>
      </c>
      <c r="P8" s="32" t="s">
        <v>126</v>
      </c>
      <c r="Q8" s="32" t="s">
        <v>127</v>
      </c>
    </row>
    <row r="9" customFormat="false" ht="46.25" hidden="false" customHeight="false" outlineLevel="0" collapsed="false">
      <c r="A9" s="32" t="s">
        <v>128</v>
      </c>
      <c r="B9" s="32" t="s">
        <v>45</v>
      </c>
      <c r="C9" s="32" t="s">
        <v>129</v>
      </c>
      <c r="D9" s="32" t="s">
        <v>130</v>
      </c>
      <c r="E9" s="32" t="s">
        <v>131</v>
      </c>
      <c r="F9" s="32" t="s">
        <v>132</v>
      </c>
      <c r="G9" s="32" t="s">
        <v>133</v>
      </c>
      <c r="H9" s="32" t="s">
        <v>134</v>
      </c>
      <c r="I9" s="32" t="s">
        <v>135</v>
      </c>
      <c r="J9" s="32"/>
      <c r="K9" s="32" t="s">
        <v>22</v>
      </c>
      <c r="L9" s="33" t="str">
        <f aca="false">IF(K9="Partly verified","Partly",IF(LEFT(K9,8)="Verified","Yes","No"))</f>
        <v>No</v>
      </c>
      <c r="M9" s="32" t="s">
        <v>136</v>
      </c>
      <c r="N9" s="32" t="s">
        <v>137</v>
      </c>
      <c r="O9" s="32" t="s">
        <v>138</v>
      </c>
      <c r="P9" s="32" t="s">
        <v>139</v>
      </c>
      <c r="Q9" s="32" t="s">
        <v>140</v>
      </c>
    </row>
    <row r="10" customFormat="false" ht="57.45" hidden="false" customHeight="false" outlineLevel="0" collapsed="false">
      <c r="A10" s="32" t="s">
        <v>141</v>
      </c>
      <c r="B10" s="32" t="s">
        <v>45</v>
      </c>
      <c r="C10" s="32" t="s">
        <v>142</v>
      </c>
      <c r="D10" s="32" t="s">
        <v>143</v>
      </c>
      <c r="E10" s="32" t="s">
        <v>144</v>
      </c>
      <c r="F10" s="32" t="s">
        <v>145</v>
      </c>
      <c r="G10" s="32" t="s">
        <v>146</v>
      </c>
      <c r="H10" s="32" t="s">
        <v>108</v>
      </c>
      <c r="I10" s="32" t="s">
        <v>147</v>
      </c>
      <c r="J10" s="32"/>
      <c r="K10" s="32" t="s">
        <v>22</v>
      </c>
      <c r="L10" s="33" t="str">
        <f aca="false">IF(K10="Partly verified","Partly",IF(LEFT(K10,8)="Verified","Yes","No"))</f>
        <v>No</v>
      </c>
      <c r="M10" s="32" t="s">
        <v>148</v>
      </c>
      <c r="N10" s="32" t="s">
        <v>149</v>
      </c>
      <c r="O10" s="32" t="s">
        <v>150</v>
      </c>
      <c r="P10" s="32" t="s">
        <v>151</v>
      </c>
      <c r="Q10" s="32" t="s">
        <v>152</v>
      </c>
    </row>
    <row r="11" customFormat="false" ht="35.05" hidden="false" customHeight="false" outlineLevel="0" collapsed="false">
      <c r="A11" s="32" t="s">
        <v>153</v>
      </c>
      <c r="B11" s="32" t="s">
        <v>45</v>
      </c>
      <c r="C11" s="32" t="s">
        <v>154</v>
      </c>
      <c r="D11" s="32" t="s">
        <v>155</v>
      </c>
      <c r="E11" s="32" t="s">
        <v>156</v>
      </c>
      <c r="F11" s="32" t="s">
        <v>157</v>
      </c>
      <c r="G11" s="32" t="s">
        <v>146</v>
      </c>
      <c r="H11" s="32" t="s">
        <v>158</v>
      </c>
      <c r="I11" s="32" t="s">
        <v>159</v>
      </c>
      <c r="J11" s="32"/>
      <c r="K11" s="32" t="s">
        <v>22</v>
      </c>
      <c r="L11" s="33" t="str">
        <f aca="false">IF(K11="Partly verified","Partly",IF(LEFT(K11,8)="Verified","Yes","No"))</f>
        <v>No</v>
      </c>
      <c r="M11" s="32" t="s">
        <v>160</v>
      </c>
      <c r="N11" s="32" t="s">
        <v>161</v>
      </c>
      <c r="O11" s="32" t="s">
        <v>162</v>
      </c>
      <c r="P11" s="32" t="s">
        <v>163</v>
      </c>
      <c r="Q11" s="32" t="s">
        <v>164</v>
      </c>
    </row>
    <row r="12" customFormat="false" ht="23.85" hidden="false" customHeight="false" outlineLevel="0" collapsed="false">
      <c r="A12" s="32" t="s">
        <v>165</v>
      </c>
      <c r="B12" s="32" t="s">
        <v>46</v>
      </c>
      <c r="C12" s="32" t="s">
        <v>166</v>
      </c>
      <c r="D12" s="32" t="s">
        <v>167</v>
      </c>
      <c r="E12" s="32" t="s">
        <v>168</v>
      </c>
      <c r="F12" s="32" t="s">
        <v>169</v>
      </c>
      <c r="G12" s="32" t="s">
        <v>82</v>
      </c>
      <c r="H12" s="32" t="s">
        <v>170</v>
      </c>
      <c r="I12" s="32" t="s">
        <v>171</v>
      </c>
      <c r="J12" s="32"/>
      <c r="K12" s="32" t="s">
        <v>22</v>
      </c>
      <c r="L12" s="33" t="str">
        <f aca="false">IF(K12="Partly verified","Partly",IF(LEFT(K12,8)="Verified","Yes","No"))</f>
        <v>No</v>
      </c>
      <c r="M12" s="32" t="s">
        <v>172</v>
      </c>
      <c r="N12" s="32" t="s">
        <v>173</v>
      </c>
      <c r="O12" s="32" t="s">
        <v>174</v>
      </c>
      <c r="P12" s="32" t="s">
        <v>175</v>
      </c>
      <c r="Q12" s="32" t="s">
        <v>176</v>
      </c>
    </row>
    <row r="13" customFormat="false" ht="23.85" hidden="false" customHeight="false" outlineLevel="0" collapsed="false">
      <c r="A13" s="32" t="s">
        <v>177</v>
      </c>
      <c r="B13" s="32" t="s">
        <v>46</v>
      </c>
      <c r="C13" s="32" t="s">
        <v>166</v>
      </c>
      <c r="D13" s="32" t="s">
        <v>178</v>
      </c>
      <c r="E13" s="32" t="s">
        <v>179</v>
      </c>
      <c r="F13" s="32" t="s">
        <v>180</v>
      </c>
      <c r="G13" s="32" t="s">
        <v>82</v>
      </c>
      <c r="H13" s="32" t="s">
        <v>181</v>
      </c>
      <c r="I13" s="32" t="s">
        <v>182</v>
      </c>
      <c r="J13" s="32"/>
      <c r="K13" s="32" t="s">
        <v>22</v>
      </c>
      <c r="L13" s="33" t="str">
        <f aca="false">IF(K13="Partly verified","Partly",IF(LEFT(K13,8)="Verified","Yes","No"))</f>
        <v>No</v>
      </c>
      <c r="M13" s="32"/>
      <c r="N13" s="32" t="s">
        <v>183</v>
      </c>
      <c r="O13" s="32" t="s">
        <v>184</v>
      </c>
      <c r="P13" s="32" t="s">
        <v>185</v>
      </c>
      <c r="Q13" s="32" t="s">
        <v>127</v>
      </c>
    </row>
    <row r="14" customFormat="false" ht="46.25" hidden="false" customHeight="false" outlineLevel="0" collapsed="false">
      <c r="A14" s="32" t="s">
        <v>186</v>
      </c>
      <c r="B14" s="32" t="s">
        <v>46</v>
      </c>
      <c r="C14" s="32" t="s">
        <v>187</v>
      </c>
      <c r="D14" s="32" t="s">
        <v>188</v>
      </c>
      <c r="E14" s="32" t="s">
        <v>189</v>
      </c>
      <c r="F14" s="32" t="s">
        <v>190</v>
      </c>
      <c r="G14" s="32" t="s">
        <v>82</v>
      </c>
      <c r="H14" s="32" t="s">
        <v>191</v>
      </c>
      <c r="I14" s="32" t="s">
        <v>192</v>
      </c>
      <c r="J14" s="34" t="s">
        <v>193</v>
      </c>
      <c r="K14" s="32" t="s">
        <v>20</v>
      </c>
      <c r="L14" s="33" t="str">
        <f aca="false">IF(K14="Partly verified","Partly",IF(LEFT(K14,8)="Verified","Yes","No"))</f>
        <v>Partly</v>
      </c>
      <c r="M14" s="32" t="s">
        <v>194</v>
      </c>
      <c r="N14" s="32" t="s">
        <v>195</v>
      </c>
      <c r="O14" s="32" t="s">
        <v>196</v>
      </c>
      <c r="P14" s="32" t="s">
        <v>197</v>
      </c>
      <c r="Q14" s="32" t="s">
        <v>127</v>
      </c>
    </row>
    <row r="15" customFormat="false" ht="35.05" hidden="false" customHeight="false" outlineLevel="0" collapsed="false">
      <c r="A15" s="32" t="s">
        <v>198</v>
      </c>
      <c r="B15" s="32" t="s">
        <v>46</v>
      </c>
      <c r="C15" s="32" t="s">
        <v>199</v>
      </c>
      <c r="D15" s="32" t="s">
        <v>200</v>
      </c>
      <c r="E15" s="32" t="s">
        <v>201</v>
      </c>
      <c r="F15" s="32" t="s">
        <v>202</v>
      </c>
      <c r="G15" s="32" t="s">
        <v>82</v>
      </c>
      <c r="H15" s="32" t="s">
        <v>203</v>
      </c>
      <c r="I15" s="32" t="s">
        <v>204</v>
      </c>
      <c r="J15" s="34" t="s">
        <v>193</v>
      </c>
      <c r="K15" s="32" t="s">
        <v>20</v>
      </c>
      <c r="L15" s="33" t="str">
        <f aca="false">IF(K15="Partly verified","Partly",IF(LEFT(K15,8)="Verified","Yes","No"))</f>
        <v>Partly</v>
      </c>
      <c r="M15" s="32" t="s">
        <v>205</v>
      </c>
      <c r="N15" s="32" t="s">
        <v>206</v>
      </c>
      <c r="O15" s="32" t="s">
        <v>207</v>
      </c>
      <c r="P15" s="32" t="s">
        <v>208</v>
      </c>
      <c r="Q15" s="32" t="s">
        <v>209</v>
      </c>
    </row>
    <row r="16" customFormat="false" ht="23.85" hidden="false" customHeight="false" outlineLevel="0" collapsed="false">
      <c r="A16" s="32" t="s">
        <v>210</v>
      </c>
      <c r="B16" s="32" t="s">
        <v>46</v>
      </c>
      <c r="C16" s="32" t="s">
        <v>211</v>
      </c>
      <c r="D16" s="32" t="s">
        <v>212</v>
      </c>
      <c r="E16" s="32" t="s">
        <v>213</v>
      </c>
      <c r="F16" s="32" t="s">
        <v>214</v>
      </c>
      <c r="G16" s="32" t="s">
        <v>215</v>
      </c>
      <c r="H16" s="32" t="s">
        <v>181</v>
      </c>
      <c r="I16" s="32" t="s">
        <v>216</v>
      </c>
      <c r="J16" s="32"/>
      <c r="K16" s="32" t="s">
        <v>24</v>
      </c>
      <c r="L16" s="33" t="str">
        <f aca="false">IF(K16="Partly verified","Partly",IF(LEFT(K16,8)="Verified","Yes","No"))</f>
        <v>No</v>
      </c>
      <c r="M16" s="32" t="s">
        <v>217</v>
      </c>
      <c r="N16" s="32" t="s">
        <v>218</v>
      </c>
      <c r="O16" s="32" t="s">
        <v>219</v>
      </c>
      <c r="P16" s="32" t="s">
        <v>220</v>
      </c>
      <c r="Q16" s="32" t="s">
        <v>127</v>
      </c>
    </row>
    <row r="17" customFormat="false" ht="35.05" hidden="false" customHeight="false" outlineLevel="0" collapsed="false">
      <c r="A17" s="32" t="s">
        <v>221</v>
      </c>
      <c r="B17" s="32" t="s">
        <v>46</v>
      </c>
      <c r="C17" s="32" t="s">
        <v>222</v>
      </c>
      <c r="D17" s="32" t="s">
        <v>223</v>
      </c>
      <c r="E17" s="32" t="s">
        <v>224</v>
      </c>
      <c r="F17" s="32" t="s">
        <v>225</v>
      </c>
      <c r="G17" s="32" t="s">
        <v>215</v>
      </c>
      <c r="H17" s="32" t="s">
        <v>226</v>
      </c>
      <c r="I17" s="32" t="s">
        <v>227</v>
      </c>
      <c r="J17" s="34" t="s">
        <v>193</v>
      </c>
      <c r="K17" s="32" t="s">
        <v>20</v>
      </c>
      <c r="L17" s="33" t="str">
        <f aca="false">IF(K17="Partly verified","Partly",IF(LEFT(K17,8)="Verified","Yes","No"))</f>
        <v>Partly</v>
      </c>
      <c r="M17" s="32" t="s">
        <v>228</v>
      </c>
      <c r="N17" s="32" t="s">
        <v>229</v>
      </c>
      <c r="O17" s="32" t="s">
        <v>230</v>
      </c>
      <c r="P17" s="32" t="s">
        <v>231</v>
      </c>
      <c r="Q17" s="32" t="s">
        <v>127</v>
      </c>
    </row>
    <row r="18" customFormat="false" ht="35.05" hidden="false" customHeight="false" outlineLevel="0" collapsed="false">
      <c r="A18" s="32" t="s">
        <v>232</v>
      </c>
      <c r="B18" s="32" t="s">
        <v>46</v>
      </c>
      <c r="C18" s="32" t="s">
        <v>233</v>
      </c>
      <c r="D18" s="32" t="s">
        <v>234</v>
      </c>
      <c r="E18" s="32" t="s">
        <v>235</v>
      </c>
      <c r="F18" s="32" t="s">
        <v>236</v>
      </c>
      <c r="G18" s="32" t="s">
        <v>237</v>
      </c>
      <c r="H18" s="32" t="s">
        <v>226</v>
      </c>
      <c r="I18" s="32" t="s">
        <v>238</v>
      </c>
      <c r="J18" s="34" t="s">
        <v>193</v>
      </c>
      <c r="K18" s="32" t="s">
        <v>20</v>
      </c>
      <c r="L18" s="33" t="str">
        <f aca="false">IF(K18="Partly verified","Partly",IF(LEFT(K18,8)="Verified","Yes","No"))</f>
        <v>Partly</v>
      </c>
      <c r="M18" s="32" t="s">
        <v>239</v>
      </c>
      <c r="N18" s="32" t="s">
        <v>240</v>
      </c>
      <c r="O18" s="32" t="s">
        <v>241</v>
      </c>
      <c r="P18" s="32" t="s">
        <v>242</v>
      </c>
      <c r="Q18" s="32" t="s">
        <v>127</v>
      </c>
    </row>
    <row r="19" customFormat="false" ht="46.25" hidden="false" customHeight="false" outlineLevel="0" collapsed="false">
      <c r="A19" s="32" t="s">
        <v>243</v>
      </c>
      <c r="B19" s="32" t="s">
        <v>46</v>
      </c>
      <c r="C19" s="32" t="s">
        <v>244</v>
      </c>
      <c r="D19" s="32" t="s">
        <v>245</v>
      </c>
      <c r="E19" s="32" t="s">
        <v>246</v>
      </c>
      <c r="F19" s="32" t="s">
        <v>247</v>
      </c>
      <c r="G19" s="32" t="s">
        <v>146</v>
      </c>
      <c r="H19" s="32" t="s">
        <v>248</v>
      </c>
      <c r="I19" s="32" t="s">
        <v>249</v>
      </c>
      <c r="J19" s="32"/>
      <c r="K19" s="32" t="s">
        <v>22</v>
      </c>
      <c r="L19" s="33" t="str">
        <f aca="false">IF(K19="Partly verified","Partly",IF(LEFT(K19,8)="Verified","Yes","No"))</f>
        <v>No</v>
      </c>
      <c r="M19" s="32"/>
      <c r="N19" s="32" t="s">
        <v>250</v>
      </c>
      <c r="O19" s="32" t="s">
        <v>251</v>
      </c>
      <c r="P19" s="32" t="s">
        <v>252</v>
      </c>
      <c r="Q19" s="32" t="s">
        <v>253</v>
      </c>
    </row>
    <row r="20" customFormat="false" ht="35.05" hidden="false" customHeight="false" outlineLevel="0" collapsed="false">
      <c r="A20" s="32" t="s">
        <v>254</v>
      </c>
      <c r="B20" s="32" t="s">
        <v>46</v>
      </c>
      <c r="C20" s="32" t="s">
        <v>255</v>
      </c>
      <c r="D20" s="32" t="s">
        <v>256</v>
      </c>
      <c r="E20" s="32" t="s">
        <v>257</v>
      </c>
      <c r="F20" s="32" t="s">
        <v>258</v>
      </c>
      <c r="G20" s="32" t="s">
        <v>107</v>
      </c>
      <c r="H20" s="32" t="s">
        <v>158</v>
      </c>
      <c r="I20" s="32" t="s">
        <v>259</v>
      </c>
      <c r="J20" s="32"/>
      <c r="K20" s="32" t="s">
        <v>22</v>
      </c>
      <c r="L20" s="33" t="str">
        <f aca="false">IF(K20="Partly verified","Partly",IF(LEFT(K20,8)="Verified","Yes","No"))</f>
        <v>No</v>
      </c>
      <c r="M20" s="32" t="s">
        <v>260</v>
      </c>
      <c r="N20" s="32" t="s">
        <v>261</v>
      </c>
      <c r="O20" s="32" t="s">
        <v>262</v>
      </c>
      <c r="P20" s="32" t="s">
        <v>263</v>
      </c>
      <c r="Q20" s="32" t="s">
        <v>127</v>
      </c>
    </row>
    <row r="21" customFormat="false" ht="23.85" hidden="false" customHeight="false" outlineLevel="0" collapsed="false">
      <c r="A21" s="32" t="s">
        <v>264</v>
      </c>
      <c r="B21" s="32" t="s">
        <v>47</v>
      </c>
      <c r="C21" s="32" t="s">
        <v>265</v>
      </c>
      <c r="D21" s="32" t="s">
        <v>266</v>
      </c>
      <c r="E21" s="32" t="s">
        <v>267</v>
      </c>
      <c r="F21" s="32" t="s">
        <v>268</v>
      </c>
      <c r="G21" s="32" t="s">
        <v>265</v>
      </c>
      <c r="H21" s="32" t="s">
        <v>127</v>
      </c>
      <c r="I21" s="32" t="s">
        <v>269</v>
      </c>
      <c r="J21" s="32"/>
      <c r="K21" s="32" t="s">
        <v>22</v>
      </c>
      <c r="L21" s="33" t="str">
        <f aca="false">IF(K21="Partly verified","Partly",IF(LEFT(K21,8)="Verified","Yes","No"))</f>
        <v>No</v>
      </c>
      <c r="M21" s="32" t="s">
        <v>270</v>
      </c>
      <c r="N21" s="32" t="s">
        <v>271</v>
      </c>
      <c r="O21" s="32" t="s">
        <v>272</v>
      </c>
      <c r="P21" s="32" t="s">
        <v>273</v>
      </c>
      <c r="Q21" s="32" t="s">
        <v>127</v>
      </c>
    </row>
    <row r="22" customFormat="false" ht="23.85" hidden="false" customHeight="false" outlineLevel="0" collapsed="false">
      <c r="A22" s="32" t="s">
        <v>274</v>
      </c>
      <c r="B22" s="32" t="s">
        <v>47</v>
      </c>
      <c r="C22" s="32" t="s">
        <v>275</v>
      </c>
      <c r="D22" s="32" t="s">
        <v>276</v>
      </c>
      <c r="E22" s="32" t="s">
        <v>277</v>
      </c>
      <c r="F22" s="32" t="s">
        <v>278</v>
      </c>
      <c r="G22" s="32" t="s">
        <v>215</v>
      </c>
      <c r="H22" s="32" t="s">
        <v>108</v>
      </c>
      <c r="I22" s="32" t="s">
        <v>279</v>
      </c>
      <c r="J22" s="32"/>
      <c r="K22" s="32" t="s">
        <v>24</v>
      </c>
      <c r="L22" s="33" t="str">
        <f aca="false">IF(K22="Partly verified","Partly",IF(LEFT(K22,8)="Verified","Yes","No"))</f>
        <v>No</v>
      </c>
      <c r="M22" s="32"/>
      <c r="N22" s="32" t="s">
        <v>280</v>
      </c>
      <c r="O22" s="32" t="s">
        <v>281</v>
      </c>
      <c r="P22" s="32" t="s">
        <v>282</v>
      </c>
      <c r="Q22" s="32" t="s">
        <v>127</v>
      </c>
    </row>
    <row r="23" customFormat="false" ht="35.05" hidden="false" customHeight="false" outlineLevel="0" collapsed="false">
      <c r="A23" s="32" t="s">
        <v>283</v>
      </c>
      <c r="B23" s="32" t="s">
        <v>47</v>
      </c>
      <c r="C23" s="32" t="s">
        <v>284</v>
      </c>
      <c r="D23" s="32" t="s">
        <v>285</v>
      </c>
      <c r="E23" s="32" t="s">
        <v>286</v>
      </c>
      <c r="F23" s="32" t="s">
        <v>287</v>
      </c>
      <c r="G23" s="32" t="s">
        <v>288</v>
      </c>
      <c r="H23" s="32" t="s">
        <v>108</v>
      </c>
      <c r="I23" s="32" t="s">
        <v>289</v>
      </c>
      <c r="J23" s="32"/>
      <c r="K23" s="32" t="s">
        <v>24</v>
      </c>
      <c r="L23" s="33" t="str">
        <f aca="false">IF(K23="Partly verified","Partly",IF(LEFT(K23,8)="Verified","Yes","No"))</f>
        <v>No</v>
      </c>
      <c r="M23" s="32" t="s">
        <v>290</v>
      </c>
      <c r="N23" s="32" t="s">
        <v>291</v>
      </c>
      <c r="O23" s="32" t="s">
        <v>292</v>
      </c>
      <c r="P23" s="32" t="s">
        <v>293</v>
      </c>
      <c r="Q23" s="32" t="s">
        <v>294</v>
      </c>
    </row>
    <row r="24" customFormat="false" ht="35.05" hidden="false" customHeight="false" outlineLevel="0" collapsed="false">
      <c r="A24" s="32" t="s">
        <v>295</v>
      </c>
      <c r="B24" s="32" t="s">
        <v>47</v>
      </c>
      <c r="C24" s="32" t="s">
        <v>296</v>
      </c>
      <c r="D24" s="32" t="s">
        <v>297</v>
      </c>
      <c r="E24" s="32" t="s">
        <v>298</v>
      </c>
      <c r="F24" s="32" t="s">
        <v>299</v>
      </c>
      <c r="G24" s="32" t="s">
        <v>82</v>
      </c>
      <c r="H24" s="32" t="s">
        <v>108</v>
      </c>
      <c r="I24" s="32" t="s">
        <v>300</v>
      </c>
      <c r="J24" s="32"/>
      <c r="K24" s="32" t="s">
        <v>22</v>
      </c>
      <c r="L24" s="33" t="str">
        <f aca="false">IF(K24="Partly verified","Partly",IF(LEFT(K24,8)="Verified","Yes","No"))</f>
        <v>No</v>
      </c>
      <c r="M24" s="32" t="s">
        <v>301</v>
      </c>
      <c r="N24" s="32" t="s">
        <v>302</v>
      </c>
      <c r="O24" s="32" t="s">
        <v>303</v>
      </c>
      <c r="P24" s="32" t="s">
        <v>304</v>
      </c>
      <c r="Q24" s="32" t="s">
        <v>127</v>
      </c>
    </row>
    <row r="25" customFormat="false" ht="35.05" hidden="false" customHeight="false" outlineLevel="0" collapsed="false">
      <c r="A25" s="32" t="s">
        <v>305</v>
      </c>
      <c r="B25" s="32" t="s">
        <v>47</v>
      </c>
      <c r="C25" s="32" t="s">
        <v>306</v>
      </c>
      <c r="D25" s="32" t="s">
        <v>307</v>
      </c>
      <c r="E25" s="32" t="s">
        <v>308</v>
      </c>
      <c r="F25" s="32" t="s">
        <v>309</v>
      </c>
      <c r="G25" s="32" t="s">
        <v>107</v>
      </c>
      <c r="H25" s="32" t="s">
        <v>83</v>
      </c>
      <c r="I25" s="32" t="s">
        <v>310</v>
      </c>
      <c r="J25" s="32"/>
      <c r="K25" s="32" t="s">
        <v>22</v>
      </c>
      <c r="L25" s="33" t="str">
        <f aca="false">IF(K25="Partly verified","Partly",IF(LEFT(K25,8)="Verified","Yes","No"))</f>
        <v>No</v>
      </c>
      <c r="M25" s="32"/>
      <c r="N25" s="32" t="s">
        <v>311</v>
      </c>
      <c r="O25" s="32" t="s">
        <v>312</v>
      </c>
      <c r="P25" s="32" t="s">
        <v>313</v>
      </c>
      <c r="Q25" s="32" t="s">
        <v>127</v>
      </c>
    </row>
    <row r="26" customFormat="false" ht="35.05" hidden="false" customHeight="false" outlineLevel="0" collapsed="false">
      <c r="A26" s="32" t="s">
        <v>314</v>
      </c>
      <c r="B26" s="32" t="s">
        <v>47</v>
      </c>
      <c r="C26" s="32" t="s">
        <v>306</v>
      </c>
      <c r="D26" s="32" t="s">
        <v>315</v>
      </c>
      <c r="E26" s="32" t="s">
        <v>316</v>
      </c>
      <c r="F26" s="32" t="s">
        <v>317</v>
      </c>
      <c r="G26" s="32" t="s">
        <v>82</v>
      </c>
      <c r="H26" s="32" t="s">
        <v>226</v>
      </c>
      <c r="I26" s="32" t="s">
        <v>318</v>
      </c>
      <c r="J26" s="32"/>
      <c r="K26" s="32" t="s">
        <v>22</v>
      </c>
      <c r="L26" s="33" t="str">
        <f aca="false">IF(K26="Partly verified","Partly",IF(LEFT(K26,8)="Verified","Yes","No"))</f>
        <v>No</v>
      </c>
      <c r="M26" s="32"/>
      <c r="N26" s="32" t="s">
        <v>319</v>
      </c>
      <c r="O26" s="32" t="s">
        <v>320</v>
      </c>
      <c r="P26" s="32" t="s">
        <v>321</v>
      </c>
      <c r="Q26" s="32" t="s">
        <v>127</v>
      </c>
    </row>
    <row r="27" customFormat="false" ht="23.85" hidden="false" customHeight="false" outlineLevel="0" collapsed="false">
      <c r="A27" s="32" t="s">
        <v>322</v>
      </c>
      <c r="B27" s="32" t="s">
        <v>47</v>
      </c>
      <c r="C27" s="32" t="s">
        <v>323</v>
      </c>
      <c r="D27" s="32" t="s">
        <v>324</v>
      </c>
      <c r="E27" s="32" t="s">
        <v>325</v>
      </c>
      <c r="F27" s="32" t="s">
        <v>326</v>
      </c>
      <c r="G27" s="32" t="s">
        <v>146</v>
      </c>
      <c r="H27" s="32" t="s">
        <v>327</v>
      </c>
      <c r="I27" s="32" t="s">
        <v>328</v>
      </c>
      <c r="J27" s="32"/>
      <c r="K27" s="32" t="s">
        <v>22</v>
      </c>
      <c r="L27" s="33" t="str">
        <f aca="false">IF(K27="Partly verified","Partly",IF(LEFT(K27,8)="Verified","Yes","No"))</f>
        <v>No</v>
      </c>
      <c r="M27" s="32"/>
      <c r="N27" s="32" t="s">
        <v>329</v>
      </c>
      <c r="O27" s="32" t="s">
        <v>330</v>
      </c>
      <c r="P27" s="32" t="s">
        <v>331</v>
      </c>
      <c r="Q27" s="32" t="s">
        <v>127</v>
      </c>
    </row>
    <row r="28" customFormat="false" ht="23.85" hidden="false" customHeight="false" outlineLevel="0" collapsed="false">
      <c r="A28" s="32" t="s">
        <v>332</v>
      </c>
      <c r="B28" s="32" t="s">
        <v>47</v>
      </c>
      <c r="C28" s="32" t="s">
        <v>333</v>
      </c>
      <c r="D28" s="32" t="s">
        <v>334</v>
      </c>
      <c r="E28" s="32" t="s">
        <v>335</v>
      </c>
      <c r="F28" s="32" t="s">
        <v>336</v>
      </c>
      <c r="G28" s="32" t="s">
        <v>337</v>
      </c>
      <c r="H28" s="32" t="s">
        <v>108</v>
      </c>
      <c r="I28" s="32" t="s">
        <v>338</v>
      </c>
      <c r="J28" s="32"/>
      <c r="K28" s="32" t="s">
        <v>24</v>
      </c>
      <c r="L28" s="33" t="str">
        <f aca="false">IF(K28="Partly verified","Partly",IF(LEFT(K28,8)="Verified","Yes","No"))</f>
        <v>No</v>
      </c>
      <c r="M28" s="32" t="s">
        <v>339</v>
      </c>
      <c r="N28" s="32" t="s">
        <v>340</v>
      </c>
      <c r="O28" s="32" t="s">
        <v>341</v>
      </c>
      <c r="P28" s="32" t="s">
        <v>342</v>
      </c>
      <c r="Q28" s="32" t="s">
        <v>343</v>
      </c>
    </row>
    <row r="29" customFormat="false" ht="57.45" hidden="false" customHeight="false" outlineLevel="0" collapsed="false">
      <c r="A29" s="32" t="s">
        <v>344</v>
      </c>
      <c r="B29" s="32" t="s">
        <v>47</v>
      </c>
      <c r="C29" s="32" t="s">
        <v>345</v>
      </c>
      <c r="D29" s="32" t="s">
        <v>346</v>
      </c>
      <c r="E29" s="32" t="s">
        <v>347</v>
      </c>
      <c r="F29" s="32" t="s">
        <v>258</v>
      </c>
      <c r="G29" s="32" t="s">
        <v>107</v>
      </c>
      <c r="H29" s="32" t="s">
        <v>226</v>
      </c>
      <c r="I29" s="32" t="s">
        <v>348</v>
      </c>
      <c r="J29" s="34" t="s">
        <v>193</v>
      </c>
      <c r="K29" s="32" t="s">
        <v>20</v>
      </c>
      <c r="L29" s="33" t="str">
        <f aca="false">IF(K29="Partly verified","Partly",IF(LEFT(K29,8)="Verified","Yes","No"))</f>
        <v>Partly</v>
      </c>
      <c r="M29" s="32" t="s">
        <v>349</v>
      </c>
      <c r="N29" s="32" t="s">
        <v>350</v>
      </c>
      <c r="O29" s="32" t="s">
        <v>351</v>
      </c>
      <c r="P29" s="32" t="s">
        <v>321</v>
      </c>
      <c r="Q29" s="32" t="s">
        <v>127</v>
      </c>
    </row>
    <row r="30" customFormat="false" ht="35.05" hidden="false" customHeight="false" outlineLevel="0" collapsed="false">
      <c r="A30" s="32" t="s">
        <v>352</v>
      </c>
      <c r="B30" s="32" t="s">
        <v>48</v>
      </c>
      <c r="C30" s="32" t="s">
        <v>353</v>
      </c>
      <c r="D30" s="32" t="s">
        <v>354</v>
      </c>
      <c r="E30" s="32" t="s">
        <v>355</v>
      </c>
      <c r="F30" s="32" t="s">
        <v>356</v>
      </c>
      <c r="G30" s="32" t="s">
        <v>357</v>
      </c>
      <c r="H30" s="32" t="s">
        <v>358</v>
      </c>
      <c r="I30" s="32" t="s">
        <v>359</v>
      </c>
      <c r="J30" s="32"/>
      <c r="K30" s="32" t="s">
        <v>22</v>
      </c>
      <c r="L30" s="33" t="str">
        <f aca="false">IF(K30="Partly verified","Partly",IF(LEFT(K30,8)="Verified","Yes","No"))</f>
        <v>No</v>
      </c>
      <c r="M30" s="32"/>
      <c r="N30" s="32" t="s">
        <v>360</v>
      </c>
      <c r="O30" s="32" t="s">
        <v>361</v>
      </c>
      <c r="P30" s="32" t="s">
        <v>362</v>
      </c>
      <c r="Q30" s="32" t="s">
        <v>127</v>
      </c>
    </row>
    <row r="31" customFormat="false" ht="35.05" hidden="false" customHeight="false" outlineLevel="0" collapsed="false">
      <c r="A31" s="32" t="s">
        <v>363</v>
      </c>
      <c r="B31" s="32" t="s">
        <v>48</v>
      </c>
      <c r="C31" s="32" t="s">
        <v>364</v>
      </c>
      <c r="D31" s="32" t="s">
        <v>365</v>
      </c>
      <c r="E31" s="32" t="s">
        <v>366</v>
      </c>
      <c r="F31" s="32" t="s">
        <v>367</v>
      </c>
      <c r="G31" s="32" t="s">
        <v>368</v>
      </c>
      <c r="H31" s="32" t="s">
        <v>369</v>
      </c>
      <c r="I31" s="32" t="s">
        <v>370</v>
      </c>
      <c r="J31" s="32"/>
      <c r="K31" s="32" t="s">
        <v>22</v>
      </c>
      <c r="L31" s="33" t="str">
        <f aca="false">IF(K31="Partly verified","Partly",IF(LEFT(K31,8)="Verified","Yes","No"))</f>
        <v>No</v>
      </c>
      <c r="M31" s="32" t="s">
        <v>371</v>
      </c>
      <c r="N31" s="32" t="s">
        <v>372</v>
      </c>
      <c r="O31" s="32" t="s">
        <v>373</v>
      </c>
      <c r="P31" s="32" t="s">
        <v>374</v>
      </c>
      <c r="Q31" s="32" t="s">
        <v>375</v>
      </c>
    </row>
    <row r="32" customFormat="false" ht="35.05" hidden="false" customHeight="false" outlineLevel="0" collapsed="false">
      <c r="A32" s="32" t="s">
        <v>376</v>
      </c>
      <c r="B32" s="32" t="s">
        <v>48</v>
      </c>
      <c r="C32" s="32" t="s">
        <v>377</v>
      </c>
      <c r="D32" s="32" t="s">
        <v>378</v>
      </c>
      <c r="E32" s="32" t="s">
        <v>379</v>
      </c>
      <c r="F32" s="32" t="s">
        <v>380</v>
      </c>
      <c r="G32" s="32" t="s">
        <v>357</v>
      </c>
      <c r="H32" s="32" t="s">
        <v>158</v>
      </c>
      <c r="I32" s="32" t="s">
        <v>381</v>
      </c>
      <c r="J32" s="32"/>
      <c r="K32" s="32" t="s">
        <v>22</v>
      </c>
      <c r="L32" s="33" t="str">
        <f aca="false">IF(K32="Partly verified","Partly",IF(LEFT(K32,8)="Verified","Yes","No"))</f>
        <v>No</v>
      </c>
      <c r="M32" s="32" t="s">
        <v>382</v>
      </c>
      <c r="N32" s="32" t="s">
        <v>383</v>
      </c>
      <c r="O32" s="32" t="s">
        <v>384</v>
      </c>
      <c r="P32" s="32" t="s">
        <v>385</v>
      </c>
      <c r="Q32" s="32" t="s">
        <v>386</v>
      </c>
    </row>
    <row r="33" customFormat="false" ht="23.85" hidden="false" customHeight="false" outlineLevel="0" collapsed="false">
      <c r="A33" s="32" t="s">
        <v>387</v>
      </c>
      <c r="B33" s="32" t="s">
        <v>48</v>
      </c>
      <c r="C33" s="32" t="s">
        <v>388</v>
      </c>
      <c r="D33" s="32" t="s">
        <v>389</v>
      </c>
      <c r="E33" s="32" t="s">
        <v>390</v>
      </c>
      <c r="F33" s="32" t="s">
        <v>391</v>
      </c>
      <c r="G33" s="32" t="s">
        <v>357</v>
      </c>
      <c r="H33" s="32" t="s">
        <v>392</v>
      </c>
      <c r="I33" s="32" t="s">
        <v>393</v>
      </c>
      <c r="J33" s="32"/>
      <c r="K33" s="32" t="s">
        <v>22</v>
      </c>
      <c r="L33" s="33" t="str">
        <f aca="false">IF(K33="Partly verified","Partly",IF(LEFT(K33,8)="Verified","Yes","No"))</f>
        <v>No</v>
      </c>
      <c r="M33" s="32"/>
      <c r="N33" s="32" t="s">
        <v>394</v>
      </c>
      <c r="O33" s="32" t="s">
        <v>395</v>
      </c>
      <c r="P33" s="32" t="s">
        <v>396</v>
      </c>
      <c r="Q33" s="32" t="s">
        <v>127</v>
      </c>
    </row>
    <row r="34" customFormat="false" ht="23.85" hidden="false" customHeight="false" outlineLevel="0" collapsed="false">
      <c r="A34" s="32" t="s">
        <v>397</v>
      </c>
      <c r="B34" s="32" t="s">
        <v>48</v>
      </c>
      <c r="C34" s="32" t="s">
        <v>398</v>
      </c>
      <c r="D34" s="32" t="s">
        <v>399</v>
      </c>
      <c r="E34" s="32" t="s">
        <v>400</v>
      </c>
      <c r="F34" s="32" t="s">
        <v>401</v>
      </c>
      <c r="G34" s="32" t="s">
        <v>402</v>
      </c>
      <c r="H34" s="32" t="s">
        <v>403</v>
      </c>
      <c r="I34" s="32" t="s">
        <v>404</v>
      </c>
      <c r="J34" s="32"/>
      <c r="K34" s="32" t="s">
        <v>22</v>
      </c>
      <c r="L34" s="33" t="str">
        <f aca="false">IF(K34="Partly verified","Partly",IF(LEFT(K34,8)="Verified","Yes","No"))</f>
        <v>No</v>
      </c>
      <c r="M34" s="32"/>
      <c r="N34" s="32" t="s">
        <v>405</v>
      </c>
      <c r="O34" s="32" t="s">
        <v>406</v>
      </c>
      <c r="P34" s="32" t="s">
        <v>407</v>
      </c>
      <c r="Q34" s="32" t="s">
        <v>408</v>
      </c>
    </row>
    <row r="35" customFormat="false" ht="23.85" hidden="false" customHeight="false" outlineLevel="0" collapsed="false">
      <c r="A35" s="32" t="s">
        <v>409</v>
      </c>
      <c r="B35" s="32" t="s">
        <v>48</v>
      </c>
      <c r="C35" s="32" t="s">
        <v>410</v>
      </c>
      <c r="D35" s="32" t="s">
        <v>411</v>
      </c>
      <c r="E35" s="32" t="s">
        <v>412</v>
      </c>
      <c r="F35" s="32" t="s">
        <v>413</v>
      </c>
      <c r="G35" s="32" t="s">
        <v>402</v>
      </c>
      <c r="H35" s="32" t="s">
        <v>181</v>
      </c>
      <c r="I35" s="32" t="s">
        <v>414</v>
      </c>
      <c r="J35" s="32"/>
      <c r="K35" s="32" t="s">
        <v>22</v>
      </c>
      <c r="L35" s="33" t="str">
        <f aca="false">IF(K35="Partly verified","Partly",IF(LEFT(K35,8)="Verified","Yes","No"))</f>
        <v>No</v>
      </c>
      <c r="M35" s="32"/>
      <c r="N35" s="32" t="s">
        <v>415</v>
      </c>
      <c r="O35" s="32" t="s">
        <v>416</v>
      </c>
      <c r="P35" s="32" t="s">
        <v>417</v>
      </c>
      <c r="Q35" s="32" t="s">
        <v>418</v>
      </c>
    </row>
    <row r="36" customFormat="false" ht="23.85" hidden="false" customHeight="false" outlineLevel="0" collapsed="false">
      <c r="A36" s="32" t="s">
        <v>419</v>
      </c>
      <c r="B36" s="32" t="s">
        <v>48</v>
      </c>
      <c r="C36" s="32" t="s">
        <v>420</v>
      </c>
      <c r="D36" s="32" t="s">
        <v>421</v>
      </c>
      <c r="E36" s="32" t="s">
        <v>422</v>
      </c>
      <c r="F36" s="32" t="s">
        <v>380</v>
      </c>
      <c r="G36" s="32" t="s">
        <v>402</v>
      </c>
      <c r="H36" s="32" t="s">
        <v>158</v>
      </c>
      <c r="I36" s="32" t="s">
        <v>423</v>
      </c>
      <c r="J36" s="32"/>
      <c r="K36" s="32" t="s">
        <v>22</v>
      </c>
      <c r="L36" s="33" t="str">
        <f aca="false">IF(K36="Partly verified","Partly",IF(LEFT(K36,8)="Verified","Yes","No"))</f>
        <v>No</v>
      </c>
      <c r="M36" s="32" t="s">
        <v>424</v>
      </c>
      <c r="N36" s="32" t="s">
        <v>425</v>
      </c>
      <c r="O36" s="32" t="s">
        <v>426</v>
      </c>
      <c r="P36" s="32" t="s">
        <v>427</v>
      </c>
      <c r="Q36" s="32" t="s">
        <v>127</v>
      </c>
    </row>
    <row r="37" customFormat="false" ht="35.05" hidden="false" customHeight="false" outlineLevel="0" collapsed="false">
      <c r="A37" s="32" t="s">
        <v>428</v>
      </c>
      <c r="B37" s="32" t="s">
        <v>48</v>
      </c>
      <c r="C37" s="32" t="s">
        <v>429</v>
      </c>
      <c r="D37" s="32" t="s">
        <v>430</v>
      </c>
      <c r="E37" s="32" t="s">
        <v>431</v>
      </c>
      <c r="F37" s="32" t="s">
        <v>432</v>
      </c>
      <c r="G37" s="32" t="s">
        <v>357</v>
      </c>
      <c r="H37" s="32" t="s">
        <v>108</v>
      </c>
      <c r="I37" s="32" t="s">
        <v>433</v>
      </c>
      <c r="J37" s="32"/>
      <c r="K37" s="32" t="s">
        <v>26</v>
      </c>
      <c r="L37" s="33" t="str">
        <f aca="false">IF(K37="Partly verified","Partly",IF(LEFT(K37,8)="Verified","Yes","No"))</f>
        <v>No</v>
      </c>
      <c r="M37" s="32"/>
      <c r="N37" s="32" t="s">
        <v>434</v>
      </c>
      <c r="O37" s="32" t="s">
        <v>435</v>
      </c>
      <c r="P37" s="32" t="s">
        <v>436</v>
      </c>
      <c r="Q37" s="32" t="s">
        <v>127</v>
      </c>
    </row>
    <row r="38" customFormat="false" ht="23.85" hidden="false" customHeight="false" outlineLevel="0" collapsed="false">
      <c r="A38" s="32" t="s">
        <v>437</v>
      </c>
      <c r="B38" s="32" t="s">
        <v>49</v>
      </c>
      <c r="C38" s="32" t="s">
        <v>438</v>
      </c>
      <c r="D38" s="32" t="s">
        <v>439</v>
      </c>
      <c r="E38" s="32" t="s">
        <v>440</v>
      </c>
      <c r="F38" s="32" t="s">
        <v>441</v>
      </c>
      <c r="G38" s="32" t="s">
        <v>146</v>
      </c>
      <c r="H38" s="32" t="s">
        <v>442</v>
      </c>
      <c r="I38" s="32" t="s">
        <v>443</v>
      </c>
      <c r="J38" s="32"/>
      <c r="K38" s="32" t="s">
        <v>20</v>
      </c>
      <c r="L38" s="33" t="str">
        <f aca="false">IF(K38="Partly verified","Partly",IF(LEFT(K38,8)="Verified","Yes","No"))</f>
        <v>Partly</v>
      </c>
      <c r="M38" s="32" t="s">
        <v>444</v>
      </c>
      <c r="N38" s="32" t="s">
        <v>445</v>
      </c>
      <c r="O38" s="32" t="s">
        <v>446</v>
      </c>
      <c r="P38" s="32" t="s">
        <v>447</v>
      </c>
      <c r="Q38" s="32" t="s">
        <v>127</v>
      </c>
    </row>
    <row r="39" customFormat="false" ht="35.05" hidden="false" customHeight="false" outlineLevel="0" collapsed="false">
      <c r="A39" s="32" t="s">
        <v>448</v>
      </c>
      <c r="B39" s="32" t="s">
        <v>49</v>
      </c>
      <c r="C39" s="32" t="s">
        <v>438</v>
      </c>
      <c r="D39" s="32" t="s">
        <v>449</v>
      </c>
      <c r="E39" s="32" t="s">
        <v>450</v>
      </c>
      <c r="F39" s="32" t="s">
        <v>451</v>
      </c>
      <c r="G39" s="32" t="s">
        <v>452</v>
      </c>
      <c r="H39" s="32" t="s">
        <v>108</v>
      </c>
      <c r="I39" s="32" t="s">
        <v>453</v>
      </c>
      <c r="J39" s="32"/>
      <c r="K39" s="32" t="s">
        <v>26</v>
      </c>
      <c r="L39" s="33" t="str">
        <f aca="false">IF(K39="Partly verified","Partly",IF(LEFT(K39,8)="Verified","Yes","No"))</f>
        <v>No</v>
      </c>
      <c r="M39" s="32"/>
      <c r="N39" s="32" t="s">
        <v>454</v>
      </c>
      <c r="O39" s="32" t="s">
        <v>455</v>
      </c>
      <c r="P39" s="32" t="s">
        <v>456</v>
      </c>
      <c r="Q39" s="32" t="s">
        <v>127</v>
      </c>
    </row>
    <row r="40" customFormat="false" ht="23.85" hidden="false" customHeight="false" outlineLevel="0" collapsed="false">
      <c r="A40" s="32" t="s">
        <v>457</v>
      </c>
      <c r="B40" s="32" t="s">
        <v>49</v>
      </c>
      <c r="C40" s="32" t="s">
        <v>458</v>
      </c>
      <c r="D40" s="32" t="s">
        <v>459</v>
      </c>
      <c r="E40" s="32" t="s">
        <v>460</v>
      </c>
      <c r="F40" s="32" t="s">
        <v>461</v>
      </c>
      <c r="G40" s="32" t="s">
        <v>146</v>
      </c>
      <c r="H40" s="32" t="s">
        <v>462</v>
      </c>
      <c r="I40" s="32" t="s">
        <v>463</v>
      </c>
      <c r="J40" s="32"/>
      <c r="K40" s="32" t="s">
        <v>22</v>
      </c>
      <c r="L40" s="33" t="str">
        <f aca="false">IF(K40="Partly verified","Partly",IF(LEFT(K40,8)="Verified","Yes","No"))</f>
        <v>No</v>
      </c>
      <c r="M40" s="32"/>
      <c r="N40" s="32" t="s">
        <v>464</v>
      </c>
      <c r="O40" s="32" t="s">
        <v>465</v>
      </c>
      <c r="P40" s="32" t="s">
        <v>466</v>
      </c>
      <c r="Q40" s="32" t="s">
        <v>127</v>
      </c>
    </row>
    <row r="41" customFormat="false" ht="23.85" hidden="false" customHeight="false" outlineLevel="0" collapsed="false">
      <c r="A41" s="32" t="s">
        <v>467</v>
      </c>
      <c r="B41" s="32" t="s">
        <v>49</v>
      </c>
      <c r="C41" s="32" t="s">
        <v>458</v>
      </c>
      <c r="D41" s="32" t="s">
        <v>468</v>
      </c>
      <c r="E41" s="32" t="s">
        <v>469</v>
      </c>
      <c r="F41" s="32" t="s">
        <v>470</v>
      </c>
      <c r="G41" s="32" t="s">
        <v>402</v>
      </c>
      <c r="H41" s="32" t="s">
        <v>108</v>
      </c>
      <c r="I41" s="32" t="s">
        <v>471</v>
      </c>
      <c r="J41" s="32"/>
      <c r="K41" s="32" t="s">
        <v>26</v>
      </c>
      <c r="L41" s="33" t="str">
        <f aca="false">IF(K41="Partly verified","Partly",IF(LEFT(K41,8)="Verified","Yes","No"))</f>
        <v>No</v>
      </c>
      <c r="M41" s="32" t="s">
        <v>472</v>
      </c>
      <c r="N41" s="32" t="s">
        <v>473</v>
      </c>
      <c r="O41" s="32" t="s">
        <v>474</v>
      </c>
      <c r="P41" s="32" t="s">
        <v>475</v>
      </c>
      <c r="Q41" s="32" t="s">
        <v>476</v>
      </c>
    </row>
    <row r="42" customFormat="false" ht="23.85" hidden="false" customHeight="false" outlineLevel="0" collapsed="false">
      <c r="A42" s="32" t="s">
        <v>477</v>
      </c>
      <c r="B42" s="32" t="s">
        <v>49</v>
      </c>
      <c r="C42" s="32" t="s">
        <v>478</v>
      </c>
      <c r="D42" s="32" t="s">
        <v>479</v>
      </c>
      <c r="E42" s="32" t="s">
        <v>480</v>
      </c>
      <c r="F42" s="32" t="s">
        <v>481</v>
      </c>
      <c r="G42" s="32" t="s">
        <v>82</v>
      </c>
      <c r="H42" s="32" t="s">
        <v>482</v>
      </c>
      <c r="I42" s="32" t="s">
        <v>483</v>
      </c>
      <c r="J42" s="32"/>
      <c r="K42" s="32" t="s">
        <v>22</v>
      </c>
      <c r="L42" s="33" t="str">
        <f aca="false">IF(K42="Partly verified","Partly",IF(LEFT(K42,8)="Verified","Yes","No"))</f>
        <v>No</v>
      </c>
      <c r="M42" s="32"/>
      <c r="N42" s="32" t="s">
        <v>484</v>
      </c>
      <c r="O42" s="32" t="s">
        <v>485</v>
      </c>
      <c r="P42" s="32" t="s">
        <v>456</v>
      </c>
      <c r="Q42" s="32" t="s">
        <v>127</v>
      </c>
    </row>
    <row r="43" customFormat="false" ht="23.85" hidden="false" customHeight="false" outlineLevel="0" collapsed="false">
      <c r="A43" s="32" t="s">
        <v>486</v>
      </c>
      <c r="B43" s="32" t="s">
        <v>49</v>
      </c>
      <c r="C43" s="32" t="s">
        <v>438</v>
      </c>
      <c r="D43" s="32" t="s">
        <v>487</v>
      </c>
      <c r="E43" s="32" t="s">
        <v>488</v>
      </c>
      <c r="F43" s="32" t="s">
        <v>441</v>
      </c>
      <c r="G43" s="32" t="s">
        <v>402</v>
      </c>
      <c r="H43" s="32" t="s">
        <v>181</v>
      </c>
      <c r="I43" s="32" t="s">
        <v>489</v>
      </c>
      <c r="J43" s="32"/>
      <c r="K43" s="32" t="s">
        <v>24</v>
      </c>
      <c r="L43" s="33" t="str">
        <f aca="false">IF(K43="Partly verified","Partly",IF(LEFT(K43,8)="Verified","Yes","No"))</f>
        <v>No</v>
      </c>
      <c r="M43" s="32" t="s">
        <v>490</v>
      </c>
      <c r="N43" s="32" t="s">
        <v>491</v>
      </c>
      <c r="O43" s="32" t="s">
        <v>492</v>
      </c>
      <c r="P43" s="32" t="s">
        <v>493</v>
      </c>
      <c r="Q43" s="32" t="s">
        <v>127</v>
      </c>
    </row>
    <row r="44" customFormat="false" ht="23.85" hidden="false" customHeight="false" outlineLevel="0" collapsed="false">
      <c r="A44" s="32" t="s">
        <v>494</v>
      </c>
      <c r="B44" s="32" t="s">
        <v>49</v>
      </c>
      <c r="C44" s="32" t="s">
        <v>495</v>
      </c>
      <c r="D44" s="32" t="s">
        <v>496</v>
      </c>
      <c r="E44" s="32" t="s">
        <v>497</v>
      </c>
      <c r="F44" s="32" t="s">
        <v>441</v>
      </c>
      <c r="G44" s="32" t="s">
        <v>146</v>
      </c>
      <c r="H44" s="32" t="s">
        <v>498</v>
      </c>
      <c r="I44" s="32" t="s">
        <v>499</v>
      </c>
      <c r="J44" s="32"/>
      <c r="K44" s="32" t="s">
        <v>22</v>
      </c>
      <c r="L44" s="33" t="str">
        <f aca="false">IF(K44="Partly verified","Partly",IF(LEFT(K44,8)="Verified","Yes","No"))</f>
        <v>No</v>
      </c>
      <c r="M44" s="32"/>
      <c r="N44" s="32" t="s">
        <v>500</v>
      </c>
      <c r="O44" s="32" t="s">
        <v>501</v>
      </c>
      <c r="P44" s="32" t="s">
        <v>502</v>
      </c>
      <c r="Q44" s="32" t="s">
        <v>127</v>
      </c>
    </row>
    <row r="45" customFormat="false" ht="46.25" hidden="false" customHeight="false" outlineLevel="0" collapsed="false">
      <c r="A45" s="32" t="s">
        <v>503</v>
      </c>
      <c r="B45" s="32" t="s">
        <v>49</v>
      </c>
      <c r="C45" s="32" t="s">
        <v>504</v>
      </c>
      <c r="D45" s="32" t="s">
        <v>505</v>
      </c>
      <c r="E45" s="32" t="s">
        <v>506</v>
      </c>
      <c r="F45" s="32" t="s">
        <v>507</v>
      </c>
      <c r="G45" s="32" t="s">
        <v>82</v>
      </c>
      <c r="H45" s="32" t="s">
        <v>369</v>
      </c>
      <c r="I45" s="32" t="s">
        <v>508</v>
      </c>
      <c r="J45" s="32"/>
      <c r="K45" s="32" t="s">
        <v>22</v>
      </c>
      <c r="L45" s="33" t="str">
        <f aca="false">IF(K45="Partly verified","Partly",IF(LEFT(K45,8)="Verified","Yes","No"))</f>
        <v>No</v>
      </c>
      <c r="M45" s="32"/>
      <c r="N45" s="32" t="s">
        <v>509</v>
      </c>
      <c r="O45" s="32" t="s">
        <v>510</v>
      </c>
      <c r="P45" s="32" t="s">
        <v>511</v>
      </c>
      <c r="Q45" s="32" t="s">
        <v>127</v>
      </c>
    </row>
    <row r="46" customFormat="false" ht="35.05" hidden="false" customHeight="false" outlineLevel="0" collapsed="false">
      <c r="A46" s="32" t="s">
        <v>512</v>
      </c>
      <c r="B46" s="32" t="s">
        <v>49</v>
      </c>
      <c r="C46" s="32" t="s">
        <v>513</v>
      </c>
      <c r="D46" s="32" t="s">
        <v>514</v>
      </c>
      <c r="E46" s="32" t="s">
        <v>515</v>
      </c>
      <c r="F46" s="32" t="s">
        <v>516</v>
      </c>
      <c r="G46" s="32" t="s">
        <v>517</v>
      </c>
      <c r="H46" s="32" t="s">
        <v>226</v>
      </c>
      <c r="I46" s="32" t="s">
        <v>518</v>
      </c>
      <c r="J46" s="32"/>
      <c r="K46" s="32" t="s">
        <v>20</v>
      </c>
      <c r="L46" s="33" t="str">
        <f aca="false">IF(K46="Partly verified","Partly",IF(LEFT(K46,8)="Verified","Yes","No"))</f>
        <v>Partly</v>
      </c>
      <c r="M46" s="32" t="s">
        <v>519</v>
      </c>
      <c r="N46" s="32" t="s">
        <v>520</v>
      </c>
      <c r="O46" s="32" t="s">
        <v>521</v>
      </c>
      <c r="P46" s="32" t="s">
        <v>522</v>
      </c>
      <c r="Q46" s="32" t="s">
        <v>127</v>
      </c>
    </row>
    <row r="47" customFormat="false" ht="23.85" hidden="false" customHeight="false" outlineLevel="0" collapsed="false">
      <c r="A47" s="32" t="s">
        <v>523</v>
      </c>
      <c r="B47" s="32" t="s">
        <v>49</v>
      </c>
      <c r="C47" s="32" t="s">
        <v>524</v>
      </c>
      <c r="D47" s="32" t="s">
        <v>525</v>
      </c>
      <c r="E47" s="32" t="s">
        <v>526</v>
      </c>
      <c r="F47" s="32" t="s">
        <v>527</v>
      </c>
      <c r="G47" s="32" t="s">
        <v>524</v>
      </c>
      <c r="H47" s="32" t="s">
        <v>108</v>
      </c>
      <c r="I47" s="32" t="s">
        <v>528</v>
      </c>
      <c r="J47" s="32"/>
      <c r="K47" s="32" t="s">
        <v>26</v>
      </c>
      <c r="L47" s="33" t="str">
        <f aca="false">IF(K47="Partly verified","Partly",IF(LEFT(K47,8)="Verified","Yes","No"))</f>
        <v>No</v>
      </c>
      <c r="M47" s="32" t="s">
        <v>529</v>
      </c>
      <c r="N47" s="32" t="s">
        <v>530</v>
      </c>
      <c r="O47" s="32" t="s">
        <v>531</v>
      </c>
      <c r="P47" s="32" t="s">
        <v>532</v>
      </c>
      <c r="Q47" s="32" t="s">
        <v>127</v>
      </c>
    </row>
    <row r="48" customFormat="false" ht="35.05" hidden="false" customHeight="false" outlineLevel="0" collapsed="false">
      <c r="A48" s="32" t="s">
        <v>533</v>
      </c>
      <c r="B48" s="32" t="s">
        <v>49</v>
      </c>
      <c r="C48" s="32" t="s">
        <v>534</v>
      </c>
      <c r="D48" s="32" t="s">
        <v>535</v>
      </c>
      <c r="E48" s="32" t="s">
        <v>536</v>
      </c>
      <c r="F48" s="32" t="s">
        <v>537</v>
      </c>
      <c r="G48" s="32" t="s">
        <v>538</v>
      </c>
      <c r="H48" s="32" t="s">
        <v>539</v>
      </c>
      <c r="I48" s="32" t="s">
        <v>540</v>
      </c>
      <c r="J48" s="34" t="s">
        <v>193</v>
      </c>
      <c r="K48" s="32" t="s">
        <v>20</v>
      </c>
      <c r="L48" s="33" t="str">
        <f aca="false">IF(K48="Partly verified","Partly",IF(LEFT(K48,8)="Verified","Yes","No"))</f>
        <v>Partly</v>
      </c>
      <c r="M48" s="32" t="s">
        <v>541</v>
      </c>
      <c r="N48" s="32" t="s">
        <v>542</v>
      </c>
      <c r="O48" s="32" t="s">
        <v>543</v>
      </c>
      <c r="P48" s="32" t="s">
        <v>544</v>
      </c>
      <c r="Q48" s="32" t="s">
        <v>127</v>
      </c>
    </row>
    <row r="49" customFormat="false" ht="35.05" hidden="false" customHeight="false" outlineLevel="0" collapsed="false">
      <c r="A49" s="32" t="s">
        <v>545</v>
      </c>
      <c r="B49" s="32" t="s">
        <v>50</v>
      </c>
      <c r="C49" s="32" t="s">
        <v>429</v>
      </c>
      <c r="D49" s="32" t="s">
        <v>546</v>
      </c>
      <c r="E49" s="32" t="s">
        <v>547</v>
      </c>
      <c r="F49" s="32" t="s">
        <v>548</v>
      </c>
      <c r="G49" s="32" t="s">
        <v>549</v>
      </c>
      <c r="H49" s="32" t="s">
        <v>108</v>
      </c>
      <c r="I49" s="32" t="s">
        <v>550</v>
      </c>
      <c r="J49" s="32"/>
      <c r="K49" s="32" t="s">
        <v>26</v>
      </c>
      <c r="L49" s="33" t="str">
        <f aca="false">IF(K49="Partly verified","Partly",IF(LEFT(K49,8)="Verified","Yes","No"))</f>
        <v>No</v>
      </c>
      <c r="M49" s="32"/>
      <c r="N49" s="32" t="s">
        <v>551</v>
      </c>
      <c r="O49" s="32" t="s">
        <v>552</v>
      </c>
      <c r="P49" s="32" t="s">
        <v>553</v>
      </c>
      <c r="Q49" s="32" t="s">
        <v>127</v>
      </c>
    </row>
    <row r="50" customFormat="false" ht="23.85" hidden="false" customHeight="false" outlineLevel="0" collapsed="false">
      <c r="A50" s="32" t="s">
        <v>554</v>
      </c>
      <c r="B50" s="32" t="s">
        <v>50</v>
      </c>
      <c r="C50" s="32" t="s">
        <v>429</v>
      </c>
      <c r="D50" s="32" t="s">
        <v>555</v>
      </c>
      <c r="E50" s="32" t="s">
        <v>556</v>
      </c>
      <c r="F50" s="32" t="s">
        <v>380</v>
      </c>
      <c r="G50" s="32" t="s">
        <v>357</v>
      </c>
      <c r="H50" s="32" t="s">
        <v>108</v>
      </c>
      <c r="I50" s="32" t="s">
        <v>550</v>
      </c>
      <c r="J50" s="32"/>
      <c r="K50" s="32" t="s">
        <v>26</v>
      </c>
      <c r="L50" s="33" t="str">
        <f aca="false">IF(K50="Partly verified","Partly",IF(LEFT(K50,8)="Verified","Yes","No"))</f>
        <v>No</v>
      </c>
      <c r="M50" s="32"/>
      <c r="N50" s="32" t="s">
        <v>557</v>
      </c>
      <c r="O50" s="32" t="s">
        <v>558</v>
      </c>
      <c r="P50" s="32" t="s">
        <v>559</v>
      </c>
      <c r="Q50" s="32" t="s">
        <v>560</v>
      </c>
    </row>
    <row r="51" customFormat="false" ht="35.05" hidden="false" customHeight="false" outlineLevel="0" collapsed="false">
      <c r="A51" s="32" t="s">
        <v>561</v>
      </c>
      <c r="B51" s="32" t="s">
        <v>50</v>
      </c>
      <c r="C51" s="32" t="s">
        <v>429</v>
      </c>
      <c r="D51" s="32" t="s">
        <v>562</v>
      </c>
      <c r="E51" s="32" t="s">
        <v>563</v>
      </c>
      <c r="F51" s="32" t="s">
        <v>564</v>
      </c>
      <c r="G51" s="32" t="s">
        <v>565</v>
      </c>
      <c r="H51" s="32" t="s">
        <v>108</v>
      </c>
      <c r="I51" s="32" t="s">
        <v>566</v>
      </c>
      <c r="J51" s="32"/>
      <c r="K51" s="32" t="s">
        <v>26</v>
      </c>
      <c r="L51" s="33" t="str">
        <f aca="false">IF(K51="Partly verified","Partly",IF(LEFT(K51,8)="Verified","Yes","No"))</f>
        <v>No</v>
      </c>
      <c r="M51" s="32" t="s">
        <v>567</v>
      </c>
      <c r="N51" s="32" t="s">
        <v>568</v>
      </c>
      <c r="O51" s="32" t="s">
        <v>569</v>
      </c>
      <c r="P51" s="32" t="s">
        <v>570</v>
      </c>
      <c r="Q51" s="32" t="s">
        <v>571</v>
      </c>
    </row>
    <row r="52" customFormat="false" ht="35.05" hidden="false" customHeight="false" outlineLevel="0" collapsed="false">
      <c r="A52" s="32" t="s">
        <v>572</v>
      </c>
      <c r="B52" s="32" t="s">
        <v>50</v>
      </c>
      <c r="C52" s="32" t="s">
        <v>429</v>
      </c>
      <c r="D52" s="32" t="s">
        <v>573</v>
      </c>
      <c r="E52" s="32" t="s">
        <v>574</v>
      </c>
      <c r="F52" s="32" t="s">
        <v>575</v>
      </c>
      <c r="G52" s="32" t="s">
        <v>357</v>
      </c>
      <c r="H52" s="32" t="s">
        <v>108</v>
      </c>
      <c r="I52" s="32" t="s">
        <v>550</v>
      </c>
      <c r="J52" s="32"/>
      <c r="K52" s="32" t="s">
        <v>26</v>
      </c>
      <c r="L52" s="33" t="str">
        <f aca="false">IF(K52="Partly verified","Partly",IF(LEFT(K52,8)="Verified","Yes","No"))</f>
        <v>No</v>
      </c>
      <c r="M52" s="32"/>
      <c r="N52" s="32" t="s">
        <v>576</v>
      </c>
      <c r="O52" s="32" t="s">
        <v>577</v>
      </c>
      <c r="P52" s="32" t="s">
        <v>578</v>
      </c>
      <c r="Q52" s="32" t="s">
        <v>127</v>
      </c>
    </row>
    <row r="53" customFormat="false" ht="35.05" hidden="false" customHeight="false" outlineLevel="0" collapsed="false">
      <c r="A53" s="32" t="s">
        <v>579</v>
      </c>
      <c r="B53" s="32" t="s">
        <v>50</v>
      </c>
      <c r="C53" s="32" t="s">
        <v>580</v>
      </c>
      <c r="D53" s="32" t="s">
        <v>581</v>
      </c>
      <c r="E53" s="32" t="s">
        <v>582</v>
      </c>
      <c r="F53" s="32" t="s">
        <v>583</v>
      </c>
      <c r="G53" s="32" t="s">
        <v>452</v>
      </c>
      <c r="H53" s="32" t="s">
        <v>584</v>
      </c>
      <c r="I53" s="32" t="s">
        <v>585</v>
      </c>
      <c r="J53" s="34" t="s">
        <v>193</v>
      </c>
      <c r="K53" s="32" t="s">
        <v>20</v>
      </c>
      <c r="L53" s="33" t="str">
        <f aca="false">IF(K53="Partly verified","Partly",IF(LEFT(K53,8)="Verified","Yes","No"))</f>
        <v>Partly</v>
      </c>
      <c r="M53" s="32" t="s">
        <v>586</v>
      </c>
      <c r="N53" s="32" t="s">
        <v>587</v>
      </c>
      <c r="O53" s="32" t="s">
        <v>588</v>
      </c>
      <c r="P53" s="32" t="s">
        <v>589</v>
      </c>
      <c r="Q53" s="32" t="s">
        <v>127</v>
      </c>
    </row>
    <row r="54" customFormat="false" ht="46.25" hidden="false" customHeight="false" outlineLevel="0" collapsed="false">
      <c r="A54" s="32" t="s">
        <v>590</v>
      </c>
      <c r="B54" s="32" t="s">
        <v>50</v>
      </c>
      <c r="C54" s="32" t="s">
        <v>524</v>
      </c>
      <c r="D54" s="32" t="s">
        <v>591</v>
      </c>
      <c r="E54" s="32" t="s">
        <v>592</v>
      </c>
      <c r="F54" s="32" t="s">
        <v>593</v>
      </c>
      <c r="G54" s="32" t="s">
        <v>594</v>
      </c>
      <c r="H54" s="32" t="s">
        <v>108</v>
      </c>
      <c r="I54" s="32" t="s">
        <v>595</v>
      </c>
      <c r="J54" s="32"/>
      <c r="K54" s="32" t="s">
        <v>26</v>
      </c>
      <c r="L54" s="33" t="str">
        <f aca="false">IF(K54="Partly verified","Partly",IF(LEFT(K54,8)="Verified","Yes","No"))</f>
        <v>No</v>
      </c>
      <c r="M54" s="32" t="s">
        <v>596</v>
      </c>
      <c r="N54" s="32" t="s">
        <v>597</v>
      </c>
      <c r="O54" s="32" t="s">
        <v>598</v>
      </c>
      <c r="P54" s="32" t="s">
        <v>599</v>
      </c>
      <c r="Q54" s="32" t="s">
        <v>127</v>
      </c>
    </row>
    <row r="55" customFormat="false" ht="46.25" hidden="false" customHeight="false" outlineLevel="0" collapsed="false">
      <c r="A55" s="32" t="s">
        <v>600</v>
      </c>
      <c r="B55" s="32" t="s">
        <v>50</v>
      </c>
      <c r="C55" s="32" t="s">
        <v>601</v>
      </c>
      <c r="D55" s="32" t="s">
        <v>602</v>
      </c>
      <c r="E55" s="32" t="s">
        <v>603</v>
      </c>
      <c r="F55" s="32" t="s">
        <v>604</v>
      </c>
      <c r="G55" s="32" t="s">
        <v>605</v>
      </c>
      <c r="H55" s="32" t="s">
        <v>181</v>
      </c>
      <c r="I55" s="32" t="s">
        <v>606</v>
      </c>
      <c r="J55" s="34" t="s">
        <v>193</v>
      </c>
      <c r="K55" s="32" t="s">
        <v>20</v>
      </c>
      <c r="L55" s="33" t="str">
        <f aca="false">IF(K55="Partly verified","Partly",IF(LEFT(K55,8)="Verified","Yes","No"))</f>
        <v>Partly</v>
      </c>
      <c r="M55" s="32" t="s">
        <v>607</v>
      </c>
      <c r="N55" s="32" t="s">
        <v>608</v>
      </c>
      <c r="O55" s="32" t="s">
        <v>609</v>
      </c>
      <c r="P55" s="32" t="s">
        <v>610</v>
      </c>
      <c r="Q55" s="32" t="s">
        <v>611</v>
      </c>
    </row>
    <row r="56" customFormat="false" ht="23.85" hidden="false" customHeight="false" outlineLevel="0" collapsed="false">
      <c r="A56" s="32" t="s">
        <v>612</v>
      </c>
      <c r="B56" s="32" t="s">
        <v>50</v>
      </c>
      <c r="C56" s="32" t="s">
        <v>613</v>
      </c>
      <c r="D56" s="32" t="s">
        <v>614</v>
      </c>
      <c r="E56" s="32" t="s">
        <v>615</v>
      </c>
      <c r="F56" s="32" t="s">
        <v>616</v>
      </c>
      <c r="G56" s="32" t="s">
        <v>146</v>
      </c>
      <c r="H56" s="32" t="s">
        <v>127</v>
      </c>
      <c r="I56" s="32" t="s">
        <v>617</v>
      </c>
      <c r="J56" s="32"/>
      <c r="K56" s="32" t="s">
        <v>22</v>
      </c>
      <c r="L56" s="33" t="str">
        <f aca="false">IF(K56="Partly verified","Partly",IF(LEFT(K56,8)="Verified","Yes","No"))</f>
        <v>No</v>
      </c>
      <c r="M56" s="32"/>
      <c r="N56" s="32" t="s">
        <v>618</v>
      </c>
      <c r="O56" s="32" t="s">
        <v>619</v>
      </c>
      <c r="P56" s="32" t="s">
        <v>620</v>
      </c>
      <c r="Q56" s="32" t="s">
        <v>127</v>
      </c>
    </row>
    <row r="57" customFormat="false" ht="46.25" hidden="false" customHeight="false" outlineLevel="0" collapsed="false">
      <c r="A57" s="32" t="s">
        <v>621</v>
      </c>
      <c r="B57" s="32" t="s">
        <v>51</v>
      </c>
      <c r="C57" s="32" t="s">
        <v>622</v>
      </c>
      <c r="D57" s="32" t="s">
        <v>623</v>
      </c>
      <c r="E57" s="32" t="s">
        <v>624</v>
      </c>
      <c r="F57" s="32" t="s">
        <v>625</v>
      </c>
      <c r="G57" s="32" t="s">
        <v>82</v>
      </c>
      <c r="H57" s="32" t="s">
        <v>181</v>
      </c>
      <c r="I57" s="32" t="s">
        <v>626</v>
      </c>
      <c r="J57" s="32"/>
      <c r="K57" s="32" t="s">
        <v>22</v>
      </c>
      <c r="L57" s="33" t="str">
        <f aca="false">IF(K57="Partly verified","Partly",IF(LEFT(K57,8)="Verified","Yes","No"))</f>
        <v>No</v>
      </c>
      <c r="M57" s="32"/>
      <c r="N57" s="32" t="s">
        <v>627</v>
      </c>
      <c r="O57" s="32" t="s">
        <v>628</v>
      </c>
      <c r="P57" s="32" t="s">
        <v>629</v>
      </c>
      <c r="Q57" s="32" t="s">
        <v>127</v>
      </c>
    </row>
    <row r="58" customFormat="false" ht="46.25" hidden="false" customHeight="false" outlineLevel="0" collapsed="false">
      <c r="A58" s="32" t="s">
        <v>630</v>
      </c>
      <c r="B58" s="32" t="s">
        <v>51</v>
      </c>
      <c r="C58" s="32" t="s">
        <v>622</v>
      </c>
      <c r="D58" s="32" t="s">
        <v>631</v>
      </c>
      <c r="E58" s="32" t="s">
        <v>632</v>
      </c>
      <c r="F58" s="32" t="s">
        <v>633</v>
      </c>
      <c r="G58" s="32" t="s">
        <v>146</v>
      </c>
      <c r="H58" s="32" t="s">
        <v>108</v>
      </c>
      <c r="I58" s="32" t="s">
        <v>634</v>
      </c>
      <c r="J58" s="32"/>
      <c r="K58" s="32" t="s">
        <v>26</v>
      </c>
      <c r="L58" s="33" t="str">
        <f aca="false">IF(K58="Partly verified","Partly",IF(LEFT(K58,8)="Verified","Yes","No"))</f>
        <v>No</v>
      </c>
      <c r="M58" s="32" t="s">
        <v>635</v>
      </c>
      <c r="N58" s="32" t="s">
        <v>636</v>
      </c>
      <c r="O58" s="32" t="s">
        <v>637</v>
      </c>
      <c r="P58" s="32" t="s">
        <v>638</v>
      </c>
      <c r="Q58" s="32" t="s">
        <v>639</v>
      </c>
    </row>
    <row r="59" customFormat="false" ht="46.25" hidden="false" customHeight="false" outlineLevel="0" collapsed="false">
      <c r="A59" s="32" t="s">
        <v>640</v>
      </c>
      <c r="B59" s="32" t="s">
        <v>51</v>
      </c>
      <c r="C59" s="32" t="s">
        <v>622</v>
      </c>
      <c r="D59" s="32" t="s">
        <v>641</v>
      </c>
      <c r="E59" s="32" t="s">
        <v>642</v>
      </c>
      <c r="F59" s="32" t="s">
        <v>633</v>
      </c>
      <c r="G59" s="32" t="s">
        <v>146</v>
      </c>
      <c r="H59" s="32" t="s">
        <v>226</v>
      </c>
      <c r="I59" s="32" t="s">
        <v>643</v>
      </c>
      <c r="J59" s="32"/>
      <c r="K59" s="32" t="s">
        <v>22</v>
      </c>
      <c r="L59" s="33" t="str">
        <f aca="false">IF(K59="Partly verified","Partly",IF(LEFT(K59,8)="Verified","Yes","No"))</f>
        <v>No</v>
      </c>
      <c r="M59" s="32" t="s">
        <v>644</v>
      </c>
      <c r="N59" s="32" t="s">
        <v>645</v>
      </c>
      <c r="O59" s="32" t="s">
        <v>646</v>
      </c>
      <c r="P59" s="32" t="s">
        <v>647</v>
      </c>
      <c r="Q59" s="32" t="s">
        <v>127</v>
      </c>
    </row>
    <row r="60" customFormat="false" ht="23.85" hidden="false" customHeight="false" outlineLevel="0" collapsed="false">
      <c r="A60" s="32" t="s">
        <v>648</v>
      </c>
      <c r="B60" s="32" t="s">
        <v>51</v>
      </c>
      <c r="C60" s="32" t="s">
        <v>649</v>
      </c>
      <c r="D60" s="32" t="s">
        <v>650</v>
      </c>
      <c r="E60" s="32" t="s">
        <v>651</v>
      </c>
      <c r="F60" s="32" t="s">
        <v>652</v>
      </c>
      <c r="G60" s="32" t="s">
        <v>653</v>
      </c>
      <c r="H60" s="32" t="s">
        <v>108</v>
      </c>
      <c r="I60" s="32" t="s">
        <v>654</v>
      </c>
      <c r="J60" s="32"/>
      <c r="K60" s="32" t="s">
        <v>26</v>
      </c>
      <c r="L60" s="33" t="str">
        <f aca="false">IF(K60="Partly verified","Partly",IF(LEFT(K60,8)="Verified","Yes","No"))</f>
        <v>No</v>
      </c>
      <c r="M60" s="32"/>
      <c r="N60" s="32" t="s">
        <v>655</v>
      </c>
      <c r="O60" s="32" t="s">
        <v>656</v>
      </c>
      <c r="P60" s="32" t="s">
        <v>657</v>
      </c>
      <c r="Q60" s="32" t="s">
        <v>127</v>
      </c>
    </row>
    <row r="61" customFormat="false" ht="35.05" hidden="false" customHeight="false" outlineLevel="0" collapsed="false">
      <c r="A61" s="32" t="s">
        <v>658</v>
      </c>
      <c r="B61" s="32" t="s">
        <v>51</v>
      </c>
      <c r="C61" s="32" t="s">
        <v>659</v>
      </c>
      <c r="D61" s="32" t="s">
        <v>660</v>
      </c>
      <c r="E61" s="32" t="s">
        <v>661</v>
      </c>
      <c r="F61" s="32" t="s">
        <v>662</v>
      </c>
      <c r="G61" s="32" t="s">
        <v>653</v>
      </c>
      <c r="H61" s="32" t="s">
        <v>108</v>
      </c>
      <c r="I61" s="32" t="s">
        <v>654</v>
      </c>
      <c r="J61" s="32"/>
      <c r="K61" s="32" t="s">
        <v>26</v>
      </c>
      <c r="L61" s="33" t="str">
        <f aca="false">IF(K61="Partly verified","Partly",IF(LEFT(K61,8)="Verified","Yes","No"))</f>
        <v>No</v>
      </c>
      <c r="M61" s="32"/>
      <c r="N61" s="32" t="s">
        <v>663</v>
      </c>
      <c r="O61" s="32" t="s">
        <v>664</v>
      </c>
      <c r="P61" s="32" t="s">
        <v>665</v>
      </c>
      <c r="Q61" s="32" t="s">
        <v>127</v>
      </c>
    </row>
    <row r="62" customFormat="false" ht="35.05" hidden="false" customHeight="false" outlineLevel="0" collapsed="false">
      <c r="A62" s="32" t="s">
        <v>666</v>
      </c>
      <c r="B62" s="32" t="s">
        <v>51</v>
      </c>
      <c r="C62" s="32" t="s">
        <v>667</v>
      </c>
      <c r="D62" s="32" t="s">
        <v>668</v>
      </c>
      <c r="E62" s="32" t="s">
        <v>669</v>
      </c>
      <c r="F62" s="32" t="s">
        <v>670</v>
      </c>
      <c r="G62" s="32" t="s">
        <v>146</v>
      </c>
      <c r="H62" s="32" t="s">
        <v>108</v>
      </c>
      <c r="I62" s="32" t="s">
        <v>654</v>
      </c>
      <c r="J62" s="32"/>
      <c r="K62" s="32" t="s">
        <v>26</v>
      </c>
      <c r="L62" s="33" t="str">
        <f aca="false">IF(K62="Partly verified","Partly",IF(LEFT(K62,8)="Verified","Yes","No"))</f>
        <v>No</v>
      </c>
      <c r="M62" s="32"/>
      <c r="N62" s="32" t="s">
        <v>671</v>
      </c>
      <c r="O62" s="32" t="s">
        <v>672</v>
      </c>
      <c r="P62" s="32" t="s">
        <v>673</v>
      </c>
      <c r="Q62" s="32" t="s">
        <v>127</v>
      </c>
    </row>
    <row r="63" customFormat="false" ht="46.25" hidden="false" customHeight="false" outlineLevel="0" collapsed="false">
      <c r="A63" s="32" t="s">
        <v>674</v>
      </c>
      <c r="B63" s="32" t="s">
        <v>51</v>
      </c>
      <c r="C63" s="32" t="s">
        <v>675</v>
      </c>
      <c r="D63" s="32" t="s">
        <v>676</v>
      </c>
      <c r="E63" s="32" t="s">
        <v>677</v>
      </c>
      <c r="F63" s="32" t="s">
        <v>678</v>
      </c>
      <c r="G63" s="32" t="s">
        <v>679</v>
      </c>
      <c r="H63" s="32" t="s">
        <v>158</v>
      </c>
      <c r="I63" s="32" t="s">
        <v>680</v>
      </c>
      <c r="J63" s="32"/>
      <c r="K63" s="32" t="s">
        <v>22</v>
      </c>
      <c r="L63" s="33" t="str">
        <f aca="false">IF(K63="Partly verified","Partly",IF(LEFT(K63,8)="Verified","Yes","No"))</f>
        <v>No</v>
      </c>
      <c r="M63" s="32"/>
      <c r="N63" s="32" t="s">
        <v>681</v>
      </c>
      <c r="O63" s="32" t="s">
        <v>682</v>
      </c>
      <c r="P63" s="32" t="s">
        <v>683</v>
      </c>
      <c r="Q63" s="32" t="s">
        <v>127</v>
      </c>
    </row>
    <row r="64" customFormat="false" ht="57.45" hidden="false" customHeight="false" outlineLevel="0" collapsed="false">
      <c r="A64" s="32" t="s">
        <v>684</v>
      </c>
      <c r="B64" s="32" t="s">
        <v>51</v>
      </c>
      <c r="C64" s="32" t="s">
        <v>685</v>
      </c>
      <c r="D64" s="32" t="s">
        <v>686</v>
      </c>
      <c r="E64" s="32" t="s">
        <v>687</v>
      </c>
      <c r="F64" s="32" t="s">
        <v>688</v>
      </c>
      <c r="G64" s="32" t="s">
        <v>517</v>
      </c>
      <c r="H64" s="32" t="s">
        <v>689</v>
      </c>
      <c r="I64" s="32" t="s">
        <v>690</v>
      </c>
      <c r="J64" s="32"/>
      <c r="K64" s="32" t="s">
        <v>22</v>
      </c>
      <c r="L64" s="33" t="str">
        <f aca="false">IF(K64="Partly verified","Partly",IF(LEFT(K64,8)="Verified","Yes","No"))</f>
        <v>No</v>
      </c>
      <c r="M64" s="32" t="s">
        <v>691</v>
      </c>
      <c r="N64" s="32" t="s">
        <v>692</v>
      </c>
      <c r="O64" s="32" t="s">
        <v>693</v>
      </c>
      <c r="P64" s="32" t="s">
        <v>694</v>
      </c>
      <c r="Q64" s="32" t="s">
        <v>695</v>
      </c>
    </row>
    <row r="65" customFormat="false" ht="46.25" hidden="false" customHeight="false" outlineLevel="0" collapsed="false">
      <c r="A65" s="32" t="s">
        <v>696</v>
      </c>
      <c r="B65" s="32" t="s">
        <v>51</v>
      </c>
      <c r="C65" s="32" t="s">
        <v>685</v>
      </c>
      <c r="D65" s="32" t="s">
        <v>697</v>
      </c>
      <c r="E65" s="32" t="s">
        <v>698</v>
      </c>
      <c r="F65" s="32" t="s">
        <v>699</v>
      </c>
      <c r="G65" s="32" t="s">
        <v>146</v>
      </c>
      <c r="H65" s="32" t="s">
        <v>108</v>
      </c>
      <c r="I65" s="32" t="s">
        <v>700</v>
      </c>
      <c r="J65" s="32"/>
      <c r="K65" s="32" t="s">
        <v>26</v>
      </c>
      <c r="L65" s="33" t="str">
        <f aca="false">IF(K65="Partly verified","Partly",IF(LEFT(K65,8)="Verified","Yes","No"))</f>
        <v>No</v>
      </c>
      <c r="M65" s="32" t="s">
        <v>701</v>
      </c>
      <c r="N65" s="32" t="s">
        <v>702</v>
      </c>
      <c r="O65" s="32" t="s">
        <v>703</v>
      </c>
      <c r="P65" s="32" t="s">
        <v>704</v>
      </c>
      <c r="Q65" s="32" t="s">
        <v>127</v>
      </c>
    </row>
    <row r="66" customFormat="false" ht="57.45" hidden="false" customHeight="false" outlineLevel="0" collapsed="false">
      <c r="A66" s="32" t="s">
        <v>705</v>
      </c>
      <c r="B66" s="32" t="s">
        <v>51</v>
      </c>
      <c r="C66" s="32" t="s">
        <v>706</v>
      </c>
      <c r="D66" s="32" t="s">
        <v>707</v>
      </c>
      <c r="E66" s="32" t="s">
        <v>708</v>
      </c>
      <c r="F66" s="32" t="s">
        <v>709</v>
      </c>
      <c r="G66" s="32" t="s">
        <v>710</v>
      </c>
      <c r="H66" s="32" t="s">
        <v>108</v>
      </c>
      <c r="I66" s="32" t="s">
        <v>711</v>
      </c>
      <c r="J66" s="32"/>
      <c r="K66" s="32" t="s">
        <v>20</v>
      </c>
      <c r="L66" s="33" t="str">
        <f aca="false">IF(K66="Partly verified","Partly",IF(LEFT(K66,8)="Verified","Yes","No"))</f>
        <v>Partly</v>
      </c>
      <c r="M66" s="32" t="s">
        <v>712</v>
      </c>
      <c r="N66" s="32" t="s">
        <v>713</v>
      </c>
      <c r="O66" s="32" t="s">
        <v>714</v>
      </c>
      <c r="P66" s="32" t="s">
        <v>715</v>
      </c>
      <c r="Q66" s="32" t="s">
        <v>716</v>
      </c>
    </row>
    <row r="67" customFormat="false" ht="46.25" hidden="false" customHeight="false" outlineLevel="0" collapsed="false">
      <c r="A67" s="32" t="s">
        <v>717</v>
      </c>
      <c r="B67" s="32" t="s">
        <v>51</v>
      </c>
      <c r="C67" s="32" t="s">
        <v>718</v>
      </c>
      <c r="D67" s="32" t="s">
        <v>719</v>
      </c>
      <c r="E67" s="32" t="s">
        <v>720</v>
      </c>
      <c r="F67" s="32" t="s">
        <v>721</v>
      </c>
      <c r="G67" s="32" t="s">
        <v>722</v>
      </c>
      <c r="H67" s="32" t="s">
        <v>723</v>
      </c>
      <c r="I67" s="32" t="s">
        <v>724</v>
      </c>
      <c r="J67" s="32"/>
      <c r="K67" s="32" t="s">
        <v>20</v>
      </c>
      <c r="L67" s="33" t="str">
        <f aca="false">IF(K67="Partly verified","Partly",IF(LEFT(K67,8)="Verified","Yes","No"))</f>
        <v>Partly</v>
      </c>
      <c r="M67" s="32" t="s">
        <v>725</v>
      </c>
      <c r="N67" s="32" t="s">
        <v>726</v>
      </c>
      <c r="O67" s="32" t="s">
        <v>727</v>
      </c>
      <c r="P67" s="32" t="s">
        <v>728</v>
      </c>
      <c r="Q67" s="32" t="s">
        <v>729</v>
      </c>
    </row>
    <row r="68" customFormat="false" ht="35.05" hidden="false" customHeight="false" outlineLevel="0" collapsed="false">
      <c r="A68" s="32" t="s">
        <v>730</v>
      </c>
      <c r="B68" s="32" t="s">
        <v>52</v>
      </c>
      <c r="C68" s="32" t="s">
        <v>524</v>
      </c>
      <c r="D68" s="32" t="s">
        <v>731</v>
      </c>
      <c r="E68" s="32" t="s">
        <v>732</v>
      </c>
      <c r="F68" s="32" t="s">
        <v>733</v>
      </c>
      <c r="G68" s="32" t="s">
        <v>734</v>
      </c>
      <c r="H68" s="32" t="s">
        <v>108</v>
      </c>
      <c r="I68" s="32" t="s">
        <v>735</v>
      </c>
      <c r="J68" s="32"/>
      <c r="K68" s="32" t="s">
        <v>26</v>
      </c>
      <c r="L68" s="33" t="str">
        <f aca="false">IF(K68="Partly verified","Partly",IF(LEFT(K68,8)="Verified","Yes","No"))</f>
        <v>No</v>
      </c>
      <c r="M68" s="32" t="s">
        <v>736</v>
      </c>
      <c r="N68" s="32" t="s">
        <v>737</v>
      </c>
      <c r="O68" s="32" t="s">
        <v>738</v>
      </c>
      <c r="P68" s="32" t="s">
        <v>739</v>
      </c>
      <c r="Q68" s="32" t="s">
        <v>127</v>
      </c>
    </row>
    <row r="69" customFormat="false" ht="35.05" hidden="false" customHeight="false" outlineLevel="0" collapsed="false">
      <c r="A69" s="32" t="s">
        <v>740</v>
      </c>
      <c r="B69" s="32" t="s">
        <v>52</v>
      </c>
      <c r="C69" s="32" t="s">
        <v>429</v>
      </c>
      <c r="D69" s="32" t="s">
        <v>741</v>
      </c>
      <c r="E69" s="32" t="s">
        <v>742</v>
      </c>
      <c r="F69" s="32" t="s">
        <v>743</v>
      </c>
      <c r="G69" s="32" t="s">
        <v>744</v>
      </c>
      <c r="H69" s="32" t="s">
        <v>108</v>
      </c>
      <c r="I69" s="32" t="s">
        <v>745</v>
      </c>
      <c r="J69" s="32"/>
      <c r="K69" s="32" t="s">
        <v>26</v>
      </c>
      <c r="L69" s="33" t="str">
        <f aca="false">IF(K69="Partly verified","Partly",IF(LEFT(K69,8)="Verified","Yes","No"))</f>
        <v>No</v>
      </c>
      <c r="M69" s="32"/>
      <c r="N69" s="32" t="s">
        <v>746</v>
      </c>
      <c r="O69" s="32" t="s">
        <v>747</v>
      </c>
      <c r="P69" s="32" t="s">
        <v>748</v>
      </c>
      <c r="Q69" s="32" t="s">
        <v>127</v>
      </c>
    </row>
    <row r="70" customFormat="false" ht="35.05" hidden="false" customHeight="false" outlineLevel="0" collapsed="false">
      <c r="A70" s="32" t="s">
        <v>749</v>
      </c>
      <c r="B70" s="32" t="s">
        <v>52</v>
      </c>
      <c r="C70" s="32" t="s">
        <v>429</v>
      </c>
      <c r="D70" s="32" t="s">
        <v>750</v>
      </c>
      <c r="E70" s="32" t="s">
        <v>751</v>
      </c>
      <c r="F70" s="32" t="s">
        <v>752</v>
      </c>
      <c r="G70" s="32" t="s">
        <v>744</v>
      </c>
      <c r="H70" s="32" t="s">
        <v>108</v>
      </c>
      <c r="I70" s="32" t="s">
        <v>753</v>
      </c>
      <c r="J70" s="32"/>
      <c r="K70" s="32" t="s">
        <v>26</v>
      </c>
      <c r="L70" s="33" t="str">
        <f aca="false">IF(K70="Partly verified","Partly",IF(LEFT(K70,8)="Verified","Yes","No"))</f>
        <v>No</v>
      </c>
      <c r="M70" s="32" t="s">
        <v>754</v>
      </c>
      <c r="N70" s="32" t="s">
        <v>755</v>
      </c>
      <c r="O70" s="32" t="s">
        <v>756</v>
      </c>
      <c r="P70" s="32" t="s">
        <v>757</v>
      </c>
      <c r="Q70" s="32" t="s">
        <v>127</v>
      </c>
    </row>
    <row r="71" customFormat="false" ht="46.25" hidden="false" customHeight="false" outlineLevel="0" collapsed="false">
      <c r="A71" s="32" t="s">
        <v>758</v>
      </c>
      <c r="B71" s="32" t="s">
        <v>52</v>
      </c>
      <c r="C71" s="32" t="s">
        <v>323</v>
      </c>
      <c r="D71" s="32" t="s">
        <v>759</v>
      </c>
      <c r="E71" s="32" t="s">
        <v>760</v>
      </c>
      <c r="F71" s="32" t="s">
        <v>761</v>
      </c>
      <c r="G71" s="32" t="s">
        <v>82</v>
      </c>
      <c r="H71" s="32" t="s">
        <v>762</v>
      </c>
      <c r="I71" s="32" t="s">
        <v>763</v>
      </c>
      <c r="J71" s="34" t="s">
        <v>193</v>
      </c>
      <c r="K71" s="32" t="s">
        <v>20</v>
      </c>
      <c r="L71" s="33" t="str">
        <f aca="false">IF(K71="Partly verified","Partly",IF(LEFT(K71,8)="Verified","Yes","No"))</f>
        <v>Partly</v>
      </c>
      <c r="M71" s="32" t="s">
        <v>764</v>
      </c>
      <c r="N71" s="32" t="s">
        <v>765</v>
      </c>
      <c r="O71" s="32" t="s">
        <v>766</v>
      </c>
      <c r="P71" s="32" t="s">
        <v>767</v>
      </c>
      <c r="Q71" s="32" t="s">
        <v>127</v>
      </c>
    </row>
    <row r="72" customFormat="false" ht="46.25" hidden="false" customHeight="false" outlineLevel="0" collapsed="false">
      <c r="A72" s="32" t="s">
        <v>768</v>
      </c>
      <c r="B72" s="32" t="s">
        <v>52</v>
      </c>
      <c r="C72" s="32" t="s">
        <v>769</v>
      </c>
      <c r="D72" s="32" t="s">
        <v>770</v>
      </c>
      <c r="E72" s="32" t="s">
        <v>771</v>
      </c>
      <c r="F72" s="32" t="s">
        <v>772</v>
      </c>
      <c r="G72" s="32" t="s">
        <v>146</v>
      </c>
      <c r="H72" s="32" t="s">
        <v>108</v>
      </c>
      <c r="I72" s="32" t="s">
        <v>773</v>
      </c>
      <c r="J72" s="32"/>
      <c r="K72" s="32" t="s">
        <v>20</v>
      </c>
      <c r="L72" s="33" t="str">
        <f aca="false">IF(K72="Partly verified","Partly",IF(LEFT(K72,8)="Verified","Yes","No"))</f>
        <v>Partly</v>
      </c>
      <c r="M72" s="32" t="s">
        <v>774</v>
      </c>
      <c r="N72" s="32" t="s">
        <v>775</v>
      </c>
      <c r="O72" s="32" t="s">
        <v>776</v>
      </c>
      <c r="P72" s="32" t="s">
        <v>777</v>
      </c>
      <c r="Q72" s="32" t="s">
        <v>778</v>
      </c>
    </row>
    <row r="73" customFormat="false" ht="68.65" hidden="false" customHeight="false" outlineLevel="0" collapsed="false">
      <c r="A73" s="32" t="s">
        <v>779</v>
      </c>
      <c r="B73" s="32" t="s">
        <v>52</v>
      </c>
      <c r="C73" s="32" t="s">
        <v>780</v>
      </c>
      <c r="D73" s="32" t="s">
        <v>781</v>
      </c>
      <c r="E73" s="32" t="s">
        <v>782</v>
      </c>
      <c r="F73" s="32" t="s">
        <v>783</v>
      </c>
      <c r="G73" s="32" t="s">
        <v>146</v>
      </c>
      <c r="H73" s="32" t="s">
        <v>158</v>
      </c>
      <c r="I73" s="32" t="s">
        <v>784</v>
      </c>
      <c r="J73" s="32"/>
      <c r="K73" s="32" t="s">
        <v>22</v>
      </c>
      <c r="L73" s="33" t="str">
        <f aca="false">IF(K73="Partly verified","Partly",IF(LEFT(K73,8)="Verified","Yes","No"))</f>
        <v>No</v>
      </c>
      <c r="M73" s="32" t="s">
        <v>785</v>
      </c>
      <c r="N73" s="32" t="s">
        <v>786</v>
      </c>
      <c r="O73" s="32" t="s">
        <v>787</v>
      </c>
      <c r="P73" s="32" t="s">
        <v>788</v>
      </c>
      <c r="Q73" s="32" t="s">
        <v>789</v>
      </c>
    </row>
    <row r="74" customFormat="false" ht="23.85" hidden="false" customHeight="false" outlineLevel="0" collapsed="false">
      <c r="A74" s="32" t="s">
        <v>790</v>
      </c>
      <c r="B74" s="32" t="s">
        <v>52</v>
      </c>
      <c r="C74" s="32" t="s">
        <v>524</v>
      </c>
      <c r="D74" s="32" t="s">
        <v>791</v>
      </c>
      <c r="E74" s="32" t="s">
        <v>792</v>
      </c>
      <c r="F74" s="32" t="s">
        <v>793</v>
      </c>
      <c r="G74" s="32" t="s">
        <v>146</v>
      </c>
      <c r="H74" s="32" t="s">
        <v>108</v>
      </c>
      <c r="I74" s="32" t="s">
        <v>794</v>
      </c>
      <c r="J74" s="32"/>
      <c r="K74" s="32" t="s">
        <v>24</v>
      </c>
      <c r="L74" s="33" t="str">
        <f aca="false">IF(K74="Partly verified","Partly",IF(LEFT(K74,8)="Verified","Yes","No"))</f>
        <v>No</v>
      </c>
      <c r="M74" s="32"/>
      <c r="N74" s="32" t="s">
        <v>795</v>
      </c>
      <c r="O74" s="32" t="s">
        <v>796</v>
      </c>
      <c r="P74" s="32" t="s">
        <v>797</v>
      </c>
      <c r="Q74" s="32" t="s">
        <v>127</v>
      </c>
    </row>
    <row r="75" customFormat="false" ht="68.65" hidden="false" customHeight="false" outlineLevel="0" collapsed="false">
      <c r="A75" s="32" t="s">
        <v>798</v>
      </c>
      <c r="B75" s="32" t="s">
        <v>53</v>
      </c>
      <c r="C75" s="32" t="s">
        <v>799</v>
      </c>
      <c r="D75" s="32" t="s">
        <v>800</v>
      </c>
      <c r="E75" s="32" t="s">
        <v>801</v>
      </c>
      <c r="F75" s="32" t="s">
        <v>802</v>
      </c>
      <c r="G75" s="32" t="s">
        <v>803</v>
      </c>
      <c r="H75" s="32" t="s">
        <v>689</v>
      </c>
      <c r="I75" s="32" t="s">
        <v>804</v>
      </c>
      <c r="J75" s="32"/>
      <c r="K75" s="32" t="s">
        <v>22</v>
      </c>
      <c r="L75" s="33" t="str">
        <f aca="false">IF(K75="Partly verified","Partly",IF(LEFT(K75,8)="Verified","Yes","No"))</f>
        <v>No</v>
      </c>
      <c r="M75" s="32" t="s">
        <v>805</v>
      </c>
      <c r="N75" s="32" t="s">
        <v>806</v>
      </c>
      <c r="O75" s="32" t="s">
        <v>807</v>
      </c>
      <c r="P75" s="32" t="s">
        <v>808</v>
      </c>
      <c r="Q75" s="32" t="s">
        <v>809</v>
      </c>
    </row>
    <row r="76" customFormat="false" ht="46.25" hidden="false" customHeight="false" outlineLevel="0" collapsed="false">
      <c r="A76" s="32" t="s">
        <v>810</v>
      </c>
      <c r="B76" s="32" t="s">
        <v>53</v>
      </c>
      <c r="C76" s="32" t="s">
        <v>811</v>
      </c>
      <c r="D76" s="32" t="s">
        <v>812</v>
      </c>
      <c r="E76" s="32" t="s">
        <v>813</v>
      </c>
      <c r="F76" s="32" t="s">
        <v>814</v>
      </c>
      <c r="G76" s="32" t="s">
        <v>815</v>
      </c>
      <c r="H76" s="32" t="s">
        <v>108</v>
      </c>
      <c r="I76" s="32" t="s">
        <v>816</v>
      </c>
      <c r="J76" s="32"/>
      <c r="K76" s="32" t="s">
        <v>24</v>
      </c>
      <c r="L76" s="33" t="str">
        <f aca="false">IF(K76="Partly verified","Partly",IF(LEFT(K76,8)="Verified","Yes","No"))</f>
        <v>No</v>
      </c>
      <c r="M76" s="32" t="s">
        <v>817</v>
      </c>
      <c r="N76" s="32" t="s">
        <v>818</v>
      </c>
      <c r="O76" s="32" t="s">
        <v>819</v>
      </c>
      <c r="P76" s="32" t="s">
        <v>820</v>
      </c>
      <c r="Q76" s="32" t="s">
        <v>127</v>
      </c>
    </row>
    <row r="77" customFormat="false" ht="35.05" hidden="false" customHeight="false" outlineLevel="0" collapsed="false">
      <c r="A77" s="32" t="s">
        <v>821</v>
      </c>
      <c r="B77" s="32" t="s">
        <v>53</v>
      </c>
      <c r="C77" s="32" t="s">
        <v>822</v>
      </c>
      <c r="D77" s="32" t="s">
        <v>823</v>
      </c>
      <c r="E77" s="32" t="s">
        <v>824</v>
      </c>
      <c r="F77" s="32" t="s">
        <v>825</v>
      </c>
      <c r="G77" s="32" t="s">
        <v>826</v>
      </c>
      <c r="H77" s="32" t="s">
        <v>108</v>
      </c>
      <c r="I77" s="32" t="s">
        <v>827</v>
      </c>
      <c r="J77" s="32"/>
      <c r="K77" s="32" t="s">
        <v>22</v>
      </c>
      <c r="L77" s="33" t="str">
        <f aca="false">IF(K77="Partly verified","Partly",IF(LEFT(K77,8)="Verified","Yes","No"))</f>
        <v>No</v>
      </c>
      <c r="M77" s="32"/>
      <c r="N77" s="32" t="s">
        <v>828</v>
      </c>
      <c r="O77" s="32" t="s">
        <v>829</v>
      </c>
      <c r="P77" s="32" t="s">
        <v>830</v>
      </c>
      <c r="Q77" s="32" t="s">
        <v>127</v>
      </c>
    </row>
    <row r="78" customFormat="false" ht="35.05" hidden="false" customHeight="false" outlineLevel="0" collapsed="false">
      <c r="A78" s="32" t="s">
        <v>831</v>
      </c>
      <c r="B78" s="32" t="s">
        <v>53</v>
      </c>
      <c r="C78" s="32" t="s">
        <v>832</v>
      </c>
      <c r="D78" s="32" t="s">
        <v>833</v>
      </c>
      <c r="E78" s="32" t="s">
        <v>834</v>
      </c>
      <c r="F78" s="32" t="s">
        <v>835</v>
      </c>
      <c r="G78" s="32" t="s">
        <v>836</v>
      </c>
      <c r="H78" s="32" t="s">
        <v>689</v>
      </c>
      <c r="I78" s="32" t="s">
        <v>827</v>
      </c>
      <c r="J78" s="32"/>
      <c r="K78" s="32" t="s">
        <v>22</v>
      </c>
      <c r="L78" s="33" t="str">
        <f aca="false">IF(K78="Partly verified","Partly",IF(LEFT(K78,8)="Verified","Yes","No"))</f>
        <v>No</v>
      </c>
      <c r="M78" s="32"/>
      <c r="N78" s="32" t="s">
        <v>837</v>
      </c>
      <c r="O78" s="32" t="s">
        <v>838</v>
      </c>
      <c r="P78" s="32" t="s">
        <v>839</v>
      </c>
      <c r="Q78" s="32" t="s">
        <v>127</v>
      </c>
    </row>
    <row r="79" customFormat="false" ht="46.25" hidden="false" customHeight="false" outlineLevel="0" collapsed="false">
      <c r="A79" s="32" t="s">
        <v>840</v>
      </c>
      <c r="B79" s="32" t="s">
        <v>53</v>
      </c>
      <c r="C79" s="32" t="s">
        <v>841</v>
      </c>
      <c r="D79" s="32" t="s">
        <v>842</v>
      </c>
      <c r="E79" s="32" t="s">
        <v>843</v>
      </c>
      <c r="F79" s="32" t="s">
        <v>802</v>
      </c>
      <c r="G79" s="32" t="s">
        <v>146</v>
      </c>
      <c r="H79" s="32" t="s">
        <v>844</v>
      </c>
      <c r="I79" s="32" t="s">
        <v>845</v>
      </c>
      <c r="J79" s="34" t="s">
        <v>193</v>
      </c>
      <c r="K79" s="32" t="s">
        <v>20</v>
      </c>
      <c r="L79" s="33" t="str">
        <f aca="false">IF(K79="Partly verified","Partly",IF(LEFT(K79,8)="Verified","Yes","No"))</f>
        <v>Partly</v>
      </c>
      <c r="M79" s="32" t="s">
        <v>846</v>
      </c>
      <c r="N79" s="32" t="s">
        <v>847</v>
      </c>
      <c r="O79" s="32" t="s">
        <v>848</v>
      </c>
      <c r="P79" s="32" t="s">
        <v>849</v>
      </c>
      <c r="Q79" s="32" t="s">
        <v>127</v>
      </c>
    </row>
    <row r="80" customFormat="false" ht="46.25" hidden="false" customHeight="false" outlineLevel="0" collapsed="false">
      <c r="A80" s="32" t="s">
        <v>850</v>
      </c>
      <c r="B80" s="32" t="s">
        <v>53</v>
      </c>
      <c r="C80" s="32" t="s">
        <v>851</v>
      </c>
      <c r="D80" s="32" t="s">
        <v>852</v>
      </c>
      <c r="E80" s="32" t="s">
        <v>853</v>
      </c>
      <c r="F80" s="32" t="s">
        <v>802</v>
      </c>
      <c r="G80" s="32" t="s">
        <v>146</v>
      </c>
      <c r="H80" s="32" t="s">
        <v>108</v>
      </c>
      <c r="I80" s="32" t="s">
        <v>854</v>
      </c>
      <c r="J80" s="32"/>
      <c r="K80" s="32" t="s">
        <v>22</v>
      </c>
      <c r="L80" s="33" t="str">
        <f aca="false">IF(K80="Partly verified","Partly",IF(LEFT(K80,8)="Verified","Yes","No"))</f>
        <v>No</v>
      </c>
      <c r="M80" s="32" t="s">
        <v>855</v>
      </c>
      <c r="N80" s="32" t="s">
        <v>856</v>
      </c>
      <c r="O80" s="32" t="s">
        <v>857</v>
      </c>
      <c r="P80" s="32" t="s">
        <v>858</v>
      </c>
      <c r="Q80" s="32" t="s">
        <v>127</v>
      </c>
    </row>
    <row r="81" customFormat="false" ht="46.25" hidden="false" customHeight="false" outlineLevel="0" collapsed="false">
      <c r="A81" s="32" t="s">
        <v>859</v>
      </c>
      <c r="B81" s="32" t="s">
        <v>54</v>
      </c>
      <c r="C81" s="32" t="s">
        <v>860</v>
      </c>
      <c r="D81" s="32" t="s">
        <v>861</v>
      </c>
      <c r="E81" s="32" t="s">
        <v>862</v>
      </c>
      <c r="F81" s="32" t="s">
        <v>258</v>
      </c>
      <c r="G81" s="32" t="s">
        <v>863</v>
      </c>
      <c r="H81" s="32" t="s">
        <v>108</v>
      </c>
      <c r="I81" s="32" t="s">
        <v>864</v>
      </c>
      <c r="J81" s="32"/>
      <c r="K81" s="32" t="s">
        <v>20</v>
      </c>
      <c r="L81" s="33" t="str">
        <f aca="false">IF(K81="Partly verified","Partly",IF(LEFT(K81,8)="Verified","Yes","No"))</f>
        <v>Partly</v>
      </c>
      <c r="M81" s="32" t="s">
        <v>865</v>
      </c>
      <c r="N81" s="32" t="s">
        <v>866</v>
      </c>
      <c r="O81" s="32" t="s">
        <v>867</v>
      </c>
      <c r="P81" s="32" t="s">
        <v>868</v>
      </c>
      <c r="Q81" s="32" t="s">
        <v>869</v>
      </c>
    </row>
    <row r="82" customFormat="false" ht="46.25" hidden="false" customHeight="false" outlineLevel="0" collapsed="false">
      <c r="A82" s="32" t="s">
        <v>870</v>
      </c>
      <c r="B82" s="32" t="s">
        <v>54</v>
      </c>
      <c r="C82" s="32" t="s">
        <v>871</v>
      </c>
      <c r="D82" s="32" t="s">
        <v>872</v>
      </c>
      <c r="E82" s="32" t="s">
        <v>873</v>
      </c>
      <c r="F82" s="32" t="s">
        <v>874</v>
      </c>
      <c r="G82" s="32" t="s">
        <v>215</v>
      </c>
      <c r="H82" s="32" t="s">
        <v>108</v>
      </c>
      <c r="I82" s="32" t="s">
        <v>875</v>
      </c>
      <c r="J82" s="32"/>
      <c r="K82" s="32" t="s">
        <v>26</v>
      </c>
      <c r="L82" s="33" t="str">
        <f aca="false">IF(K82="Partly verified","Partly",IF(LEFT(K82,8)="Verified","Yes","No"))</f>
        <v>No</v>
      </c>
      <c r="M82" s="32"/>
      <c r="N82" s="32" t="s">
        <v>876</v>
      </c>
      <c r="O82" s="32" t="s">
        <v>877</v>
      </c>
      <c r="P82" s="32" t="s">
        <v>878</v>
      </c>
      <c r="Q82" s="32" t="s">
        <v>879</v>
      </c>
    </row>
    <row r="83" customFormat="false" ht="46.25" hidden="false" customHeight="false" outlineLevel="0" collapsed="false">
      <c r="A83" s="32" t="s">
        <v>880</v>
      </c>
      <c r="B83" s="32" t="s">
        <v>55</v>
      </c>
      <c r="C83" s="32" t="s">
        <v>129</v>
      </c>
      <c r="D83" s="32" t="s">
        <v>881</v>
      </c>
      <c r="E83" s="32" t="s">
        <v>882</v>
      </c>
      <c r="F83" s="32" t="s">
        <v>236</v>
      </c>
      <c r="G83" s="32" t="s">
        <v>146</v>
      </c>
      <c r="H83" s="32" t="s">
        <v>883</v>
      </c>
      <c r="I83" s="32" t="s">
        <v>884</v>
      </c>
      <c r="J83" s="32"/>
      <c r="K83" s="32" t="s">
        <v>22</v>
      </c>
      <c r="L83" s="33" t="str">
        <f aca="false">IF(K83="Partly verified","Partly",IF(LEFT(K83,8)="Verified","Yes","No"))</f>
        <v>No</v>
      </c>
      <c r="M83" s="32" t="s">
        <v>885</v>
      </c>
      <c r="N83" s="32" t="s">
        <v>886</v>
      </c>
      <c r="O83" s="32" t="s">
        <v>887</v>
      </c>
      <c r="P83" s="32" t="s">
        <v>888</v>
      </c>
      <c r="Q83" s="32" t="s">
        <v>889</v>
      </c>
    </row>
    <row r="84" customFormat="false" ht="46.25" hidden="false" customHeight="false" outlineLevel="0" collapsed="false">
      <c r="A84" s="32" t="s">
        <v>890</v>
      </c>
      <c r="B84" s="32" t="s">
        <v>55</v>
      </c>
      <c r="C84" s="32" t="s">
        <v>891</v>
      </c>
      <c r="D84" s="32" t="s">
        <v>892</v>
      </c>
      <c r="E84" s="32" t="s">
        <v>893</v>
      </c>
      <c r="F84" s="32" t="s">
        <v>258</v>
      </c>
      <c r="G84" s="32" t="s">
        <v>894</v>
      </c>
      <c r="H84" s="32" t="s">
        <v>689</v>
      </c>
      <c r="I84" s="32" t="s">
        <v>895</v>
      </c>
      <c r="J84" s="32"/>
      <c r="K84" s="32" t="s">
        <v>20</v>
      </c>
      <c r="L84" s="33" t="str">
        <f aca="false">IF(K84="Partly verified","Partly",IF(LEFT(K84,8)="Verified","Yes","No"))</f>
        <v>Partly</v>
      </c>
      <c r="M84" s="32" t="s">
        <v>896</v>
      </c>
      <c r="N84" s="32" t="s">
        <v>897</v>
      </c>
      <c r="O84" s="32" t="s">
        <v>898</v>
      </c>
      <c r="P84" s="32" t="s">
        <v>899</v>
      </c>
      <c r="Q84" s="32" t="s">
        <v>900</v>
      </c>
    </row>
    <row r="85" customFormat="false" ht="46.25" hidden="false" customHeight="false" outlineLevel="0" collapsed="false">
      <c r="A85" s="32" t="s">
        <v>901</v>
      </c>
      <c r="B85" s="32" t="s">
        <v>55</v>
      </c>
      <c r="C85" s="32" t="s">
        <v>902</v>
      </c>
      <c r="D85" s="32" t="s">
        <v>903</v>
      </c>
      <c r="E85" s="32" t="s">
        <v>904</v>
      </c>
      <c r="F85" s="32" t="s">
        <v>814</v>
      </c>
      <c r="G85" s="32" t="s">
        <v>894</v>
      </c>
      <c r="H85" s="32" t="s">
        <v>689</v>
      </c>
      <c r="I85" s="32" t="s">
        <v>905</v>
      </c>
      <c r="J85" s="32"/>
      <c r="K85" s="32" t="s">
        <v>24</v>
      </c>
      <c r="L85" s="33" t="str">
        <f aca="false">IF(K85="Partly verified","Partly",IF(LEFT(K85,8)="Verified","Yes","No"))</f>
        <v>No</v>
      </c>
      <c r="M85" s="32" t="s">
        <v>906</v>
      </c>
      <c r="N85" s="32" t="s">
        <v>907</v>
      </c>
      <c r="O85" s="32" t="s">
        <v>908</v>
      </c>
      <c r="P85" s="32" t="s">
        <v>909</v>
      </c>
      <c r="Q85" s="32" t="s">
        <v>910</v>
      </c>
    </row>
    <row r="86" customFormat="false" ht="46.25" hidden="false" customHeight="false" outlineLevel="0" collapsed="false">
      <c r="A86" s="32" t="s">
        <v>911</v>
      </c>
      <c r="B86" s="32" t="s">
        <v>55</v>
      </c>
      <c r="C86" s="32" t="s">
        <v>718</v>
      </c>
      <c r="D86" s="32" t="s">
        <v>912</v>
      </c>
      <c r="E86" s="32" t="s">
        <v>913</v>
      </c>
      <c r="F86" s="32" t="s">
        <v>772</v>
      </c>
      <c r="G86" s="32" t="s">
        <v>914</v>
      </c>
      <c r="H86" s="32" t="s">
        <v>915</v>
      </c>
      <c r="I86" s="32" t="s">
        <v>916</v>
      </c>
      <c r="J86" s="32"/>
      <c r="K86" s="32" t="s">
        <v>20</v>
      </c>
      <c r="L86" s="33" t="str">
        <f aca="false">IF(K86="Partly verified","Partly",IF(LEFT(K86,8)="Verified","Yes","No"))</f>
        <v>Partly</v>
      </c>
      <c r="M86" s="32" t="s">
        <v>917</v>
      </c>
      <c r="N86" s="32" t="s">
        <v>918</v>
      </c>
      <c r="O86" s="32" t="s">
        <v>919</v>
      </c>
      <c r="P86" s="32" t="s">
        <v>920</v>
      </c>
      <c r="Q86" s="32" t="s">
        <v>921</v>
      </c>
    </row>
    <row r="87" customFormat="false" ht="91" hidden="false" customHeight="false" outlineLevel="0" collapsed="false">
      <c r="A87" s="32" t="s">
        <v>922</v>
      </c>
      <c r="B87" s="32" t="s">
        <v>55</v>
      </c>
      <c r="C87" s="32" t="s">
        <v>718</v>
      </c>
      <c r="D87" s="32" t="s">
        <v>923</v>
      </c>
      <c r="E87" s="32" t="s">
        <v>924</v>
      </c>
      <c r="F87" s="32" t="s">
        <v>925</v>
      </c>
      <c r="G87" s="32" t="s">
        <v>914</v>
      </c>
      <c r="H87" s="32" t="s">
        <v>915</v>
      </c>
      <c r="I87" s="32" t="s">
        <v>926</v>
      </c>
      <c r="J87" s="32"/>
      <c r="K87" s="32" t="s">
        <v>20</v>
      </c>
      <c r="L87" s="33" t="str">
        <f aca="false">IF(K87="Partly verified","Partly",IF(LEFT(K87,8)="Verified","Yes","No"))</f>
        <v>Partly</v>
      </c>
      <c r="M87" s="32" t="s">
        <v>927</v>
      </c>
      <c r="N87" s="32" t="s">
        <v>928</v>
      </c>
      <c r="O87" s="32" t="s">
        <v>929</v>
      </c>
      <c r="P87" s="32" t="s">
        <v>930</v>
      </c>
      <c r="Q87" s="32" t="s">
        <v>931</v>
      </c>
    </row>
    <row r="88" customFormat="false" ht="68.65" hidden="false" customHeight="false" outlineLevel="0" collapsed="false">
      <c r="A88" s="32" t="s">
        <v>932</v>
      </c>
      <c r="B88" s="32" t="s">
        <v>55</v>
      </c>
      <c r="C88" s="32" t="s">
        <v>933</v>
      </c>
      <c r="D88" s="32" t="s">
        <v>934</v>
      </c>
      <c r="E88" s="32" t="s">
        <v>935</v>
      </c>
      <c r="F88" s="32" t="s">
        <v>936</v>
      </c>
      <c r="G88" s="32" t="s">
        <v>937</v>
      </c>
      <c r="H88" s="32" t="s">
        <v>938</v>
      </c>
      <c r="I88" s="32" t="s">
        <v>939</v>
      </c>
      <c r="J88" s="32"/>
      <c r="K88" s="32" t="s">
        <v>22</v>
      </c>
      <c r="L88" s="33" t="str">
        <f aca="false">IF(K88="Partly verified","Partly",IF(LEFT(K88,8)="Verified","Yes","No"))</f>
        <v>No</v>
      </c>
      <c r="M88" s="32" t="s">
        <v>940</v>
      </c>
      <c r="N88" s="32" t="s">
        <v>941</v>
      </c>
      <c r="O88" s="32" t="s">
        <v>942</v>
      </c>
      <c r="P88" s="32" t="s">
        <v>943</v>
      </c>
      <c r="Q88" s="32" t="s">
        <v>944</v>
      </c>
    </row>
    <row r="89" customFormat="false" ht="23.85" hidden="false" customHeight="false" outlineLevel="0" collapsed="false">
      <c r="A89" s="32" t="s">
        <v>945</v>
      </c>
      <c r="B89" s="32" t="s">
        <v>55</v>
      </c>
      <c r="C89" s="32" t="s">
        <v>946</v>
      </c>
      <c r="D89" s="32" t="s">
        <v>947</v>
      </c>
      <c r="E89" s="32" t="s">
        <v>948</v>
      </c>
      <c r="F89" s="32" t="s">
        <v>949</v>
      </c>
      <c r="G89" s="32" t="s">
        <v>146</v>
      </c>
      <c r="H89" s="32" t="s">
        <v>248</v>
      </c>
      <c r="I89" s="32" t="s">
        <v>950</v>
      </c>
      <c r="J89" s="32"/>
      <c r="K89" s="32" t="s">
        <v>22</v>
      </c>
      <c r="L89" s="33" t="str">
        <f aca="false">IF(K89="Partly verified","Partly",IF(LEFT(K89,8)="Verified","Yes","No"))</f>
        <v>No</v>
      </c>
      <c r="M89" s="32"/>
      <c r="N89" s="32" t="s">
        <v>951</v>
      </c>
      <c r="O89" s="32" t="s">
        <v>952</v>
      </c>
      <c r="P89" s="32" t="s">
        <v>953</v>
      </c>
      <c r="Q89" s="32" t="s">
        <v>127</v>
      </c>
    </row>
    <row r="90" customFormat="false" ht="35.05" hidden="false" customHeight="false" outlineLevel="0" collapsed="false">
      <c r="A90" s="32" t="s">
        <v>954</v>
      </c>
      <c r="B90" s="32" t="s">
        <v>55</v>
      </c>
      <c r="C90" s="32" t="s">
        <v>142</v>
      </c>
      <c r="D90" s="32" t="s">
        <v>955</v>
      </c>
      <c r="E90" s="32" t="s">
        <v>956</v>
      </c>
      <c r="F90" s="32" t="s">
        <v>957</v>
      </c>
      <c r="G90" s="32" t="s">
        <v>146</v>
      </c>
      <c r="H90" s="32" t="s">
        <v>108</v>
      </c>
      <c r="I90" s="32" t="s">
        <v>958</v>
      </c>
      <c r="J90" s="32"/>
      <c r="K90" s="32" t="s">
        <v>20</v>
      </c>
      <c r="L90" s="33" t="str">
        <f aca="false">IF(K90="Partly verified","Partly",IF(LEFT(K90,8)="Verified","Yes","No"))</f>
        <v>Partly</v>
      </c>
      <c r="M90" s="32" t="s">
        <v>959</v>
      </c>
      <c r="N90" s="32" t="s">
        <v>960</v>
      </c>
      <c r="O90" s="32" t="s">
        <v>961</v>
      </c>
      <c r="P90" s="32" t="s">
        <v>962</v>
      </c>
      <c r="Q90" s="32" t="s">
        <v>963</v>
      </c>
    </row>
    <row r="91" customFormat="false" ht="46.25" hidden="false" customHeight="false" outlineLevel="0" collapsed="false">
      <c r="A91" s="32" t="s">
        <v>964</v>
      </c>
      <c r="B91" s="32" t="s">
        <v>55</v>
      </c>
      <c r="C91" s="32" t="s">
        <v>965</v>
      </c>
      <c r="D91" s="32" t="s">
        <v>966</v>
      </c>
      <c r="E91" s="32" t="s">
        <v>967</v>
      </c>
      <c r="F91" s="32" t="s">
        <v>968</v>
      </c>
      <c r="G91" s="32" t="s">
        <v>969</v>
      </c>
      <c r="H91" s="32" t="s">
        <v>108</v>
      </c>
      <c r="I91" s="32" t="s">
        <v>970</v>
      </c>
      <c r="J91" s="32"/>
      <c r="K91" s="32" t="s">
        <v>22</v>
      </c>
      <c r="L91" s="33" t="str">
        <f aca="false">IF(K91="Partly verified","Partly",IF(LEFT(K91,8)="Verified","Yes","No"))</f>
        <v>No</v>
      </c>
      <c r="M91" s="32" t="s">
        <v>971</v>
      </c>
      <c r="N91" s="32" t="s">
        <v>972</v>
      </c>
      <c r="O91" s="32" t="s">
        <v>973</v>
      </c>
      <c r="P91" s="32" t="s">
        <v>974</v>
      </c>
      <c r="Q91" s="32" t="s">
        <v>975</v>
      </c>
    </row>
    <row r="92" customFormat="false" ht="46.25" hidden="false" customHeight="false" outlineLevel="0" collapsed="false">
      <c r="A92" s="32" t="s">
        <v>976</v>
      </c>
      <c r="B92" s="32" t="s">
        <v>55</v>
      </c>
      <c r="C92" s="32" t="s">
        <v>977</v>
      </c>
      <c r="D92" s="32" t="s">
        <v>978</v>
      </c>
      <c r="E92" s="32" t="s">
        <v>979</v>
      </c>
      <c r="F92" s="32" t="s">
        <v>980</v>
      </c>
      <c r="G92" s="32" t="s">
        <v>894</v>
      </c>
      <c r="H92" s="32" t="s">
        <v>108</v>
      </c>
      <c r="I92" s="32" t="s">
        <v>981</v>
      </c>
      <c r="J92" s="32"/>
      <c r="K92" s="32" t="s">
        <v>26</v>
      </c>
      <c r="L92" s="33" t="str">
        <f aca="false">IF(K92="Partly verified","Partly",IF(LEFT(K92,8)="Verified","Yes","No"))</f>
        <v>No</v>
      </c>
      <c r="M92" s="32" t="s">
        <v>982</v>
      </c>
      <c r="N92" s="32" t="s">
        <v>983</v>
      </c>
      <c r="O92" s="32" t="s">
        <v>984</v>
      </c>
      <c r="P92" s="32" t="s">
        <v>985</v>
      </c>
      <c r="Q92" s="32" t="s">
        <v>986</v>
      </c>
    </row>
    <row r="93" customFormat="false" ht="57.45" hidden="false" customHeight="false" outlineLevel="0" collapsed="false">
      <c r="A93" s="32" t="s">
        <v>987</v>
      </c>
      <c r="B93" s="32" t="s">
        <v>55</v>
      </c>
      <c r="C93" s="32" t="s">
        <v>26</v>
      </c>
      <c r="D93" s="32" t="s">
        <v>988</v>
      </c>
      <c r="E93" s="32" t="s">
        <v>989</v>
      </c>
      <c r="F93" s="32" t="s">
        <v>990</v>
      </c>
      <c r="G93" s="32" t="s">
        <v>894</v>
      </c>
      <c r="H93" s="32" t="s">
        <v>689</v>
      </c>
      <c r="I93" s="32" t="s">
        <v>991</v>
      </c>
      <c r="J93" s="32"/>
      <c r="K93" s="32" t="s">
        <v>26</v>
      </c>
      <c r="L93" s="33" t="str">
        <f aca="false">IF(K93="Partly verified","Partly",IF(LEFT(K93,8)="Verified","Yes","No"))</f>
        <v>No</v>
      </c>
      <c r="M93" s="32"/>
      <c r="N93" s="32" t="s">
        <v>992</v>
      </c>
      <c r="O93" s="32" t="s">
        <v>993</v>
      </c>
      <c r="P93" s="32" t="s">
        <v>994</v>
      </c>
      <c r="Q93" s="32" t="s">
        <v>127</v>
      </c>
    </row>
    <row r="94" customFormat="false" ht="23.85" hidden="false" customHeight="false" outlineLevel="0" collapsed="false">
      <c r="A94" s="32" t="s">
        <v>995</v>
      </c>
      <c r="B94" s="32" t="s">
        <v>55</v>
      </c>
      <c r="C94" s="32" t="s">
        <v>996</v>
      </c>
      <c r="D94" s="32" t="s">
        <v>997</v>
      </c>
      <c r="E94" s="32" t="s">
        <v>998</v>
      </c>
      <c r="F94" s="32" t="s">
        <v>999</v>
      </c>
      <c r="G94" s="32" t="s">
        <v>146</v>
      </c>
      <c r="H94" s="32" t="s">
        <v>127</v>
      </c>
      <c r="I94" s="32" t="s">
        <v>1000</v>
      </c>
      <c r="J94" s="32"/>
      <c r="K94" s="32" t="s">
        <v>28</v>
      </c>
      <c r="L94" s="33" t="str">
        <f aca="false">IF(K94="Partly verified","Partly",IF(LEFT(K94,8)="Verified","Yes","No"))</f>
        <v>No</v>
      </c>
      <c r="M94" s="32" t="s">
        <v>1001</v>
      </c>
      <c r="N94" s="32" t="s">
        <v>1002</v>
      </c>
      <c r="O94" s="32" t="s">
        <v>1003</v>
      </c>
      <c r="P94" s="32" t="s">
        <v>1004</v>
      </c>
      <c r="Q94" s="32" t="s">
        <v>1005</v>
      </c>
    </row>
    <row r="95" customFormat="false" ht="35.05" hidden="false" customHeight="false" outlineLevel="0" collapsed="false">
      <c r="A95" s="32" t="s">
        <v>1006</v>
      </c>
      <c r="B95" s="32" t="s">
        <v>56</v>
      </c>
      <c r="C95" s="32" t="s">
        <v>1007</v>
      </c>
      <c r="D95" s="32" t="s">
        <v>1008</v>
      </c>
      <c r="E95" s="32" t="s">
        <v>1009</v>
      </c>
      <c r="F95" s="32" t="s">
        <v>236</v>
      </c>
      <c r="G95" s="32" t="s">
        <v>146</v>
      </c>
      <c r="H95" s="32" t="s">
        <v>1010</v>
      </c>
      <c r="I95" s="32" t="s">
        <v>1011</v>
      </c>
      <c r="J95" s="32"/>
      <c r="K95" s="32" t="s">
        <v>24</v>
      </c>
      <c r="L95" s="33" t="str">
        <f aca="false">IF(K95="Partly verified","Partly",IF(LEFT(K95,8)="Verified","Yes","No"))</f>
        <v>No</v>
      </c>
      <c r="M95" s="32" t="s">
        <v>1012</v>
      </c>
      <c r="N95" s="32" t="s">
        <v>1013</v>
      </c>
      <c r="O95" s="32" t="s">
        <v>1014</v>
      </c>
      <c r="P95" s="32" t="s">
        <v>1015</v>
      </c>
      <c r="Q95" s="32" t="s">
        <v>127</v>
      </c>
    </row>
    <row r="96" customFormat="false" ht="35.05" hidden="false" customHeight="false" outlineLevel="0" collapsed="false">
      <c r="A96" s="32" t="s">
        <v>1016</v>
      </c>
      <c r="B96" s="32" t="s">
        <v>56</v>
      </c>
      <c r="C96" s="32" t="s">
        <v>1017</v>
      </c>
      <c r="D96" s="32" t="s">
        <v>1018</v>
      </c>
      <c r="E96" s="32" t="s">
        <v>1019</v>
      </c>
      <c r="F96" s="32" t="s">
        <v>1020</v>
      </c>
      <c r="G96" s="32" t="s">
        <v>146</v>
      </c>
      <c r="H96" s="32" t="s">
        <v>226</v>
      </c>
      <c r="I96" s="32" t="s">
        <v>1021</v>
      </c>
      <c r="J96" s="32"/>
      <c r="K96" s="32" t="s">
        <v>22</v>
      </c>
      <c r="L96" s="33" t="str">
        <f aca="false">IF(K96="Partly verified","Partly",IF(LEFT(K96,8)="Verified","Yes","No"))</f>
        <v>No</v>
      </c>
      <c r="M96" s="32" t="s">
        <v>1022</v>
      </c>
      <c r="N96" s="32" t="s">
        <v>1023</v>
      </c>
      <c r="O96" s="32" t="s">
        <v>1024</v>
      </c>
      <c r="P96" s="32" t="s">
        <v>1025</v>
      </c>
      <c r="Q96" s="32" t="s">
        <v>127</v>
      </c>
    </row>
    <row r="97" customFormat="false" ht="35.05" hidden="false" customHeight="false" outlineLevel="0" collapsed="false">
      <c r="A97" s="32" t="s">
        <v>1026</v>
      </c>
      <c r="B97" s="32" t="s">
        <v>56</v>
      </c>
      <c r="C97" s="32" t="s">
        <v>1027</v>
      </c>
      <c r="D97" s="32" t="s">
        <v>1028</v>
      </c>
      <c r="E97" s="32" t="s">
        <v>1029</v>
      </c>
      <c r="F97" s="32" t="s">
        <v>1030</v>
      </c>
      <c r="G97" s="32" t="s">
        <v>146</v>
      </c>
      <c r="H97" s="32" t="s">
        <v>1031</v>
      </c>
      <c r="I97" s="32" t="s">
        <v>1032</v>
      </c>
      <c r="J97" s="32"/>
      <c r="K97" s="32" t="s">
        <v>26</v>
      </c>
      <c r="L97" s="33" t="str">
        <f aca="false">IF(K97="Partly verified","Partly",IF(LEFT(K97,8)="Verified","Yes","No"))</f>
        <v>No</v>
      </c>
      <c r="M97" s="32" t="s">
        <v>1033</v>
      </c>
      <c r="N97" s="32" t="s">
        <v>1034</v>
      </c>
      <c r="O97" s="32" t="s">
        <v>1035</v>
      </c>
      <c r="P97" s="32" t="s">
        <v>1036</v>
      </c>
      <c r="Q97" s="32" t="s">
        <v>127</v>
      </c>
    </row>
    <row r="98" customFormat="false" ht="35.05" hidden="false" customHeight="false" outlineLevel="0" collapsed="false">
      <c r="A98" s="32" t="s">
        <v>1037</v>
      </c>
      <c r="B98" s="32" t="s">
        <v>56</v>
      </c>
      <c r="C98" s="32" t="s">
        <v>1038</v>
      </c>
      <c r="D98" s="32" t="s">
        <v>1039</v>
      </c>
      <c r="E98" s="32" t="s">
        <v>1040</v>
      </c>
      <c r="F98" s="32" t="s">
        <v>1020</v>
      </c>
      <c r="G98" s="32" t="s">
        <v>146</v>
      </c>
      <c r="H98" s="32" t="s">
        <v>108</v>
      </c>
      <c r="I98" s="32" t="s">
        <v>1041</v>
      </c>
      <c r="J98" s="32"/>
      <c r="K98" s="32" t="s">
        <v>22</v>
      </c>
      <c r="L98" s="33" t="str">
        <f aca="false">IF(K98="Partly verified","Partly",IF(LEFT(K98,8)="Verified","Yes","No"))</f>
        <v>No</v>
      </c>
      <c r="M98" s="32"/>
      <c r="N98" s="32" t="s">
        <v>1042</v>
      </c>
      <c r="O98" s="32" t="s">
        <v>1043</v>
      </c>
      <c r="P98" s="32" t="s">
        <v>1044</v>
      </c>
      <c r="Q98" s="32" t="s">
        <v>127</v>
      </c>
    </row>
    <row r="99" customFormat="false" ht="46.25" hidden="false" customHeight="false" outlineLevel="0" collapsed="false">
      <c r="A99" s="32" t="s">
        <v>1045</v>
      </c>
      <c r="B99" s="32" t="s">
        <v>56</v>
      </c>
      <c r="C99" s="32" t="s">
        <v>1046</v>
      </c>
      <c r="D99" s="32" t="s">
        <v>1047</v>
      </c>
      <c r="E99" s="32" t="s">
        <v>1048</v>
      </c>
      <c r="F99" s="32" t="s">
        <v>1049</v>
      </c>
      <c r="G99" s="32" t="s">
        <v>146</v>
      </c>
      <c r="H99" s="32" t="s">
        <v>1050</v>
      </c>
      <c r="I99" s="32" t="s">
        <v>1051</v>
      </c>
      <c r="J99" s="32"/>
      <c r="K99" s="32" t="s">
        <v>20</v>
      </c>
      <c r="L99" s="33" t="str">
        <f aca="false">IF(K99="Partly verified","Partly",IF(LEFT(K99,8)="Verified","Yes","No"))</f>
        <v>Partly</v>
      </c>
      <c r="M99" s="32" t="s">
        <v>1052</v>
      </c>
      <c r="N99" s="32" t="s">
        <v>1053</v>
      </c>
      <c r="O99" s="32" t="s">
        <v>1054</v>
      </c>
      <c r="P99" s="32" t="s">
        <v>1055</v>
      </c>
      <c r="Q99" s="32" t="s">
        <v>127</v>
      </c>
    </row>
    <row r="100" customFormat="false" ht="35.05" hidden="false" customHeight="false" outlineLevel="0" collapsed="false">
      <c r="A100" s="32" t="s">
        <v>1056</v>
      </c>
      <c r="B100" s="32" t="s">
        <v>56</v>
      </c>
      <c r="C100" s="32" t="s">
        <v>1057</v>
      </c>
      <c r="D100" s="32" t="s">
        <v>1058</v>
      </c>
      <c r="E100" s="32" t="s">
        <v>1059</v>
      </c>
      <c r="F100" s="32" t="s">
        <v>761</v>
      </c>
      <c r="G100" s="32" t="s">
        <v>146</v>
      </c>
      <c r="H100" s="32" t="s">
        <v>226</v>
      </c>
      <c r="I100" s="32" t="s">
        <v>1060</v>
      </c>
      <c r="J100" s="32"/>
      <c r="K100" s="32" t="s">
        <v>20</v>
      </c>
      <c r="L100" s="33" t="str">
        <f aca="false">IF(K100="Partly verified","Partly",IF(LEFT(K100,8)="Verified","Yes","No"))</f>
        <v>Partly</v>
      </c>
      <c r="M100" s="32" t="s">
        <v>1061</v>
      </c>
      <c r="N100" s="32" t="s">
        <v>1062</v>
      </c>
      <c r="O100" s="32" t="s">
        <v>1063</v>
      </c>
      <c r="P100" s="32" t="s">
        <v>1064</v>
      </c>
      <c r="Q100" s="32" t="s">
        <v>1065</v>
      </c>
    </row>
    <row r="101" customFormat="false" ht="23.85" hidden="false" customHeight="false" outlineLevel="0" collapsed="false">
      <c r="A101" s="32" t="s">
        <v>1066</v>
      </c>
      <c r="B101" s="32" t="s">
        <v>56</v>
      </c>
      <c r="C101" s="32" t="s">
        <v>1067</v>
      </c>
      <c r="D101" s="32" t="s">
        <v>1068</v>
      </c>
      <c r="E101" s="32" t="s">
        <v>1069</v>
      </c>
      <c r="F101" s="32" t="s">
        <v>1070</v>
      </c>
      <c r="G101" s="32" t="s">
        <v>146</v>
      </c>
      <c r="H101" s="32" t="s">
        <v>1071</v>
      </c>
      <c r="I101" s="32" t="s">
        <v>1072</v>
      </c>
      <c r="J101" s="34" t="s">
        <v>193</v>
      </c>
      <c r="K101" s="32" t="s">
        <v>20</v>
      </c>
      <c r="L101" s="33" t="str">
        <f aca="false">IF(K101="Partly verified","Partly",IF(LEFT(K101,8)="Verified","Yes","No"))</f>
        <v>Partly</v>
      </c>
      <c r="M101" s="32" t="s">
        <v>1073</v>
      </c>
      <c r="N101" s="32" t="s">
        <v>1074</v>
      </c>
      <c r="O101" s="32" t="s">
        <v>1075</v>
      </c>
      <c r="P101" s="32" t="s">
        <v>1044</v>
      </c>
      <c r="Q101" s="32" t="s">
        <v>127</v>
      </c>
    </row>
    <row r="102" customFormat="false" ht="46.25" hidden="false" customHeight="false" outlineLevel="0" collapsed="false">
      <c r="A102" s="32" t="s">
        <v>1076</v>
      </c>
      <c r="B102" s="32" t="s">
        <v>56</v>
      </c>
      <c r="C102" s="32" t="s">
        <v>26</v>
      </c>
      <c r="D102" s="32" t="s">
        <v>1077</v>
      </c>
      <c r="E102" s="32" t="s">
        <v>1078</v>
      </c>
      <c r="F102" s="32" t="s">
        <v>1079</v>
      </c>
      <c r="G102" s="32" t="s">
        <v>146</v>
      </c>
      <c r="H102" s="32" t="s">
        <v>1080</v>
      </c>
      <c r="I102" s="32" t="s">
        <v>1081</v>
      </c>
      <c r="J102" s="32"/>
      <c r="K102" s="32" t="s">
        <v>26</v>
      </c>
      <c r="L102" s="33" t="str">
        <f aca="false">IF(K102="Partly verified","Partly",IF(LEFT(K102,8)="Verified","Yes","No"))</f>
        <v>No</v>
      </c>
      <c r="M102" s="32"/>
      <c r="N102" s="32" t="s">
        <v>1082</v>
      </c>
      <c r="O102" s="32" t="s">
        <v>1083</v>
      </c>
      <c r="P102" s="32" t="s">
        <v>1084</v>
      </c>
      <c r="Q102" s="32" t="s">
        <v>1085</v>
      </c>
    </row>
    <row r="103" customFormat="false" ht="46.25" hidden="false" customHeight="false" outlineLevel="0" collapsed="false">
      <c r="A103" s="32" t="s">
        <v>1086</v>
      </c>
      <c r="B103" s="32" t="s">
        <v>56</v>
      </c>
      <c r="C103" s="32" t="s">
        <v>1087</v>
      </c>
      <c r="D103" s="32" t="s">
        <v>1088</v>
      </c>
      <c r="E103" s="32" t="s">
        <v>1089</v>
      </c>
      <c r="F103" s="32" t="s">
        <v>1090</v>
      </c>
      <c r="G103" s="32" t="s">
        <v>146</v>
      </c>
      <c r="H103" s="32" t="s">
        <v>1091</v>
      </c>
      <c r="I103" s="32" t="s">
        <v>1092</v>
      </c>
      <c r="J103" s="32"/>
      <c r="K103" s="32" t="s">
        <v>24</v>
      </c>
      <c r="L103" s="33" t="str">
        <f aca="false">IF(K103="Partly verified","Partly",IF(LEFT(K103,8)="Verified","Yes","No"))</f>
        <v>No</v>
      </c>
      <c r="M103" s="32"/>
      <c r="N103" s="32" t="s">
        <v>1093</v>
      </c>
      <c r="O103" s="32" t="s">
        <v>1094</v>
      </c>
      <c r="P103" s="32" t="s">
        <v>502</v>
      </c>
      <c r="Q103" s="32" t="s">
        <v>127</v>
      </c>
    </row>
    <row r="104" customFormat="false" ht="35.05" hidden="false" customHeight="false" outlineLevel="0" collapsed="false">
      <c r="A104" s="32" t="s">
        <v>1095</v>
      </c>
      <c r="B104" s="32" t="s">
        <v>56</v>
      </c>
      <c r="C104" s="32" t="s">
        <v>26</v>
      </c>
      <c r="D104" s="32" t="s">
        <v>1096</v>
      </c>
      <c r="E104" s="32" t="s">
        <v>1097</v>
      </c>
      <c r="F104" s="32" t="s">
        <v>633</v>
      </c>
      <c r="G104" s="32" t="s">
        <v>146</v>
      </c>
      <c r="H104" s="32" t="s">
        <v>1091</v>
      </c>
      <c r="I104" s="32" t="s">
        <v>1081</v>
      </c>
      <c r="J104" s="32"/>
      <c r="K104" s="32" t="s">
        <v>26</v>
      </c>
      <c r="L104" s="33" t="str">
        <f aca="false">IF(K104="Partly verified","Partly",IF(LEFT(K104,8)="Verified","Yes","No"))</f>
        <v>No</v>
      </c>
      <c r="M104" s="32" t="s">
        <v>1098</v>
      </c>
      <c r="N104" s="32" t="s">
        <v>1099</v>
      </c>
      <c r="O104" s="32" t="s">
        <v>1100</v>
      </c>
      <c r="P104" s="32" t="s">
        <v>1044</v>
      </c>
      <c r="Q104" s="32" t="s">
        <v>127</v>
      </c>
    </row>
    <row r="105" customFormat="false" ht="46.25" hidden="false" customHeight="false" outlineLevel="0" collapsed="false">
      <c r="A105" s="32" t="s">
        <v>1101</v>
      </c>
      <c r="B105" s="32" t="s">
        <v>56</v>
      </c>
      <c r="C105" s="32" t="s">
        <v>26</v>
      </c>
      <c r="D105" s="32" t="s">
        <v>1102</v>
      </c>
      <c r="E105" s="32" t="s">
        <v>1103</v>
      </c>
      <c r="F105" s="32" t="s">
        <v>699</v>
      </c>
      <c r="G105" s="32" t="s">
        <v>146</v>
      </c>
      <c r="H105" s="32" t="s">
        <v>1104</v>
      </c>
      <c r="I105" s="32" t="s">
        <v>1105</v>
      </c>
      <c r="J105" s="32"/>
      <c r="K105" s="32" t="s">
        <v>26</v>
      </c>
      <c r="L105" s="33" t="str">
        <f aca="false">IF(K105="Partly verified","Partly",IF(LEFT(K105,8)="Verified","Yes","No"))</f>
        <v>No</v>
      </c>
      <c r="M105" s="32" t="s">
        <v>1106</v>
      </c>
      <c r="N105" s="32" t="s">
        <v>1107</v>
      </c>
      <c r="O105" s="32" t="s">
        <v>1108</v>
      </c>
      <c r="P105" s="32" t="s">
        <v>1044</v>
      </c>
      <c r="Q105" s="32" t="s">
        <v>127</v>
      </c>
    </row>
    <row r="106" customFormat="false" ht="68.65" hidden="false" customHeight="false" outlineLevel="0" collapsed="false">
      <c r="A106" s="32" t="s">
        <v>1109</v>
      </c>
      <c r="B106" s="32" t="s">
        <v>56</v>
      </c>
      <c r="C106" s="32" t="s">
        <v>353</v>
      </c>
      <c r="D106" s="32" t="s">
        <v>1110</v>
      </c>
      <c r="E106" s="32" t="s">
        <v>1111</v>
      </c>
      <c r="F106" s="32" t="s">
        <v>1112</v>
      </c>
      <c r="G106" s="32" t="s">
        <v>1113</v>
      </c>
      <c r="H106" s="32" t="s">
        <v>158</v>
      </c>
      <c r="I106" s="32" t="s">
        <v>1114</v>
      </c>
      <c r="J106" s="32"/>
      <c r="K106" s="32" t="s">
        <v>22</v>
      </c>
      <c r="L106" s="33" t="str">
        <f aca="false">IF(K106="Partly verified","Partly",IF(LEFT(K106,8)="Verified","Yes","No"))</f>
        <v>No</v>
      </c>
      <c r="M106" s="32" t="s">
        <v>1115</v>
      </c>
      <c r="N106" s="32" t="s">
        <v>1116</v>
      </c>
      <c r="O106" s="32" t="s">
        <v>1117</v>
      </c>
      <c r="P106" s="32" t="s">
        <v>1118</v>
      </c>
      <c r="Q106" s="32" t="s">
        <v>1119</v>
      </c>
    </row>
    <row r="107" customFormat="false" ht="35.05" hidden="false" customHeight="false" outlineLevel="0" collapsed="false">
      <c r="A107" s="32" t="s">
        <v>1120</v>
      </c>
      <c r="B107" s="32" t="s">
        <v>56</v>
      </c>
      <c r="C107" s="32" t="s">
        <v>1087</v>
      </c>
      <c r="D107" s="32" t="s">
        <v>1121</v>
      </c>
      <c r="E107" s="32" t="s">
        <v>1122</v>
      </c>
      <c r="F107" s="32" t="s">
        <v>1123</v>
      </c>
      <c r="G107" s="32" t="s">
        <v>146</v>
      </c>
      <c r="H107" s="32" t="s">
        <v>1124</v>
      </c>
      <c r="I107" s="32" t="s">
        <v>1125</v>
      </c>
      <c r="J107" s="32"/>
      <c r="K107" s="32" t="s">
        <v>24</v>
      </c>
      <c r="L107" s="33" t="str">
        <f aca="false">IF(K107="Partly verified","Partly",IF(LEFT(K107,8)="Verified","Yes","No"))</f>
        <v>No</v>
      </c>
      <c r="M107" s="32"/>
      <c r="N107" s="32" t="s">
        <v>1126</v>
      </c>
      <c r="O107" s="32" t="s">
        <v>1127</v>
      </c>
      <c r="P107" s="32" t="s">
        <v>1128</v>
      </c>
      <c r="Q107" s="32" t="s">
        <v>127</v>
      </c>
    </row>
    <row r="108" customFormat="false" ht="46.25" hidden="false" customHeight="false" outlineLevel="0" collapsed="false">
      <c r="A108" s="32" t="s">
        <v>1129</v>
      </c>
      <c r="B108" s="32" t="s">
        <v>56</v>
      </c>
      <c r="C108" s="32" t="s">
        <v>26</v>
      </c>
      <c r="D108" s="32" t="s">
        <v>1130</v>
      </c>
      <c r="E108" s="32" t="s">
        <v>1131</v>
      </c>
      <c r="F108" s="32" t="s">
        <v>1132</v>
      </c>
      <c r="G108" s="32" t="s">
        <v>1133</v>
      </c>
      <c r="H108" s="32" t="s">
        <v>1134</v>
      </c>
      <c r="I108" s="32" t="s">
        <v>1135</v>
      </c>
      <c r="J108" s="32"/>
      <c r="K108" s="32" t="s">
        <v>26</v>
      </c>
      <c r="L108" s="33" t="str">
        <f aca="false">IF(K108="Partly verified","Partly",IF(LEFT(K108,8)="Verified","Yes","No"))</f>
        <v>No</v>
      </c>
      <c r="M108" s="32" t="s">
        <v>1136</v>
      </c>
      <c r="N108" s="32" t="s">
        <v>1137</v>
      </c>
      <c r="O108" s="32" t="s">
        <v>1138</v>
      </c>
      <c r="P108" s="32" t="s">
        <v>1139</v>
      </c>
      <c r="Q108" s="32" t="s">
        <v>127</v>
      </c>
    </row>
    <row r="109" customFormat="false" ht="57.45" hidden="false" customHeight="false" outlineLevel="0" collapsed="false">
      <c r="A109" s="32" t="s">
        <v>1140</v>
      </c>
      <c r="B109" s="32" t="s">
        <v>56</v>
      </c>
      <c r="C109" s="32" t="s">
        <v>1141</v>
      </c>
      <c r="D109" s="32" t="s">
        <v>1142</v>
      </c>
      <c r="E109" s="32" t="s">
        <v>1143</v>
      </c>
      <c r="F109" s="32" t="s">
        <v>258</v>
      </c>
      <c r="G109" s="32" t="s">
        <v>146</v>
      </c>
      <c r="H109" s="32" t="s">
        <v>1010</v>
      </c>
      <c r="I109" s="32" t="s">
        <v>1144</v>
      </c>
      <c r="J109" s="32"/>
      <c r="K109" s="32" t="s">
        <v>20</v>
      </c>
      <c r="L109" s="33" t="str">
        <f aca="false">IF(K109="Partly verified","Partly",IF(LEFT(K109,8)="Verified","Yes","No"))</f>
        <v>Partly</v>
      </c>
      <c r="M109" s="32" t="s">
        <v>1145</v>
      </c>
      <c r="N109" s="32" t="s">
        <v>1146</v>
      </c>
      <c r="O109" s="32" t="s">
        <v>1147</v>
      </c>
      <c r="P109" s="32" t="s">
        <v>1044</v>
      </c>
      <c r="Q109" s="32" t="s">
        <v>1148</v>
      </c>
    </row>
    <row r="110" customFormat="false" ht="35.05" hidden="false" customHeight="false" outlineLevel="0" collapsed="false">
      <c r="A110" s="32" t="s">
        <v>1149</v>
      </c>
      <c r="B110" s="32" t="s">
        <v>56</v>
      </c>
      <c r="C110" s="32" t="s">
        <v>1087</v>
      </c>
      <c r="D110" s="32" t="s">
        <v>1150</v>
      </c>
      <c r="E110" s="32" t="s">
        <v>1151</v>
      </c>
      <c r="F110" s="32" t="s">
        <v>1049</v>
      </c>
      <c r="G110" s="32" t="s">
        <v>722</v>
      </c>
      <c r="H110" s="32" t="s">
        <v>1134</v>
      </c>
      <c r="I110" s="32" t="s">
        <v>1152</v>
      </c>
      <c r="J110" s="32"/>
      <c r="K110" s="32" t="s">
        <v>24</v>
      </c>
      <c r="L110" s="33" t="str">
        <f aca="false">IF(K110="Partly verified","Partly",IF(LEFT(K110,8)="Verified","Yes","No"))</f>
        <v>No</v>
      </c>
      <c r="M110" s="32" t="s">
        <v>1153</v>
      </c>
      <c r="N110" s="32" t="s">
        <v>1154</v>
      </c>
      <c r="O110" s="32" t="s">
        <v>1155</v>
      </c>
      <c r="P110" s="32" t="s">
        <v>1156</v>
      </c>
      <c r="Q110" s="32" t="s">
        <v>1157</v>
      </c>
    </row>
    <row r="111" customFormat="false" ht="46.25" hidden="false" customHeight="false" outlineLevel="0" collapsed="false">
      <c r="A111" s="32" t="s">
        <v>1158</v>
      </c>
      <c r="B111" s="32" t="s">
        <v>56</v>
      </c>
      <c r="C111" s="32" t="s">
        <v>1087</v>
      </c>
      <c r="D111" s="32" t="s">
        <v>1159</v>
      </c>
      <c r="E111" s="32" t="s">
        <v>1160</v>
      </c>
      <c r="F111" s="32" t="s">
        <v>1161</v>
      </c>
      <c r="G111" s="32" t="s">
        <v>146</v>
      </c>
      <c r="H111" s="32" t="s">
        <v>108</v>
      </c>
      <c r="I111" s="32" t="s">
        <v>1162</v>
      </c>
      <c r="J111" s="32"/>
      <c r="K111" s="32" t="s">
        <v>24</v>
      </c>
      <c r="L111" s="33" t="str">
        <f aca="false">IF(K111="Partly verified","Partly",IF(LEFT(K111,8)="Verified","Yes","No"))</f>
        <v>No</v>
      </c>
      <c r="M111" s="32"/>
      <c r="N111" s="32" t="s">
        <v>1163</v>
      </c>
      <c r="O111" s="32" t="s">
        <v>1164</v>
      </c>
      <c r="P111" s="32" t="s">
        <v>1165</v>
      </c>
      <c r="Q111" s="32" t="s">
        <v>127</v>
      </c>
    </row>
    <row r="112" customFormat="false" ht="46.25" hidden="false" customHeight="false" outlineLevel="0" collapsed="false">
      <c r="A112" s="32" t="s">
        <v>1166</v>
      </c>
      <c r="B112" s="32" t="s">
        <v>56</v>
      </c>
      <c r="C112" s="32" t="s">
        <v>1167</v>
      </c>
      <c r="D112" s="32" t="s">
        <v>1168</v>
      </c>
      <c r="E112" s="32" t="s">
        <v>1169</v>
      </c>
      <c r="F112" s="32" t="s">
        <v>1170</v>
      </c>
      <c r="G112" s="32" t="s">
        <v>517</v>
      </c>
      <c r="H112" s="32" t="s">
        <v>158</v>
      </c>
      <c r="I112" s="32" t="s">
        <v>1171</v>
      </c>
      <c r="J112" s="32"/>
      <c r="K112" s="32" t="s">
        <v>22</v>
      </c>
      <c r="L112" s="33" t="str">
        <f aca="false">IF(K112="Partly verified","Partly",IF(LEFT(K112,8)="Verified","Yes","No"))</f>
        <v>No</v>
      </c>
      <c r="M112" s="32"/>
      <c r="N112" s="32" t="s">
        <v>1172</v>
      </c>
      <c r="O112" s="32" t="s">
        <v>1173</v>
      </c>
      <c r="P112" s="32" t="s">
        <v>1174</v>
      </c>
      <c r="Q112" s="32" t="s">
        <v>127</v>
      </c>
    </row>
    <row r="113" customFormat="false" ht="46.25" hidden="false" customHeight="false" outlineLevel="0" collapsed="false">
      <c r="A113" s="32" t="s">
        <v>1175</v>
      </c>
      <c r="B113" s="32" t="s">
        <v>57</v>
      </c>
      <c r="C113" s="32" t="s">
        <v>1176</v>
      </c>
      <c r="D113" s="32" t="s">
        <v>1177</v>
      </c>
      <c r="E113" s="32" t="s">
        <v>1178</v>
      </c>
      <c r="F113" s="32" t="s">
        <v>1179</v>
      </c>
      <c r="G113" s="32" t="s">
        <v>1180</v>
      </c>
      <c r="H113" s="32" t="s">
        <v>762</v>
      </c>
      <c r="I113" s="32" t="s">
        <v>1181</v>
      </c>
      <c r="J113" s="34" t="s">
        <v>193</v>
      </c>
      <c r="K113" s="32" t="s">
        <v>16</v>
      </c>
      <c r="L113" s="33" t="str">
        <f aca="false">IF(K113="Partly verified","Partly",IF(LEFT(K113,8)="Verified","Yes","No"))</f>
        <v>Yes</v>
      </c>
      <c r="M113" s="32" t="s">
        <v>1182</v>
      </c>
      <c r="N113" s="32" t="s">
        <v>1183</v>
      </c>
      <c r="O113" s="32" t="s">
        <v>1184</v>
      </c>
      <c r="P113" s="32" t="s">
        <v>1185</v>
      </c>
      <c r="Q113" s="32" t="s">
        <v>1186</v>
      </c>
    </row>
    <row r="114" customFormat="false" ht="46.25" hidden="false" customHeight="false" outlineLevel="0" collapsed="false">
      <c r="A114" s="32" t="s">
        <v>1187</v>
      </c>
      <c r="B114" s="32" t="s">
        <v>57</v>
      </c>
      <c r="C114" s="32" t="s">
        <v>265</v>
      </c>
      <c r="D114" s="32" t="s">
        <v>1188</v>
      </c>
      <c r="E114" s="32" t="s">
        <v>1189</v>
      </c>
      <c r="F114" s="32" t="s">
        <v>575</v>
      </c>
      <c r="G114" s="32" t="s">
        <v>215</v>
      </c>
      <c r="H114" s="32" t="s">
        <v>108</v>
      </c>
      <c r="I114" s="32" t="s">
        <v>1190</v>
      </c>
      <c r="J114" s="32"/>
      <c r="K114" s="32" t="s">
        <v>24</v>
      </c>
      <c r="L114" s="33" t="str">
        <f aca="false">IF(K114="Partly verified","Partly",IF(LEFT(K114,8)="Verified","Yes","No"))</f>
        <v>No</v>
      </c>
      <c r="M114" s="32" t="s">
        <v>1191</v>
      </c>
      <c r="N114" s="32" t="s">
        <v>1192</v>
      </c>
      <c r="O114" s="32" t="s">
        <v>1193</v>
      </c>
      <c r="P114" s="32" t="s">
        <v>1194</v>
      </c>
      <c r="Q114" s="32" t="s">
        <v>127</v>
      </c>
    </row>
    <row r="115" customFormat="false" ht="68.65" hidden="false" customHeight="false" outlineLevel="0" collapsed="false">
      <c r="A115" s="32" t="s">
        <v>1195</v>
      </c>
      <c r="B115" s="32" t="s">
        <v>57</v>
      </c>
      <c r="C115" s="32" t="s">
        <v>1196</v>
      </c>
      <c r="D115" s="32" t="s">
        <v>1197</v>
      </c>
      <c r="E115" s="32" t="s">
        <v>1198</v>
      </c>
      <c r="F115" s="32" t="s">
        <v>1199</v>
      </c>
      <c r="G115" s="32" t="s">
        <v>82</v>
      </c>
      <c r="H115" s="32" t="s">
        <v>584</v>
      </c>
      <c r="I115" s="32" t="s">
        <v>1200</v>
      </c>
      <c r="J115" s="34" t="s">
        <v>193</v>
      </c>
      <c r="K115" s="32" t="s">
        <v>16</v>
      </c>
      <c r="L115" s="33" t="str">
        <f aca="false">IF(K115="Partly verified","Partly",IF(LEFT(K115,8)="Verified","Yes","No"))</f>
        <v>Yes</v>
      </c>
      <c r="M115" s="32" t="s">
        <v>1201</v>
      </c>
      <c r="N115" s="32" t="s">
        <v>1202</v>
      </c>
      <c r="O115" s="32" t="s">
        <v>1203</v>
      </c>
      <c r="P115" s="32" t="s">
        <v>1204</v>
      </c>
      <c r="Q115" s="32" t="s">
        <v>127</v>
      </c>
    </row>
    <row r="116" customFormat="false" ht="46.25" hidden="false" customHeight="false" outlineLevel="0" collapsed="false">
      <c r="A116" s="32" t="s">
        <v>1205</v>
      </c>
      <c r="B116" s="32" t="s">
        <v>57</v>
      </c>
      <c r="C116" s="32" t="s">
        <v>1206</v>
      </c>
      <c r="D116" s="32" t="s">
        <v>1207</v>
      </c>
      <c r="E116" s="32" t="s">
        <v>1208</v>
      </c>
      <c r="F116" s="32" t="s">
        <v>258</v>
      </c>
      <c r="G116" s="32" t="s">
        <v>146</v>
      </c>
      <c r="H116" s="32" t="s">
        <v>158</v>
      </c>
      <c r="I116" s="32" t="s">
        <v>1209</v>
      </c>
      <c r="J116" s="34" t="s">
        <v>193</v>
      </c>
      <c r="K116" s="32" t="s">
        <v>20</v>
      </c>
      <c r="L116" s="33" t="str">
        <f aca="false">IF(K116="Partly verified","Partly",IF(LEFT(K116,8)="Verified","Yes","No"))</f>
        <v>Partly</v>
      </c>
      <c r="M116" s="32" t="s">
        <v>1210</v>
      </c>
      <c r="N116" s="32" t="s">
        <v>1211</v>
      </c>
      <c r="O116" s="32" t="s">
        <v>1212</v>
      </c>
      <c r="P116" s="32" t="s">
        <v>1213</v>
      </c>
      <c r="Q116" s="32" t="s">
        <v>127</v>
      </c>
    </row>
    <row r="117" customFormat="false" ht="57.45" hidden="false" customHeight="false" outlineLevel="0" collapsed="false">
      <c r="A117" s="32" t="s">
        <v>1214</v>
      </c>
      <c r="B117" s="32" t="s">
        <v>57</v>
      </c>
      <c r="C117" s="32" t="s">
        <v>1215</v>
      </c>
      <c r="D117" s="32" t="s">
        <v>1216</v>
      </c>
      <c r="E117" s="32" t="s">
        <v>1217</v>
      </c>
      <c r="F117" s="32" t="s">
        <v>1218</v>
      </c>
      <c r="G117" s="32" t="s">
        <v>1219</v>
      </c>
      <c r="H117" s="32" t="s">
        <v>1220</v>
      </c>
      <c r="I117" s="32" t="s">
        <v>1221</v>
      </c>
      <c r="J117" s="34" t="s">
        <v>193</v>
      </c>
      <c r="K117" s="32" t="s">
        <v>20</v>
      </c>
      <c r="L117" s="33" t="str">
        <f aca="false">IF(K117="Partly verified","Partly",IF(LEFT(K117,8)="Verified","Yes","No"))</f>
        <v>Partly</v>
      </c>
      <c r="M117" s="32" t="s">
        <v>1222</v>
      </c>
      <c r="N117" s="32" t="s">
        <v>1223</v>
      </c>
      <c r="O117" s="32" t="s">
        <v>1224</v>
      </c>
      <c r="P117" s="32" t="s">
        <v>1225</v>
      </c>
      <c r="Q117" s="32" t="s">
        <v>127</v>
      </c>
    </row>
    <row r="118" customFormat="false" ht="35.05" hidden="false" customHeight="false" outlineLevel="0" collapsed="false">
      <c r="A118" s="32" t="s">
        <v>1226</v>
      </c>
      <c r="B118" s="32" t="s">
        <v>57</v>
      </c>
      <c r="C118" s="32" t="s">
        <v>1215</v>
      </c>
      <c r="D118" s="32" t="s">
        <v>1227</v>
      </c>
      <c r="E118" s="32" t="s">
        <v>1228</v>
      </c>
      <c r="F118" s="32" t="s">
        <v>1229</v>
      </c>
      <c r="G118" s="32" t="s">
        <v>146</v>
      </c>
      <c r="H118" s="32" t="s">
        <v>1230</v>
      </c>
      <c r="I118" s="32" t="s">
        <v>1231</v>
      </c>
      <c r="J118" s="34" t="s">
        <v>193</v>
      </c>
      <c r="K118" s="32" t="s">
        <v>16</v>
      </c>
      <c r="L118" s="33" t="str">
        <f aca="false">IF(K118="Partly verified","Partly",IF(LEFT(K118,8)="Verified","Yes","No"))</f>
        <v>Yes</v>
      </c>
      <c r="M118" s="32"/>
      <c r="N118" s="32" t="s">
        <v>1232</v>
      </c>
      <c r="O118" s="32" t="s">
        <v>1233</v>
      </c>
      <c r="P118" s="32" t="s">
        <v>1234</v>
      </c>
      <c r="Q118" s="32" t="s">
        <v>1235</v>
      </c>
    </row>
    <row r="119" customFormat="false" ht="35.05" hidden="false" customHeight="false" outlineLevel="0" collapsed="false">
      <c r="A119" s="32" t="s">
        <v>1236</v>
      </c>
      <c r="B119" s="32" t="s">
        <v>57</v>
      </c>
      <c r="C119" s="32" t="s">
        <v>1237</v>
      </c>
      <c r="D119" s="32" t="s">
        <v>1238</v>
      </c>
      <c r="E119" s="32" t="s">
        <v>1239</v>
      </c>
      <c r="F119" s="32" t="s">
        <v>1240</v>
      </c>
      <c r="G119" s="32" t="s">
        <v>1241</v>
      </c>
      <c r="H119" s="32" t="s">
        <v>1242</v>
      </c>
      <c r="I119" s="32" t="s">
        <v>1243</v>
      </c>
      <c r="J119" s="34" t="s">
        <v>193</v>
      </c>
      <c r="K119" s="32" t="s">
        <v>20</v>
      </c>
      <c r="L119" s="33" t="str">
        <f aca="false">IF(K119="Partly verified","Partly",IF(LEFT(K119,8)="Verified","Yes","No"))</f>
        <v>Partly</v>
      </c>
      <c r="M119" s="32" t="s">
        <v>1244</v>
      </c>
      <c r="N119" s="32" t="s">
        <v>1245</v>
      </c>
      <c r="O119" s="32" t="s">
        <v>1246</v>
      </c>
      <c r="P119" s="32" t="s">
        <v>1234</v>
      </c>
      <c r="Q119" s="32" t="s">
        <v>1247</v>
      </c>
    </row>
    <row r="120" customFormat="false" ht="46.25" hidden="false" customHeight="false" outlineLevel="0" collapsed="false">
      <c r="A120" s="32" t="s">
        <v>1248</v>
      </c>
      <c r="B120" s="32" t="s">
        <v>57</v>
      </c>
      <c r="C120" s="32" t="s">
        <v>26</v>
      </c>
      <c r="D120" s="32" t="s">
        <v>1249</v>
      </c>
      <c r="E120" s="32" t="s">
        <v>1250</v>
      </c>
      <c r="F120" s="32" t="s">
        <v>575</v>
      </c>
      <c r="G120" s="32" t="s">
        <v>1251</v>
      </c>
      <c r="H120" s="32" t="s">
        <v>403</v>
      </c>
      <c r="I120" s="32" t="s">
        <v>1252</v>
      </c>
      <c r="J120" s="32"/>
      <c r="K120" s="32" t="s">
        <v>26</v>
      </c>
      <c r="L120" s="33" t="str">
        <f aca="false">IF(K120="Partly verified","Partly",IF(LEFT(K120,8)="Verified","Yes","No"))</f>
        <v>No</v>
      </c>
      <c r="M120" s="32" t="s">
        <v>1253</v>
      </c>
      <c r="N120" s="32" t="s">
        <v>1254</v>
      </c>
      <c r="O120" s="32" t="s">
        <v>1255</v>
      </c>
      <c r="P120" s="32" t="s">
        <v>1256</v>
      </c>
      <c r="Q120" s="32" t="s">
        <v>1257</v>
      </c>
    </row>
    <row r="121" customFormat="false" ht="23.85" hidden="false" customHeight="false" outlineLevel="0" collapsed="false">
      <c r="A121" s="32" t="s">
        <v>1258</v>
      </c>
      <c r="B121" s="32" t="s">
        <v>57</v>
      </c>
      <c r="C121" s="32" t="s">
        <v>1259</v>
      </c>
      <c r="D121" s="32" t="s">
        <v>1260</v>
      </c>
      <c r="E121" s="32" t="s">
        <v>1261</v>
      </c>
      <c r="F121" s="32" t="s">
        <v>1262</v>
      </c>
      <c r="G121" s="32" t="s">
        <v>82</v>
      </c>
      <c r="H121" s="32" t="s">
        <v>1263</v>
      </c>
      <c r="I121" s="32" t="s">
        <v>1264</v>
      </c>
      <c r="J121" s="34" t="s">
        <v>193</v>
      </c>
      <c r="K121" s="32" t="s">
        <v>20</v>
      </c>
      <c r="L121" s="33" t="str">
        <f aca="false">IF(K121="Partly verified","Partly",IF(LEFT(K121,8)="Verified","Yes","No"))</f>
        <v>Partly</v>
      </c>
      <c r="M121" s="32" t="s">
        <v>1265</v>
      </c>
      <c r="N121" s="32" t="s">
        <v>1266</v>
      </c>
      <c r="O121" s="32" t="s">
        <v>1267</v>
      </c>
      <c r="P121" s="32" t="s">
        <v>1268</v>
      </c>
      <c r="Q121" s="32" t="s">
        <v>127</v>
      </c>
    </row>
    <row r="122" customFormat="false" ht="46.25" hidden="false" customHeight="false" outlineLevel="0" collapsed="false">
      <c r="A122" s="32" t="s">
        <v>1269</v>
      </c>
      <c r="B122" s="32" t="s">
        <v>57</v>
      </c>
      <c r="C122" s="32" t="s">
        <v>1270</v>
      </c>
      <c r="D122" s="32" t="s">
        <v>1271</v>
      </c>
      <c r="E122" s="32" t="s">
        <v>1272</v>
      </c>
      <c r="F122" s="32" t="s">
        <v>1199</v>
      </c>
      <c r="G122" s="32" t="s">
        <v>146</v>
      </c>
      <c r="H122" s="32" t="s">
        <v>108</v>
      </c>
      <c r="I122" s="32" t="s">
        <v>1273</v>
      </c>
      <c r="J122" s="32"/>
      <c r="K122" s="32" t="s">
        <v>24</v>
      </c>
      <c r="L122" s="33" t="str">
        <f aca="false">IF(K122="Partly verified","Partly",IF(LEFT(K122,8)="Verified","Yes","No"))</f>
        <v>No</v>
      </c>
      <c r="M122" s="32"/>
      <c r="N122" s="32" t="s">
        <v>1274</v>
      </c>
      <c r="O122" s="32" t="s">
        <v>1275</v>
      </c>
      <c r="P122" s="32" t="s">
        <v>1276</v>
      </c>
      <c r="Q122" s="32" t="s">
        <v>1277</v>
      </c>
    </row>
    <row r="123" customFormat="false" ht="57.45" hidden="false" customHeight="false" outlineLevel="0" collapsed="false">
      <c r="A123" s="32" t="s">
        <v>1278</v>
      </c>
      <c r="B123" s="32" t="s">
        <v>57</v>
      </c>
      <c r="C123" s="32" t="s">
        <v>333</v>
      </c>
      <c r="D123" s="32" t="s">
        <v>1279</v>
      </c>
      <c r="E123" s="32" t="s">
        <v>1280</v>
      </c>
      <c r="F123" s="32" t="s">
        <v>1281</v>
      </c>
      <c r="G123" s="32" t="s">
        <v>1113</v>
      </c>
      <c r="H123" s="32" t="s">
        <v>108</v>
      </c>
      <c r="I123" s="32" t="s">
        <v>1282</v>
      </c>
      <c r="J123" s="32"/>
      <c r="K123" s="32" t="s">
        <v>24</v>
      </c>
      <c r="L123" s="33" t="str">
        <f aca="false">IF(K123="Partly verified","Partly",IF(LEFT(K123,8)="Verified","Yes","No"))</f>
        <v>No</v>
      </c>
      <c r="M123" s="32" t="s">
        <v>1283</v>
      </c>
      <c r="N123" s="32" t="s">
        <v>1284</v>
      </c>
      <c r="O123" s="32" t="s">
        <v>1285</v>
      </c>
      <c r="P123" s="32" t="s">
        <v>1286</v>
      </c>
      <c r="Q123" s="32" t="s">
        <v>1287</v>
      </c>
    </row>
    <row r="124" customFormat="false" ht="46.25" hidden="false" customHeight="false" outlineLevel="0" collapsed="false">
      <c r="A124" s="32" t="s">
        <v>1288</v>
      </c>
      <c r="B124" s="32" t="s">
        <v>57</v>
      </c>
      <c r="C124" s="32" t="s">
        <v>1289</v>
      </c>
      <c r="D124" s="32" t="s">
        <v>1290</v>
      </c>
      <c r="E124" s="32" t="s">
        <v>1291</v>
      </c>
      <c r="F124" s="32" t="s">
        <v>1292</v>
      </c>
      <c r="G124" s="32" t="s">
        <v>1293</v>
      </c>
      <c r="H124" s="32" t="s">
        <v>108</v>
      </c>
      <c r="I124" s="32" t="s">
        <v>1294</v>
      </c>
      <c r="J124" s="32"/>
      <c r="K124" s="32" t="s">
        <v>26</v>
      </c>
      <c r="L124" s="33" t="str">
        <f aca="false">IF(K124="Partly verified","Partly",IF(LEFT(K124,8)="Verified","Yes","No"))</f>
        <v>No</v>
      </c>
      <c r="M124" s="32" t="s">
        <v>1295</v>
      </c>
      <c r="N124" s="32" t="s">
        <v>1296</v>
      </c>
      <c r="O124" s="32" t="s">
        <v>1297</v>
      </c>
      <c r="P124" s="32" t="s">
        <v>1298</v>
      </c>
      <c r="Q124" s="32" t="s">
        <v>1299</v>
      </c>
    </row>
    <row r="125" customFormat="false" ht="46.25" hidden="false" customHeight="false" outlineLevel="0" collapsed="false">
      <c r="A125" s="32" t="s">
        <v>1300</v>
      </c>
      <c r="B125" s="32" t="s">
        <v>57</v>
      </c>
      <c r="C125" s="32" t="s">
        <v>1301</v>
      </c>
      <c r="D125" s="32" t="s">
        <v>1302</v>
      </c>
      <c r="E125" s="32" t="s">
        <v>1303</v>
      </c>
      <c r="F125" s="32" t="s">
        <v>1304</v>
      </c>
      <c r="G125" s="32" t="s">
        <v>1305</v>
      </c>
      <c r="H125" s="32" t="s">
        <v>369</v>
      </c>
      <c r="I125" s="32" t="s">
        <v>1306</v>
      </c>
      <c r="J125" s="34" t="s">
        <v>193</v>
      </c>
      <c r="K125" s="32" t="s">
        <v>16</v>
      </c>
      <c r="L125" s="33" t="str">
        <f aca="false">IF(K125="Partly verified","Partly",IF(LEFT(K125,8)="Verified","Yes","No"))</f>
        <v>Yes</v>
      </c>
      <c r="M125" s="32"/>
      <c r="N125" s="32" t="s">
        <v>1307</v>
      </c>
      <c r="O125" s="32" t="s">
        <v>1308</v>
      </c>
      <c r="P125" s="32" t="s">
        <v>1309</v>
      </c>
      <c r="Q125" s="32" t="s">
        <v>127</v>
      </c>
    </row>
    <row r="126" customFormat="false" ht="57.45" hidden="false" customHeight="false" outlineLevel="0" collapsed="false">
      <c r="A126" s="32" t="s">
        <v>1310</v>
      </c>
      <c r="B126" s="32" t="s">
        <v>57</v>
      </c>
      <c r="C126" s="32" t="s">
        <v>1311</v>
      </c>
      <c r="D126" s="32" t="s">
        <v>1312</v>
      </c>
      <c r="E126" s="32" t="s">
        <v>1313</v>
      </c>
      <c r="F126" s="32" t="s">
        <v>1314</v>
      </c>
      <c r="G126" s="32" t="s">
        <v>1315</v>
      </c>
      <c r="H126" s="32" t="s">
        <v>1316</v>
      </c>
      <c r="I126" s="32" t="s">
        <v>1317</v>
      </c>
      <c r="J126" s="34" t="s">
        <v>193</v>
      </c>
      <c r="K126" s="32" t="s">
        <v>26</v>
      </c>
      <c r="L126" s="33" t="str">
        <f aca="false">IF(K126="Partly verified","Partly",IF(LEFT(K126,8)="Verified","Yes","No"))</f>
        <v>No</v>
      </c>
      <c r="M126" s="32" t="s">
        <v>1318</v>
      </c>
      <c r="N126" s="32" t="s">
        <v>1319</v>
      </c>
      <c r="O126" s="32" t="s">
        <v>1320</v>
      </c>
      <c r="P126" s="32" t="s">
        <v>1321</v>
      </c>
      <c r="Q126" s="32" t="s">
        <v>1322</v>
      </c>
    </row>
    <row r="127" customFormat="false" ht="79.85" hidden="false" customHeight="false" outlineLevel="0" collapsed="false">
      <c r="A127" s="32" t="s">
        <v>1323</v>
      </c>
      <c r="B127" s="32" t="s">
        <v>57</v>
      </c>
      <c r="C127" s="32" t="s">
        <v>718</v>
      </c>
      <c r="D127" s="32" t="s">
        <v>1324</v>
      </c>
      <c r="E127" s="32" t="s">
        <v>1325</v>
      </c>
      <c r="F127" s="32" t="s">
        <v>1326</v>
      </c>
      <c r="G127" s="32" t="s">
        <v>1327</v>
      </c>
      <c r="H127" s="32" t="s">
        <v>1328</v>
      </c>
      <c r="I127" s="32" t="s">
        <v>1329</v>
      </c>
      <c r="J127" s="34" t="s">
        <v>193</v>
      </c>
      <c r="K127" s="32" t="s">
        <v>20</v>
      </c>
      <c r="L127" s="33" t="str">
        <f aca="false">IF(K127="Partly verified","Partly",IF(LEFT(K127,8)="Verified","Yes","No"))</f>
        <v>Partly</v>
      </c>
      <c r="M127" s="32" t="s">
        <v>1330</v>
      </c>
      <c r="N127" s="32" t="s">
        <v>1331</v>
      </c>
      <c r="O127" s="32" t="s">
        <v>1332</v>
      </c>
      <c r="P127" s="32" t="s">
        <v>1333</v>
      </c>
      <c r="Q127" s="32" t="s">
        <v>1334</v>
      </c>
    </row>
    <row r="128" customFormat="false" ht="91" hidden="false" customHeight="false" outlineLevel="0" collapsed="false">
      <c r="A128" s="32" t="s">
        <v>1335</v>
      </c>
      <c r="B128" s="32" t="s">
        <v>57</v>
      </c>
      <c r="C128" s="32" t="s">
        <v>1336</v>
      </c>
      <c r="D128" s="32" t="s">
        <v>1337</v>
      </c>
      <c r="E128" s="32" t="s">
        <v>1338</v>
      </c>
      <c r="F128" s="32" t="s">
        <v>772</v>
      </c>
      <c r="G128" s="32" t="s">
        <v>1339</v>
      </c>
      <c r="H128" s="32" t="s">
        <v>1340</v>
      </c>
      <c r="I128" s="32" t="s">
        <v>1341</v>
      </c>
      <c r="J128" s="34" t="s">
        <v>193</v>
      </c>
      <c r="K128" s="32" t="s">
        <v>20</v>
      </c>
      <c r="L128" s="33" t="str">
        <f aca="false">IF(K128="Partly verified","Partly",IF(LEFT(K128,8)="Verified","Yes","No"))</f>
        <v>Partly</v>
      </c>
      <c r="M128" s="32" t="s">
        <v>1342</v>
      </c>
      <c r="N128" s="32" t="s">
        <v>1343</v>
      </c>
      <c r="O128" s="32" t="s">
        <v>1344</v>
      </c>
      <c r="P128" s="32" t="s">
        <v>1345</v>
      </c>
      <c r="Q128" s="32" t="s">
        <v>127</v>
      </c>
    </row>
    <row r="129" customFormat="false" ht="35.05" hidden="false" customHeight="false" outlineLevel="0" collapsed="false">
      <c r="A129" s="32" t="s">
        <v>1346</v>
      </c>
      <c r="B129" s="32" t="s">
        <v>57</v>
      </c>
      <c r="C129" s="32" t="s">
        <v>410</v>
      </c>
      <c r="D129" s="32" t="s">
        <v>1347</v>
      </c>
      <c r="E129" s="32" t="s">
        <v>1348</v>
      </c>
      <c r="F129" s="32" t="s">
        <v>1349</v>
      </c>
      <c r="G129" s="32" t="s">
        <v>146</v>
      </c>
      <c r="H129" s="32" t="s">
        <v>108</v>
      </c>
      <c r="I129" s="32" t="s">
        <v>1350</v>
      </c>
      <c r="J129" s="32"/>
      <c r="K129" s="32" t="s">
        <v>24</v>
      </c>
      <c r="L129" s="33" t="str">
        <f aca="false">IF(K129="Partly verified","Partly",IF(LEFT(K129,8)="Verified","Yes","No"))</f>
        <v>No</v>
      </c>
      <c r="M129" s="32"/>
      <c r="N129" s="32" t="s">
        <v>1351</v>
      </c>
      <c r="O129" s="32" t="s">
        <v>1352</v>
      </c>
      <c r="P129" s="32" t="s">
        <v>1353</v>
      </c>
      <c r="Q129" s="32" t="s">
        <v>1354</v>
      </c>
    </row>
    <row r="130" customFormat="false" ht="46.25" hidden="false" customHeight="false" outlineLevel="0" collapsed="false">
      <c r="A130" s="32" t="s">
        <v>1355</v>
      </c>
      <c r="B130" s="32" t="s">
        <v>57</v>
      </c>
      <c r="C130" s="32" t="s">
        <v>1356</v>
      </c>
      <c r="D130" s="32" t="s">
        <v>1357</v>
      </c>
      <c r="E130" s="32" t="s">
        <v>1358</v>
      </c>
      <c r="F130" s="32" t="s">
        <v>1359</v>
      </c>
      <c r="G130" s="32" t="s">
        <v>215</v>
      </c>
      <c r="H130" s="32" t="s">
        <v>108</v>
      </c>
      <c r="I130" s="32" t="s">
        <v>1360</v>
      </c>
      <c r="J130" s="32"/>
      <c r="K130" s="32" t="s">
        <v>24</v>
      </c>
      <c r="L130" s="33" t="str">
        <f aca="false">IF(K130="Partly verified","Partly",IF(LEFT(K130,8)="Verified","Yes","No"))</f>
        <v>No</v>
      </c>
      <c r="M130" s="32"/>
      <c r="N130" s="32" t="s">
        <v>1361</v>
      </c>
      <c r="O130" s="32" t="s">
        <v>1362</v>
      </c>
      <c r="P130" s="32" t="s">
        <v>1363</v>
      </c>
      <c r="Q130" s="32" t="s">
        <v>127</v>
      </c>
    </row>
    <row r="131" customFormat="false" ht="35.05" hidden="false" customHeight="false" outlineLevel="0" collapsed="false">
      <c r="A131" s="32" t="s">
        <v>1364</v>
      </c>
      <c r="B131" s="32" t="s">
        <v>57</v>
      </c>
      <c r="C131" s="32" t="s">
        <v>26</v>
      </c>
      <c r="D131" s="32" t="s">
        <v>1365</v>
      </c>
      <c r="E131" s="32" t="s">
        <v>1366</v>
      </c>
      <c r="F131" s="32" t="s">
        <v>1367</v>
      </c>
      <c r="G131" s="32" t="s">
        <v>146</v>
      </c>
      <c r="H131" s="32" t="s">
        <v>108</v>
      </c>
      <c r="I131" s="32" t="s">
        <v>1368</v>
      </c>
      <c r="J131" s="32"/>
      <c r="K131" s="32" t="s">
        <v>26</v>
      </c>
      <c r="L131" s="33" t="str">
        <f aca="false">IF(K131="Partly verified","Partly",IF(LEFT(K131,8)="Verified","Yes","No"))</f>
        <v>No</v>
      </c>
      <c r="M131" s="32"/>
      <c r="N131" s="32" t="s">
        <v>1369</v>
      </c>
      <c r="O131" s="32" t="s">
        <v>1370</v>
      </c>
      <c r="P131" s="32" t="s">
        <v>1234</v>
      </c>
      <c r="Q131" s="32" t="s">
        <v>127</v>
      </c>
    </row>
    <row r="132" customFormat="false" ht="57.45" hidden="false" customHeight="false" outlineLevel="0" collapsed="false">
      <c r="A132" s="32" t="s">
        <v>1371</v>
      </c>
      <c r="B132" s="32" t="s">
        <v>57</v>
      </c>
      <c r="C132" s="32" t="s">
        <v>26</v>
      </c>
      <c r="D132" s="32" t="s">
        <v>1372</v>
      </c>
      <c r="E132" s="32" t="s">
        <v>1373</v>
      </c>
      <c r="F132" s="32" t="s">
        <v>1374</v>
      </c>
      <c r="G132" s="32" t="s">
        <v>1375</v>
      </c>
      <c r="H132" s="32" t="s">
        <v>108</v>
      </c>
      <c r="I132" s="32" t="s">
        <v>1376</v>
      </c>
      <c r="J132" s="32"/>
      <c r="K132" s="32" t="s">
        <v>26</v>
      </c>
      <c r="L132" s="33" t="str">
        <f aca="false">IF(K132="Partly verified","Partly",IF(LEFT(K132,8)="Verified","Yes","No"))</f>
        <v>No</v>
      </c>
      <c r="M132" s="32"/>
      <c r="N132" s="32" t="s">
        <v>1377</v>
      </c>
      <c r="O132" s="32" t="s">
        <v>1378</v>
      </c>
      <c r="P132" s="32" t="s">
        <v>1379</v>
      </c>
      <c r="Q132" s="32" t="s">
        <v>127</v>
      </c>
    </row>
  </sheetData>
  <autoFilter ref="A4:Q132"/>
  <conditionalFormatting sqref="K5:K132">
    <cfRule type="expression" priority="2" aboveAverage="0" equalAverage="0" bottom="0" percent="0" rank="0" text="" dxfId="10">
      <formula>$K5="Verified"</formula>
    </cfRule>
    <cfRule type="expression" priority="3" aboveAverage="0" equalAverage="0" bottom="0" percent="0" rank="0" text="" dxfId="11">
      <formula>$K5="Verified (secondary source)"</formula>
    </cfRule>
    <cfRule type="expression" priority="4" aboveAverage="0" equalAverage="0" bottom="0" percent="0" rank="0" text="" dxfId="12">
      <formula>$K5="Partly verified"</formula>
    </cfRule>
    <cfRule type="expression" priority="5" aboveAverage="0" equalAverage="0" bottom="0" percent="0" rank="0" text="" dxfId="13">
      <formula>$K5="Reported, not verified"</formula>
    </cfRule>
    <cfRule type="expression" priority="6" aboveAverage="0" equalAverage="0" bottom="0" percent="0" rank="0" text="" dxfId="14">
      <formula>$K5="Estimate / proxy"</formula>
    </cfRule>
    <cfRule type="expression" priority="7" aboveAverage="0" equalAverage="0" bottom="0" percent="0" rank="0" text="" dxfId="15">
      <formula>$K5="Model output"</formula>
    </cfRule>
    <cfRule type="expression" priority="8" aboveAverage="0" equalAverage="0" bottom="0" percent="0" rank="0" text="" dxfId="16">
      <formula>$K5="Unpublished / gap"</formula>
    </cfRule>
  </conditionalFormatting>
  <conditionalFormatting sqref="L5:L132">
    <cfRule type="expression" priority="9" aboveAverage="0" equalAverage="0" bottom="0" percent="0" rank="0" text="" dxfId="10">
      <formula>$L5="Yes"</formula>
    </cfRule>
    <cfRule type="expression" priority="10" aboveAverage="0" equalAverage="0" bottom="0" percent="0" rank="0" text="" dxfId="12">
      <formula>$L5="Partly"</formula>
    </cfRule>
  </conditionalFormatting>
  <dataValidations count="1">
    <dataValidation allowBlank="false" errorStyle="stop" operator="between" showDropDown="false" showErrorMessage="false" showInputMessage="false" sqref="K5:K132" type="list">
      <formula1>"Verified,Verified (secondary source),Partly verified,Reported,not verified,Estimate / proxy,Model output,Unpublished / gap"</formula1>
      <formula2>0</formula2>
    </dataValidation>
  </dataValidations>
  <hyperlinks>
    <hyperlink ref="J14" r:id="rId1" display="Open source"/>
    <hyperlink ref="J15" r:id="rId2" display="Open source"/>
    <hyperlink ref="J17" r:id="rId3" display="Open source"/>
    <hyperlink ref="J18" r:id="rId4" display="Open source"/>
    <hyperlink ref="J29" r:id="rId5" display="Open source"/>
    <hyperlink ref="J48" r:id="rId6" display="Open source"/>
    <hyperlink ref="J53" r:id="rId7" display="Open source"/>
    <hyperlink ref="J55" r:id="rId8" display="Open source"/>
    <hyperlink ref="J71" r:id="rId9" display="Open source"/>
    <hyperlink ref="J79" r:id="rId10" display="Open source"/>
    <hyperlink ref="J101" r:id="rId11" display="Open source"/>
    <hyperlink ref="J113" r:id="rId12" display="Open source"/>
    <hyperlink ref="J115" r:id="rId13" display="Open source"/>
    <hyperlink ref="J116" r:id="rId14" display="Open source"/>
    <hyperlink ref="J117" r:id="rId15" display="Open source"/>
    <hyperlink ref="J118" r:id="rId16" display="Open source"/>
    <hyperlink ref="J119" r:id="rId17" display="Open source"/>
    <hyperlink ref="J121" r:id="rId18" display="Open source"/>
    <hyperlink ref="J125" r:id="rId19" display="Open source"/>
    <hyperlink ref="J126" r:id="rId20" display="Open source"/>
    <hyperlink ref="J127" r:id="rId21" display="Open source"/>
    <hyperlink ref="J128" r:id="rId22" display="Open source"/>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2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60"/>
    <col collapsed="false" customWidth="true" hidden="false" outlineLevel="0" max="4" min="4" style="0" width="12"/>
    <col collapsed="false" customWidth="true" hidden="false" outlineLevel="0" max="5" min="5" style="0" width="34"/>
    <col collapsed="false" customWidth="true" hidden="false" outlineLevel="0" max="6" min="6" style="0" width="14"/>
    <col collapsed="false" customWidth="true" hidden="false" outlineLevel="0" max="7" min="7" style="0" width="24"/>
    <col collapsed="false" customWidth="true" hidden="false" outlineLevel="0" max="8" min="8" style="0" width="11"/>
    <col collapsed="false" customWidth="true" hidden="false" outlineLevel="0" max="9" min="9" style="0" width="40"/>
  </cols>
  <sheetData>
    <row r="1" customFormat="false" ht="17.35" hidden="false" customHeight="false" outlineLevel="0" collapsed="false">
      <c r="A1" s="1" t="s">
        <v>39</v>
      </c>
    </row>
    <row r="2" customFormat="false" ht="15" hidden="false" customHeight="false" outlineLevel="0" collapsed="false">
      <c r="A2" s="2" t="s">
        <v>1380</v>
      </c>
    </row>
    <row r="4" customFormat="false" ht="31.5" hidden="false" customHeight="true" outlineLevel="0" collapsed="false">
      <c r="A4" s="22" t="s">
        <v>1381</v>
      </c>
      <c r="B4" s="22" t="s">
        <v>1382</v>
      </c>
      <c r="C4" s="22" t="s">
        <v>1383</v>
      </c>
      <c r="D4" s="22" t="s">
        <v>68</v>
      </c>
      <c r="E4" s="22" t="s">
        <v>1384</v>
      </c>
      <c r="F4" s="22" t="s">
        <v>70</v>
      </c>
      <c r="G4" s="22" t="s">
        <v>1385</v>
      </c>
      <c r="H4" s="22" t="s">
        <v>1386</v>
      </c>
      <c r="I4" s="22" t="s">
        <v>1387</v>
      </c>
    </row>
    <row r="5" customFormat="false" ht="15" hidden="false" customHeight="false" outlineLevel="0" collapsed="false">
      <c r="A5" s="30" t="n">
        <v>1</v>
      </c>
      <c r="B5" s="32" t="s">
        <v>1388</v>
      </c>
      <c r="C5" s="32" t="s">
        <v>1389</v>
      </c>
      <c r="D5" s="32" t="s">
        <v>1390</v>
      </c>
      <c r="E5" s="32" t="s">
        <v>1391</v>
      </c>
      <c r="F5" s="34" t="s">
        <v>193</v>
      </c>
      <c r="G5" s="32" t="s">
        <v>16</v>
      </c>
      <c r="H5" s="32" t="s">
        <v>1195</v>
      </c>
      <c r="I5" s="32" t="s">
        <v>1392</v>
      </c>
    </row>
    <row r="6" customFormat="false" ht="15" hidden="false" customHeight="false" outlineLevel="0" collapsed="false">
      <c r="A6" s="30" t="n">
        <v>2</v>
      </c>
      <c r="B6" s="32" t="s">
        <v>1393</v>
      </c>
      <c r="C6" s="32" t="s">
        <v>1394</v>
      </c>
      <c r="D6" s="32" t="s">
        <v>1390</v>
      </c>
      <c r="E6" s="32" t="s">
        <v>1391</v>
      </c>
      <c r="F6" s="34" t="s">
        <v>193</v>
      </c>
      <c r="G6" s="32" t="s">
        <v>16</v>
      </c>
      <c r="H6" s="32" t="s">
        <v>1195</v>
      </c>
      <c r="I6" s="32"/>
    </row>
    <row r="7" customFormat="false" ht="15" hidden="false" customHeight="false" outlineLevel="0" collapsed="false">
      <c r="A7" s="30" t="n">
        <v>3</v>
      </c>
      <c r="B7" s="32" t="s">
        <v>1395</v>
      </c>
      <c r="C7" s="32" t="s">
        <v>1396</v>
      </c>
      <c r="D7" s="32" t="s">
        <v>1397</v>
      </c>
      <c r="E7" s="32" t="s">
        <v>1398</v>
      </c>
      <c r="F7" s="34" t="s">
        <v>193</v>
      </c>
      <c r="G7" s="32" t="s">
        <v>16</v>
      </c>
      <c r="H7" s="32" t="s">
        <v>344</v>
      </c>
      <c r="I7" s="32" t="s">
        <v>1399</v>
      </c>
    </row>
    <row r="8" customFormat="false" ht="15" hidden="false" customHeight="false" outlineLevel="0" collapsed="false">
      <c r="A8" s="30" t="n">
        <v>4</v>
      </c>
      <c r="B8" s="32" t="s">
        <v>1400</v>
      </c>
      <c r="C8" s="32" t="s">
        <v>1401</v>
      </c>
      <c r="D8" s="32" t="s">
        <v>181</v>
      </c>
      <c r="E8" s="32" t="s">
        <v>1402</v>
      </c>
      <c r="F8" s="34" t="s">
        <v>193</v>
      </c>
      <c r="G8" s="32" t="s">
        <v>16</v>
      </c>
      <c r="H8" s="32" t="s">
        <v>1195</v>
      </c>
      <c r="I8" s="32" t="s">
        <v>1403</v>
      </c>
    </row>
    <row r="9" customFormat="false" ht="23.85" hidden="false" customHeight="false" outlineLevel="0" collapsed="false">
      <c r="A9" s="30" t="n">
        <v>5</v>
      </c>
      <c r="B9" s="32" t="s">
        <v>1404</v>
      </c>
      <c r="C9" s="32" t="s">
        <v>1405</v>
      </c>
      <c r="D9" s="32" t="s">
        <v>1406</v>
      </c>
      <c r="E9" s="32" t="s">
        <v>1407</v>
      </c>
      <c r="F9" s="34" t="s">
        <v>193</v>
      </c>
      <c r="G9" s="32" t="s">
        <v>16</v>
      </c>
      <c r="H9" s="32" t="s">
        <v>186</v>
      </c>
      <c r="I9" s="32" t="s">
        <v>1408</v>
      </c>
    </row>
    <row r="10" customFormat="false" ht="23.85" hidden="false" customHeight="false" outlineLevel="0" collapsed="false">
      <c r="A10" s="30" t="n">
        <v>6</v>
      </c>
      <c r="B10" s="32" t="s">
        <v>1409</v>
      </c>
      <c r="C10" s="32" t="s">
        <v>1410</v>
      </c>
      <c r="D10" s="32" t="s">
        <v>369</v>
      </c>
      <c r="E10" s="32" t="s">
        <v>1411</v>
      </c>
      <c r="F10" s="34" t="s">
        <v>193</v>
      </c>
      <c r="G10" s="32" t="s">
        <v>16</v>
      </c>
      <c r="H10" s="32" t="s">
        <v>1195</v>
      </c>
      <c r="I10" s="32"/>
    </row>
    <row r="11" customFormat="false" ht="23.85" hidden="false" customHeight="false" outlineLevel="0" collapsed="false">
      <c r="A11" s="30" t="n">
        <v>7</v>
      </c>
      <c r="B11" s="32" t="s">
        <v>1412</v>
      </c>
      <c r="C11" s="32" t="s">
        <v>1413</v>
      </c>
      <c r="D11" s="32" t="s">
        <v>369</v>
      </c>
      <c r="E11" s="32" t="s">
        <v>1306</v>
      </c>
      <c r="F11" s="34" t="s">
        <v>193</v>
      </c>
      <c r="G11" s="32" t="s">
        <v>16</v>
      </c>
      <c r="H11" s="32" t="s">
        <v>1248</v>
      </c>
      <c r="I11" s="32"/>
    </row>
    <row r="12" customFormat="false" ht="15" hidden="false" customHeight="false" outlineLevel="0" collapsed="false">
      <c r="A12" s="30" t="n">
        <v>8</v>
      </c>
      <c r="B12" s="32" t="s">
        <v>1414</v>
      </c>
      <c r="C12" s="32" t="s">
        <v>1415</v>
      </c>
      <c r="D12" s="32" t="s">
        <v>369</v>
      </c>
      <c r="E12" s="32" t="s">
        <v>1306</v>
      </c>
      <c r="F12" s="34" t="s">
        <v>193</v>
      </c>
      <c r="G12" s="32" t="s">
        <v>16</v>
      </c>
      <c r="H12" s="32" t="s">
        <v>1195</v>
      </c>
      <c r="I12" s="32"/>
    </row>
    <row r="13" customFormat="false" ht="15" hidden="false" customHeight="false" outlineLevel="0" collapsed="false">
      <c r="A13" s="30" t="n">
        <v>9</v>
      </c>
      <c r="B13" s="32" t="s">
        <v>1416</v>
      </c>
      <c r="C13" s="32" t="s">
        <v>1417</v>
      </c>
      <c r="D13" s="32" t="s">
        <v>369</v>
      </c>
      <c r="E13" s="32" t="s">
        <v>1306</v>
      </c>
      <c r="F13" s="34" t="s">
        <v>193</v>
      </c>
      <c r="G13" s="32" t="s">
        <v>16</v>
      </c>
      <c r="H13" s="32" t="s">
        <v>1195</v>
      </c>
      <c r="I13" s="32"/>
    </row>
    <row r="14" customFormat="false" ht="15" hidden="false" customHeight="false" outlineLevel="0" collapsed="false">
      <c r="A14" s="30" t="n">
        <v>10</v>
      </c>
      <c r="B14" s="32" t="s">
        <v>1418</v>
      </c>
      <c r="C14" s="32" t="s">
        <v>1419</v>
      </c>
      <c r="D14" s="32" t="s">
        <v>369</v>
      </c>
      <c r="E14" s="32" t="s">
        <v>1306</v>
      </c>
      <c r="F14" s="34" t="s">
        <v>193</v>
      </c>
      <c r="G14" s="32" t="s">
        <v>16</v>
      </c>
      <c r="H14" s="32" t="s">
        <v>221</v>
      </c>
      <c r="I14" s="32"/>
    </row>
    <row r="15" customFormat="false" ht="23.85" hidden="false" customHeight="false" outlineLevel="0" collapsed="false">
      <c r="A15" s="30" t="n">
        <v>11</v>
      </c>
      <c r="B15" s="32" t="s">
        <v>1420</v>
      </c>
      <c r="C15" s="32" t="s">
        <v>1421</v>
      </c>
      <c r="D15" s="32" t="s">
        <v>369</v>
      </c>
      <c r="E15" s="32" t="s">
        <v>1306</v>
      </c>
      <c r="F15" s="34" t="s">
        <v>193</v>
      </c>
      <c r="G15" s="32" t="s">
        <v>16</v>
      </c>
      <c r="H15" s="32" t="s">
        <v>1300</v>
      </c>
      <c r="I15" s="32"/>
    </row>
    <row r="16" customFormat="false" ht="15" hidden="false" customHeight="false" outlineLevel="0" collapsed="false">
      <c r="A16" s="30" t="n">
        <v>12</v>
      </c>
      <c r="B16" s="32" t="s">
        <v>1422</v>
      </c>
      <c r="C16" s="32" t="s">
        <v>1423</v>
      </c>
      <c r="D16" s="32" t="s">
        <v>369</v>
      </c>
      <c r="E16" s="32" t="s">
        <v>1306</v>
      </c>
      <c r="F16" s="34" t="s">
        <v>193</v>
      </c>
      <c r="G16" s="32" t="s">
        <v>16</v>
      </c>
      <c r="H16" s="32" t="s">
        <v>198</v>
      </c>
      <c r="I16" s="32" t="s">
        <v>1424</v>
      </c>
    </row>
    <row r="17" customFormat="false" ht="15" hidden="false" customHeight="false" outlineLevel="0" collapsed="false">
      <c r="A17" s="30" t="n">
        <v>13</v>
      </c>
      <c r="B17" s="32" t="s">
        <v>1425</v>
      </c>
      <c r="C17" s="32" t="s">
        <v>1426</v>
      </c>
      <c r="D17" s="32" t="s">
        <v>181</v>
      </c>
      <c r="E17" s="32" t="s">
        <v>1427</v>
      </c>
      <c r="F17" s="34" t="s">
        <v>193</v>
      </c>
      <c r="G17" s="32" t="s">
        <v>16</v>
      </c>
      <c r="H17" s="32" t="s">
        <v>198</v>
      </c>
      <c r="I17" s="32"/>
    </row>
    <row r="18" customFormat="false" ht="23.85" hidden="false" customHeight="false" outlineLevel="0" collapsed="false">
      <c r="A18" s="30" t="n">
        <v>14</v>
      </c>
      <c r="B18" s="32" t="s">
        <v>1428</v>
      </c>
      <c r="C18" s="32" t="s">
        <v>1429</v>
      </c>
      <c r="D18" s="32" t="s">
        <v>1430</v>
      </c>
      <c r="E18" s="32" t="s">
        <v>1431</v>
      </c>
      <c r="F18" s="34" t="s">
        <v>193</v>
      </c>
      <c r="G18" s="32" t="s">
        <v>16</v>
      </c>
      <c r="H18" s="32" t="s">
        <v>1195</v>
      </c>
      <c r="I18" s="32"/>
    </row>
    <row r="19" customFormat="false" ht="23.85" hidden="false" customHeight="false" outlineLevel="0" collapsed="false">
      <c r="A19" s="30" t="n">
        <v>15</v>
      </c>
      <c r="B19" s="32" t="s">
        <v>1432</v>
      </c>
      <c r="C19" s="32" t="s">
        <v>1433</v>
      </c>
      <c r="D19" s="32" t="s">
        <v>181</v>
      </c>
      <c r="E19" s="32" t="s">
        <v>1434</v>
      </c>
      <c r="F19" s="34" t="s">
        <v>193</v>
      </c>
      <c r="G19" s="32" t="s">
        <v>16</v>
      </c>
      <c r="H19" s="32" t="s">
        <v>1195</v>
      </c>
      <c r="I19" s="32" t="s">
        <v>1435</v>
      </c>
    </row>
    <row r="20" customFormat="false" ht="15" hidden="false" customHeight="false" outlineLevel="0" collapsed="false">
      <c r="A20" s="30" t="n">
        <v>16</v>
      </c>
      <c r="B20" s="32" t="s">
        <v>1436</v>
      </c>
      <c r="C20" s="32" t="s">
        <v>1437</v>
      </c>
      <c r="D20" s="32" t="s">
        <v>181</v>
      </c>
      <c r="E20" s="32" t="s">
        <v>1438</v>
      </c>
      <c r="F20" s="34" t="s">
        <v>193</v>
      </c>
      <c r="G20" s="32" t="s">
        <v>16</v>
      </c>
      <c r="H20" s="32" t="s">
        <v>1056</v>
      </c>
      <c r="I20" s="32"/>
    </row>
    <row r="21" customFormat="false" ht="23.85" hidden="false" customHeight="false" outlineLevel="0" collapsed="false">
      <c r="A21" s="30" t="n">
        <v>17</v>
      </c>
      <c r="B21" s="32" t="s">
        <v>1439</v>
      </c>
      <c r="C21" s="32" t="s">
        <v>1440</v>
      </c>
      <c r="D21" s="32" t="s">
        <v>1441</v>
      </c>
      <c r="E21" s="32" t="s">
        <v>1442</v>
      </c>
      <c r="F21" s="34" t="s">
        <v>193</v>
      </c>
      <c r="G21" s="32" t="s">
        <v>16</v>
      </c>
      <c r="H21" s="32" t="s">
        <v>579</v>
      </c>
      <c r="I21" s="32" t="s">
        <v>1443</v>
      </c>
    </row>
    <row r="22" customFormat="false" ht="23.85" hidden="false" customHeight="false" outlineLevel="0" collapsed="false">
      <c r="A22" s="30" t="n">
        <v>18</v>
      </c>
      <c r="B22" s="32" t="s">
        <v>1444</v>
      </c>
      <c r="C22" s="32" t="s">
        <v>1445</v>
      </c>
      <c r="D22" s="32" t="s">
        <v>1446</v>
      </c>
      <c r="E22" s="32" t="s">
        <v>1447</v>
      </c>
      <c r="F22" s="34" t="s">
        <v>193</v>
      </c>
      <c r="G22" s="32" t="s">
        <v>16</v>
      </c>
      <c r="H22" s="32" t="s">
        <v>1205</v>
      </c>
      <c r="I22" s="32" t="s">
        <v>1448</v>
      </c>
    </row>
    <row r="23" customFormat="false" ht="23.85" hidden="false" customHeight="false" outlineLevel="0" collapsed="false">
      <c r="A23" s="30" t="n">
        <v>19</v>
      </c>
      <c r="B23" s="32" t="s">
        <v>1449</v>
      </c>
      <c r="C23" s="32" t="s">
        <v>1450</v>
      </c>
      <c r="D23" s="32" t="s">
        <v>181</v>
      </c>
      <c r="E23" s="32" t="s">
        <v>1451</v>
      </c>
      <c r="F23" s="34" t="s">
        <v>193</v>
      </c>
      <c r="G23" s="32" t="s">
        <v>16</v>
      </c>
      <c r="H23" s="32" t="s">
        <v>600</v>
      </c>
      <c r="I23" s="32" t="s">
        <v>1452</v>
      </c>
    </row>
    <row r="24" customFormat="false" ht="23.85" hidden="false" customHeight="false" outlineLevel="0" collapsed="false">
      <c r="A24" s="30" t="n">
        <v>20</v>
      </c>
      <c r="B24" s="32" t="s">
        <v>1453</v>
      </c>
      <c r="C24" s="32" t="s">
        <v>1454</v>
      </c>
      <c r="D24" s="32" t="s">
        <v>108</v>
      </c>
      <c r="E24" s="32" t="s">
        <v>1455</v>
      </c>
      <c r="F24" s="34" t="s">
        <v>193</v>
      </c>
      <c r="G24" s="32" t="s">
        <v>16</v>
      </c>
      <c r="H24" s="32" t="s">
        <v>798</v>
      </c>
      <c r="I24" s="32" t="s">
        <v>1456</v>
      </c>
    </row>
    <row r="25" customFormat="false" ht="23.85" hidden="false" customHeight="false" outlineLevel="0" collapsed="false">
      <c r="A25" s="30" t="n">
        <v>21</v>
      </c>
      <c r="B25" s="32" t="s">
        <v>1457</v>
      </c>
      <c r="C25" s="32" t="s">
        <v>1458</v>
      </c>
      <c r="D25" s="32" t="s">
        <v>1459</v>
      </c>
      <c r="E25" s="32" t="s">
        <v>1460</v>
      </c>
      <c r="F25" s="34" t="s">
        <v>193</v>
      </c>
      <c r="G25" s="32" t="s">
        <v>16</v>
      </c>
      <c r="H25" s="32" t="s">
        <v>1214</v>
      </c>
      <c r="I25" s="32" t="s">
        <v>1461</v>
      </c>
    </row>
    <row r="26" customFormat="false" ht="23.85" hidden="false" customHeight="false" outlineLevel="0" collapsed="false">
      <c r="A26" s="30" t="n">
        <v>22</v>
      </c>
      <c r="B26" s="32" t="s">
        <v>1462</v>
      </c>
      <c r="C26" s="32" t="s">
        <v>1463</v>
      </c>
      <c r="D26" s="32" t="s">
        <v>1263</v>
      </c>
      <c r="E26" s="32" t="s">
        <v>1464</v>
      </c>
      <c r="F26" s="34" t="s">
        <v>193</v>
      </c>
      <c r="G26" s="32" t="s">
        <v>16</v>
      </c>
      <c r="H26" s="32" t="s">
        <v>1214</v>
      </c>
      <c r="I26" s="32" t="s">
        <v>1465</v>
      </c>
    </row>
    <row r="27" customFormat="false" ht="23.85" hidden="false" customHeight="false" outlineLevel="0" collapsed="false">
      <c r="A27" s="30" t="n">
        <v>23</v>
      </c>
      <c r="B27" s="32" t="s">
        <v>1466</v>
      </c>
      <c r="C27" s="32" t="s">
        <v>1467</v>
      </c>
      <c r="D27" s="32" t="s">
        <v>1468</v>
      </c>
      <c r="E27" s="32" t="s">
        <v>1469</v>
      </c>
      <c r="F27" s="34" t="s">
        <v>193</v>
      </c>
      <c r="G27" s="32" t="s">
        <v>16</v>
      </c>
      <c r="H27" s="32" t="s">
        <v>1214</v>
      </c>
      <c r="I27" s="32"/>
    </row>
    <row r="28" customFormat="false" ht="23.85" hidden="false" customHeight="false" outlineLevel="0" collapsed="false">
      <c r="A28" s="30" t="n">
        <v>24</v>
      </c>
      <c r="B28" s="32" t="s">
        <v>1470</v>
      </c>
      <c r="C28" s="32" t="s">
        <v>1471</v>
      </c>
      <c r="D28" s="32" t="s">
        <v>1472</v>
      </c>
      <c r="E28" s="32" t="s">
        <v>1473</v>
      </c>
      <c r="F28" s="34" t="s">
        <v>193</v>
      </c>
      <c r="G28" s="32" t="s">
        <v>16</v>
      </c>
      <c r="H28" s="32" t="s">
        <v>1214</v>
      </c>
      <c r="I28" s="32" t="s">
        <v>1474</v>
      </c>
    </row>
    <row r="29" customFormat="false" ht="23.85" hidden="false" customHeight="false" outlineLevel="0" collapsed="false">
      <c r="A29" s="30" t="n">
        <v>25</v>
      </c>
      <c r="B29" s="32" t="s">
        <v>1227</v>
      </c>
      <c r="C29" s="32" t="s">
        <v>1475</v>
      </c>
      <c r="D29" s="32" t="s">
        <v>1230</v>
      </c>
      <c r="E29" s="32" t="s">
        <v>1476</v>
      </c>
      <c r="F29" s="34" t="s">
        <v>193</v>
      </c>
      <c r="G29" s="32" t="s">
        <v>16</v>
      </c>
      <c r="H29" s="32" t="s">
        <v>1226</v>
      </c>
      <c r="I29" s="32"/>
    </row>
    <row r="30" customFormat="false" ht="15" hidden="false" customHeight="false" outlineLevel="0" collapsed="false">
      <c r="A30" s="30" t="n">
        <v>26</v>
      </c>
      <c r="B30" s="32" t="s">
        <v>1477</v>
      </c>
      <c r="C30" s="32" t="s">
        <v>1478</v>
      </c>
      <c r="D30" s="32" t="s">
        <v>1242</v>
      </c>
      <c r="E30" s="32" t="s">
        <v>1479</v>
      </c>
      <c r="F30" s="34" t="s">
        <v>193</v>
      </c>
      <c r="G30" s="32" t="s">
        <v>16</v>
      </c>
      <c r="H30" s="32" t="s">
        <v>1236</v>
      </c>
      <c r="I30" s="32"/>
    </row>
    <row r="31" customFormat="false" ht="23.85" hidden="false" customHeight="false" outlineLevel="0" collapsed="false">
      <c r="A31" s="30" t="n">
        <v>27</v>
      </c>
      <c r="B31" s="32" t="s">
        <v>1480</v>
      </c>
      <c r="C31" s="32" t="s">
        <v>1481</v>
      </c>
      <c r="D31" s="32" t="s">
        <v>1242</v>
      </c>
      <c r="E31" s="32" t="s">
        <v>1482</v>
      </c>
      <c r="F31" s="34" t="s">
        <v>193</v>
      </c>
      <c r="G31" s="32" t="s">
        <v>16</v>
      </c>
      <c r="H31" s="32" t="s">
        <v>1236</v>
      </c>
      <c r="I31" s="32"/>
    </row>
    <row r="32" customFormat="false" ht="23.85" hidden="false" customHeight="false" outlineLevel="0" collapsed="false">
      <c r="A32" s="30" t="n">
        <v>28</v>
      </c>
      <c r="B32" s="32" t="s">
        <v>1483</v>
      </c>
      <c r="C32" s="32" t="s">
        <v>1484</v>
      </c>
      <c r="D32" s="32" t="s">
        <v>1485</v>
      </c>
      <c r="E32" s="32" t="s">
        <v>443</v>
      </c>
      <c r="F32" s="32" t="s">
        <v>1486</v>
      </c>
      <c r="G32" s="32" t="s">
        <v>16</v>
      </c>
      <c r="H32" s="32" t="s">
        <v>437</v>
      </c>
      <c r="I32" s="32" t="s">
        <v>1487</v>
      </c>
    </row>
    <row r="33" customFormat="false" ht="23.85" hidden="false" customHeight="false" outlineLevel="0" collapsed="false">
      <c r="A33" s="30" t="n">
        <v>29</v>
      </c>
      <c r="B33" s="32" t="s">
        <v>1488</v>
      </c>
      <c r="C33" s="32" t="s">
        <v>1489</v>
      </c>
      <c r="D33" s="32" t="s">
        <v>369</v>
      </c>
      <c r="E33" s="32" t="s">
        <v>1490</v>
      </c>
      <c r="F33" s="34" t="s">
        <v>193</v>
      </c>
      <c r="G33" s="32" t="s">
        <v>16</v>
      </c>
      <c r="H33" s="32" t="s">
        <v>1175</v>
      </c>
      <c r="I33" s="32" t="s">
        <v>1491</v>
      </c>
    </row>
    <row r="34" customFormat="false" ht="23.85" hidden="false" customHeight="false" outlineLevel="0" collapsed="false">
      <c r="A34" s="30" t="n">
        <v>30</v>
      </c>
      <c r="B34" s="32" t="s">
        <v>1492</v>
      </c>
      <c r="C34" s="32" t="s">
        <v>1493</v>
      </c>
      <c r="D34" s="32" t="s">
        <v>181</v>
      </c>
      <c r="E34" s="32" t="s">
        <v>1494</v>
      </c>
      <c r="F34" s="34" t="s">
        <v>193</v>
      </c>
      <c r="G34" s="32" t="s">
        <v>16</v>
      </c>
      <c r="H34" s="32" t="s">
        <v>232</v>
      </c>
      <c r="I34" s="32" t="s">
        <v>1424</v>
      </c>
    </row>
    <row r="35" customFormat="false" ht="23.85" hidden="false" customHeight="false" outlineLevel="0" collapsed="false">
      <c r="A35" s="30" t="n">
        <v>31</v>
      </c>
      <c r="B35" s="32" t="s">
        <v>1495</v>
      </c>
      <c r="C35" s="32" t="s">
        <v>1496</v>
      </c>
      <c r="D35" s="32" t="s">
        <v>108</v>
      </c>
      <c r="E35" s="32" t="s">
        <v>1497</v>
      </c>
      <c r="F35" s="34" t="s">
        <v>193</v>
      </c>
      <c r="G35" s="32" t="s">
        <v>16</v>
      </c>
      <c r="H35" s="32" t="s">
        <v>1335</v>
      </c>
      <c r="I35" s="32"/>
    </row>
    <row r="36" customFormat="false" ht="23.85" hidden="false" customHeight="false" outlineLevel="0" collapsed="false">
      <c r="A36" s="30" t="n">
        <v>32</v>
      </c>
      <c r="B36" s="32" t="s">
        <v>1498</v>
      </c>
      <c r="C36" s="32" t="s">
        <v>1499</v>
      </c>
      <c r="D36" s="32" t="s">
        <v>358</v>
      </c>
      <c r="E36" s="32" t="s">
        <v>1500</v>
      </c>
      <c r="F36" s="34" t="s">
        <v>193</v>
      </c>
      <c r="G36" s="32" t="s">
        <v>16</v>
      </c>
      <c r="H36" s="32" t="s">
        <v>1335</v>
      </c>
      <c r="I36" s="32" t="s">
        <v>1501</v>
      </c>
    </row>
    <row r="37" customFormat="false" ht="23.85" hidden="false" customHeight="false" outlineLevel="0" collapsed="false">
      <c r="A37" s="30" t="n">
        <v>33</v>
      </c>
      <c r="B37" s="32" t="s">
        <v>1502</v>
      </c>
      <c r="C37" s="32" t="s">
        <v>1503</v>
      </c>
      <c r="D37" s="32" t="s">
        <v>181</v>
      </c>
      <c r="E37" s="32" t="s">
        <v>1504</v>
      </c>
      <c r="F37" s="34" t="s">
        <v>193</v>
      </c>
      <c r="G37" s="32" t="s">
        <v>16</v>
      </c>
      <c r="H37" s="32" t="s">
        <v>1335</v>
      </c>
      <c r="I37" s="32"/>
    </row>
    <row r="38" customFormat="false" ht="23.85" hidden="false" customHeight="false" outlineLevel="0" collapsed="false">
      <c r="A38" s="30" t="n">
        <v>34</v>
      </c>
      <c r="B38" s="32" t="s">
        <v>1505</v>
      </c>
      <c r="C38" s="32" t="s">
        <v>1506</v>
      </c>
      <c r="D38" s="32" t="s">
        <v>1507</v>
      </c>
      <c r="E38" s="32" t="s">
        <v>1508</v>
      </c>
      <c r="F38" s="34" t="s">
        <v>193</v>
      </c>
      <c r="G38" s="32" t="s">
        <v>16</v>
      </c>
      <c r="H38" s="32" t="s">
        <v>1335</v>
      </c>
      <c r="I38" s="32" t="s">
        <v>1509</v>
      </c>
    </row>
    <row r="39" customFormat="false" ht="15" hidden="false" customHeight="false" outlineLevel="0" collapsed="false">
      <c r="A39" s="30" t="n">
        <v>35</v>
      </c>
      <c r="B39" s="32" t="s">
        <v>1510</v>
      </c>
      <c r="C39" s="32" t="s">
        <v>1511</v>
      </c>
      <c r="D39" s="32" t="s">
        <v>127</v>
      </c>
      <c r="E39" s="32" t="s">
        <v>1512</v>
      </c>
      <c r="F39" s="34" t="s">
        <v>193</v>
      </c>
      <c r="G39" s="32" t="s">
        <v>16</v>
      </c>
      <c r="H39" s="32" t="s">
        <v>1335</v>
      </c>
      <c r="I39" s="32"/>
    </row>
    <row r="40" customFormat="false" ht="35.05" hidden="false" customHeight="false" outlineLevel="0" collapsed="false">
      <c r="A40" s="30" t="n">
        <v>36</v>
      </c>
      <c r="B40" s="32" t="s">
        <v>1513</v>
      </c>
      <c r="C40" s="32" t="s">
        <v>1514</v>
      </c>
      <c r="D40" s="32" t="s">
        <v>1515</v>
      </c>
      <c r="E40" s="32" t="s">
        <v>1516</v>
      </c>
      <c r="F40" s="34" t="s">
        <v>193</v>
      </c>
      <c r="G40" s="32" t="s">
        <v>16</v>
      </c>
      <c r="H40" s="32" t="s">
        <v>1323</v>
      </c>
      <c r="I40" s="32" t="s">
        <v>1517</v>
      </c>
    </row>
    <row r="41" customFormat="false" ht="23.85" hidden="false" customHeight="false" outlineLevel="0" collapsed="false">
      <c r="A41" s="30" t="n">
        <v>37</v>
      </c>
      <c r="B41" s="32" t="s">
        <v>1518</v>
      </c>
      <c r="C41" s="32" t="s">
        <v>1519</v>
      </c>
      <c r="D41" s="32" t="s">
        <v>1515</v>
      </c>
      <c r="E41" s="32" t="s">
        <v>1520</v>
      </c>
      <c r="F41" s="34" t="s">
        <v>193</v>
      </c>
      <c r="G41" s="32" t="s">
        <v>16</v>
      </c>
      <c r="H41" s="32" t="s">
        <v>1323</v>
      </c>
      <c r="I41" s="32"/>
    </row>
    <row r="42" customFormat="false" ht="23.85" hidden="false" customHeight="false" outlineLevel="0" collapsed="false">
      <c r="A42" s="30" t="n">
        <v>38</v>
      </c>
      <c r="B42" s="32" t="s">
        <v>1521</v>
      </c>
      <c r="C42" s="32" t="s">
        <v>1522</v>
      </c>
      <c r="D42" s="32" t="s">
        <v>1328</v>
      </c>
      <c r="E42" s="32" t="s">
        <v>1523</v>
      </c>
      <c r="F42" s="34" t="s">
        <v>193</v>
      </c>
      <c r="G42" s="32" t="s">
        <v>16</v>
      </c>
      <c r="H42" s="32" t="s">
        <v>1323</v>
      </c>
      <c r="I42" s="32" t="s">
        <v>1524</v>
      </c>
    </row>
    <row r="43" customFormat="false" ht="15" hidden="false" customHeight="false" outlineLevel="0" collapsed="false">
      <c r="A43" s="30" t="n">
        <v>39</v>
      </c>
      <c r="B43" s="32" t="s">
        <v>1525</v>
      </c>
      <c r="C43" s="32" t="s">
        <v>1526</v>
      </c>
      <c r="D43" s="32" t="s">
        <v>1328</v>
      </c>
      <c r="E43" s="32" t="s">
        <v>1523</v>
      </c>
      <c r="F43" s="34" t="s">
        <v>193</v>
      </c>
      <c r="G43" s="32" t="s">
        <v>16</v>
      </c>
      <c r="H43" s="32" t="s">
        <v>1335</v>
      </c>
      <c r="I43" s="32"/>
    </row>
    <row r="44" customFormat="false" ht="15" hidden="false" customHeight="false" outlineLevel="0" collapsed="false">
      <c r="A44" s="30" t="n">
        <v>40</v>
      </c>
      <c r="B44" s="32" t="s">
        <v>1527</v>
      </c>
      <c r="C44" s="32" t="s">
        <v>1528</v>
      </c>
      <c r="D44" s="32" t="s">
        <v>1328</v>
      </c>
      <c r="E44" s="32" t="s">
        <v>1523</v>
      </c>
      <c r="F44" s="34" t="s">
        <v>193</v>
      </c>
      <c r="G44" s="32" t="s">
        <v>16</v>
      </c>
      <c r="H44" s="32" t="s">
        <v>533</v>
      </c>
      <c r="I44" s="32"/>
    </row>
    <row r="45" customFormat="false" ht="15" hidden="false" customHeight="false" outlineLevel="0" collapsed="false">
      <c r="A45" s="30" t="n">
        <v>41</v>
      </c>
      <c r="B45" s="32" t="s">
        <v>1529</v>
      </c>
      <c r="C45" s="32" t="s">
        <v>1530</v>
      </c>
      <c r="D45" s="32" t="s">
        <v>1531</v>
      </c>
      <c r="E45" s="32" t="s">
        <v>1532</v>
      </c>
      <c r="F45" s="34" t="s">
        <v>193</v>
      </c>
      <c r="G45" s="32" t="s">
        <v>16</v>
      </c>
      <c r="H45" s="32" t="s">
        <v>533</v>
      </c>
      <c r="I45" s="32"/>
    </row>
    <row r="46" customFormat="false" ht="23.85" hidden="false" customHeight="false" outlineLevel="0" collapsed="false">
      <c r="A46" s="30" t="n">
        <v>42</v>
      </c>
      <c r="B46" s="32" t="s">
        <v>1533</v>
      </c>
      <c r="C46" s="32" t="s">
        <v>1534</v>
      </c>
      <c r="D46" s="32" t="s">
        <v>181</v>
      </c>
      <c r="E46" s="32" t="s">
        <v>1535</v>
      </c>
      <c r="F46" s="34" t="s">
        <v>193</v>
      </c>
      <c r="G46" s="32" t="s">
        <v>16</v>
      </c>
      <c r="H46" s="32" t="s">
        <v>1323</v>
      </c>
      <c r="I46" s="32" t="s">
        <v>1536</v>
      </c>
    </row>
    <row r="47" customFormat="false" ht="15" hidden="false" customHeight="false" outlineLevel="0" collapsed="false">
      <c r="A47" s="30" t="n">
        <v>43</v>
      </c>
      <c r="B47" s="32" t="s">
        <v>1537</v>
      </c>
      <c r="C47" s="32" t="s">
        <v>1538</v>
      </c>
      <c r="D47" s="32" t="s">
        <v>1539</v>
      </c>
      <c r="E47" s="32" t="s">
        <v>1540</v>
      </c>
      <c r="F47" s="34" t="s">
        <v>193</v>
      </c>
      <c r="G47" s="32" t="s">
        <v>18</v>
      </c>
      <c r="H47" s="32" t="s">
        <v>186</v>
      </c>
      <c r="I47" s="32" t="s">
        <v>1424</v>
      </c>
    </row>
    <row r="48" customFormat="false" ht="15" hidden="false" customHeight="false" outlineLevel="0" collapsed="false">
      <c r="A48" s="30" t="n">
        <v>44</v>
      </c>
      <c r="B48" s="32" t="s">
        <v>1541</v>
      </c>
      <c r="C48" s="32" t="s">
        <v>1542</v>
      </c>
      <c r="D48" s="32" t="s">
        <v>369</v>
      </c>
      <c r="E48" s="32" t="s">
        <v>1543</v>
      </c>
      <c r="F48" s="34" t="s">
        <v>193</v>
      </c>
      <c r="G48" s="32" t="s">
        <v>18</v>
      </c>
      <c r="H48" s="32" t="s">
        <v>1195</v>
      </c>
      <c r="I48" s="32"/>
    </row>
    <row r="49" customFormat="false" ht="15" hidden="false" customHeight="false" outlineLevel="0" collapsed="false">
      <c r="A49" s="30" t="n">
        <v>45</v>
      </c>
      <c r="B49" s="32" t="s">
        <v>1544</v>
      </c>
      <c r="C49" s="32" t="s">
        <v>1545</v>
      </c>
      <c r="D49" s="32" t="s">
        <v>181</v>
      </c>
      <c r="E49" s="32" t="s">
        <v>1546</v>
      </c>
      <c r="F49" s="34" t="s">
        <v>193</v>
      </c>
      <c r="G49" s="32" t="s">
        <v>18</v>
      </c>
      <c r="H49" s="32" t="s">
        <v>1195</v>
      </c>
      <c r="I49" s="32"/>
    </row>
    <row r="50" customFormat="false" ht="23.85" hidden="false" customHeight="false" outlineLevel="0" collapsed="false">
      <c r="A50" s="30" t="n">
        <v>46</v>
      </c>
      <c r="B50" s="32" t="s">
        <v>1547</v>
      </c>
      <c r="C50" s="32" t="s">
        <v>1548</v>
      </c>
      <c r="D50" s="32" t="s">
        <v>1549</v>
      </c>
      <c r="E50" s="32" t="s">
        <v>1550</v>
      </c>
      <c r="F50" s="34" t="s">
        <v>193</v>
      </c>
      <c r="G50" s="32" t="s">
        <v>18</v>
      </c>
      <c r="H50" s="32" t="s">
        <v>758</v>
      </c>
      <c r="I50" s="32" t="s">
        <v>1491</v>
      </c>
    </row>
    <row r="51" customFormat="false" ht="15" hidden="false" customHeight="false" outlineLevel="0" collapsed="false">
      <c r="A51" s="30" t="n">
        <v>47</v>
      </c>
      <c r="B51" s="32" t="s">
        <v>1551</v>
      </c>
      <c r="C51" s="32" t="s">
        <v>1552</v>
      </c>
      <c r="D51" s="32" t="s">
        <v>181</v>
      </c>
      <c r="E51" s="32" t="s">
        <v>1553</v>
      </c>
      <c r="F51" s="34" t="s">
        <v>193</v>
      </c>
      <c r="G51" s="32" t="s">
        <v>18</v>
      </c>
      <c r="H51" s="32" t="s">
        <v>1205</v>
      </c>
      <c r="I51" s="32" t="s">
        <v>1554</v>
      </c>
    </row>
    <row r="52" customFormat="false" ht="15" hidden="false" customHeight="false" outlineLevel="0" collapsed="false">
      <c r="A52" s="30" t="n">
        <v>48</v>
      </c>
      <c r="B52" s="32" t="s">
        <v>1555</v>
      </c>
      <c r="C52" s="32" t="s">
        <v>1556</v>
      </c>
      <c r="D52" s="32" t="s">
        <v>95</v>
      </c>
      <c r="E52" s="32" t="s">
        <v>1557</v>
      </c>
      <c r="F52" s="34" t="s">
        <v>193</v>
      </c>
      <c r="G52" s="32" t="s">
        <v>18</v>
      </c>
      <c r="H52" s="32" t="s">
        <v>1205</v>
      </c>
      <c r="I52" s="32"/>
    </row>
    <row r="53" customFormat="false" ht="15" hidden="false" customHeight="false" outlineLevel="0" collapsed="false">
      <c r="A53" s="30" t="n">
        <v>49</v>
      </c>
      <c r="B53" s="32" t="s">
        <v>1558</v>
      </c>
      <c r="C53" s="32" t="s">
        <v>1559</v>
      </c>
      <c r="D53" s="32" t="s">
        <v>1263</v>
      </c>
      <c r="E53" s="32" t="s">
        <v>1560</v>
      </c>
      <c r="F53" s="34" t="s">
        <v>193</v>
      </c>
      <c r="G53" s="32" t="s">
        <v>18</v>
      </c>
      <c r="H53" s="32" t="s">
        <v>1258</v>
      </c>
      <c r="I53" s="32"/>
    </row>
    <row r="54" customFormat="false" ht="15" hidden="false" customHeight="false" outlineLevel="0" collapsed="false">
      <c r="A54" s="30" t="n">
        <v>50</v>
      </c>
      <c r="B54" s="32" t="s">
        <v>1561</v>
      </c>
      <c r="C54" s="32" t="s">
        <v>1562</v>
      </c>
      <c r="D54" s="32" t="s">
        <v>127</v>
      </c>
      <c r="E54" s="32" t="s">
        <v>1563</v>
      </c>
      <c r="F54" s="32" t="s">
        <v>1486</v>
      </c>
      <c r="G54" s="32" t="s">
        <v>18</v>
      </c>
      <c r="H54" s="32" t="s">
        <v>1214</v>
      </c>
      <c r="I54" s="32"/>
    </row>
    <row r="55" customFormat="false" ht="23.85" hidden="false" customHeight="false" outlineLevel="0" collapsed="false">
      <c r="A55" s="30" t="n">
        <v>51</v>
      </c>
      <c r="B55" s="32" t="s">
        <v>1564</v>
      </c>
      <c r="C55" s="32" t="s">
        <v>1565</v>
      </c>
      <c r="D55" s="32" t="s">
        <v>1566</v>
      </c>
      <c r="E55" s="32" t="s">
        <v>1567</v>
      </c>
      <c r="F55" s="34" t="s">
        <v>193</v>
      </c>
      <c r="G55" s="32" t="s">
        <v>18</v>
      </c>
      <c r="H55" s="32" t="s">
        <v>1310</v>
      </c>
      <c r="I55" s="32"/>
    </row>
    <row r="56" customFormat="false" ht="23.85" hidden="false" customHeight="false" outlineLevel="0" collapsed="false">
      <c r="A56" s="30" t="n">
        <v>52</v>
      </c>
      <c r="B56" s="32" t="s">
        <v>1568</v>
      </c>
      <c r="C56" s="32" t="s">
        <v>1569</v>
      </c>
      <c r="D56" s="32" t="s">
        <v>181</v>
      </c>
      <c r="E56" s="32" t="s">
        <v>1570</v>
      </c>
      <c r="F56" s="34" t="s">
        <v>193</v>
      </c>
      <c r="G56" s="32" t="s">
        <v>18</v>
      </c>
      <c r="H56" s="32" t="s">
        <v>232</v>
      </c>
      <c r="I56" s="32" t="s">
        <v>1424</v>
      </c>
    </row>
    <row r="57" customFormat="false" ht="15" hidden="false" customHeight="false" outlineLevel="0" collapsed="false">
      <c r="A57" s="30" t="n">
        <v>53</v>
      </c>
      <c r="B57" s="32" t="s">
        <v>1571</v>
      </c>
      <c r="C57" s="32" t="s">
        <v>1572</v>
      </c>
      <c r="D57" s="32" t="s">
        <v>181</v>
      </c>
      <c r="E57" s="32" t="s">
        <v>1573</v>
      </c>
      <c r="F57" s="34" t="s">
        <v>193</v>
      </c>
      <c r="G57" s="32" t="s">
        <v>18</v>
      </c>
      <c r="H57" s="32" t="s">
        <v>198</v>
      </c>
      <c r="I57" s="32" t="s">
        <v>1574</v>
      </c>
    </row>
    <row r="58" customFormat="false" ht="23.85" hidden="false" customHeight="false" outlineLevel="0" collapsed="false">
      <c r="A58" s="30" t="n">
        <v>54</v>
      </c>
      <c r="B58" s="32" t="s">
        <v>1575</v>
      </c>
      <c r="C58" s="32" t="s">
        <v>1576</v>
      </c>
      <c r="D58" s="32" t="s">
        <v>181</v>
      </c>
      <c r="E58" s="32" t="s">
        <v>1577</v>
      </c>
      <c r="F58" s="34" t="s">
        <v>193</v>
      </c>
      <c r="G58" s="32" t="s">
        <v>18</v>
      </c>
      <c r="H58" s="32" t="s">
        <v>1323</v>
      </c>
      <c r="I58" s="32" t="s">
        <v>1578</v>
      </c>
    </row>
    <row r="59" customFormat="false" ht="23.85" hidden="false" customHeight="false" outlineLevel="0" collapsed="false">
      <c r="A59" s="30" t="n">
        <v>55</v>
      </c>
      <c r="B59" s="32" t="s">
        <v>1579</v>
      </c>
      <c r="C59" s="32" t="s">
        <v>1580</v>
      </c>
      <c r="D59" s="32" t="s">
        <v>158</v>
      </c>
      <c r="E59" s="32" t="s">
        <v>1581</v>
      </c>
      <c r="F59" s="34" t="s">
        <v>193</v>
      </c>
      <c r="G59" s="32" t="s">
        <v>18</v>
      </c>
      <c r="H59" s="32" t="s">
        <v>1323</v>
      </c>
      <c r="I59" s="32" t="s">
        <v>1582</v>
      </c>
    </row>
    <row r="60" customFormat="false" ht="15" hidden="false" customHeight="false" outlineLevel="0" collapsed="false">
      <c r="A60" s="30" t="n">
        <v>56</v>
      </c>
      <c r="B60" s="32" t="s">
        <v>1583</v>
      </c>
      <c r="C60" s="32" t="s">
        <v>1584</v>
      </c>
      <c r="D60" s="32" t="s">
        <v>1585</v>
      </c>
      <c r="E60" s="32" t="s">
        <v>1586</v>
      </c>
      <c r="F60" s="34" t="s">
        <v>193</v>
      </c>
      <c r="G60" s="32" t="s">
        <v>18</v>
      </c>
      <c r="H60" s="32" t="s">
        <v>1335</v>
      </c>
      <c r="I60" s="32"/>
    </row>
    <row r="61" customFormat="false" ht="15" hidden="false" customHeight="false" outlineLevel="0" collapsed="false">
      <c r="A61" s="30" t="n">
        <v>57</v>
      </c>
      <c r="B61" s="32" t="s">
        <v>1587</v>
      </c>
      <c r="C61" s="32" t="s">
        <v>1588</v>
      </c>
      <c r="D61" s="32" t="s">
        <v>181</v>
      </c>
      <c r="E61" s="32" t="s">
        <v>1589</v>
      </c>
      <c r="F61" s="34" t="s">
        <v>193</v>
      </c>
      <c r="G61" s="32" t="s">
        <v>18</v>
      </c>
      <c r="H61" s="32" t="s">
        <v>1335</v>
      </c>
      <c r="I61" s="32"/>
    </row>
    <row r="62" customFormat="false" ht="15" hidden="false" customHeight="false" outlineLevel="0" collapsed="false">
      <c r="A62" s="30" t="n">
        <v>58</v>
      </c>
      <c r="B62" s="32" t="s">
        <v>1590</v>
      </c>
      <c r="C62" s="32" t="s">
        <v>1591</v>
      </c>
      <c r="D62" s="32" t="s">
        <v>181</v>
      </c>
      <c r="E62" s="32" t="s">
        <v>1592</v>
      </c>
      <c r="F62" s="34" t="s">
        <v>193</v>
      </c>
      <c r="G62" s="32" t="s">
        <v>18</v>
      </c>
      <c r="H62" s="32" t="s">
        <v>1335</v>
      </c>
      <c r="I62" s="32"/>
    </row>
  </sheetData>
  <autoFilter ref="A4:I62"/>
  <conditionalFormatting sqref="G5:G62">
    <cfRule type="expression" priority="2" aboveAverage="0" equalAverage="0" bottom="0" percent="0" rank="0" text="" dxfId="10">
      <formula>$G5="Verified"</formula>
    </cfRule>
    <cfRule type="expression" priority="3" aboveAverage="0" equalAverage="0" bottom="0" percent="0" rank="0" text="" dxfId="11">
      <formula>$G5="Verified (secondary source)"</formula>
    </cfRule>
    <cfRule type="expression" priority="4" aboveAverage="0" equalAverage="0" bottom="0" percent="0" rank="0" text="" dxfId="12">
      <formula>$G5="Partly verified"</formula>
    </cfRule>
    <cfRule type="expression" priority="5" aboveAverage="0" equalAverage="0" bottom="0" percent="0" rank="0" text="" dxfId="13">
      <formula>$G5="Reported, not verified"</formula>
    </cfRule>
    <cfRule type="expression" priority="6" aboveAverage="0" equalAverage="0" bottom="0" percent="0" rank="0" text="" dxfId="14">
      <formula>$G5="Estimate / proxy"</formula>
    </cfRule>
    <cfRule type="expression" priority="7" aboveAverage="0" equalAverage="0" bottom="0" percent="0" rank="0" text="" dxfId="15">
      <formula>$G5="Model output"</formula>
    </cfRule>
    <cfRule type="expression" priority="8" aboveAverage="0" equalAverage="0" bottom="0" percent="0" rank="0" text="" dxfId="16">
      <formula>$G5="Unpublished / gap"</formula>
    </cfRule>
  </conditionalFormatting>
  <hyperlinks>
    <hyperlink ref="F5" r:id="rId1" display="Open source"/>
    <hyperlink ref="F6" r:id="rId2" display="Open source"/>
    <hyperlink ref="F7" r:id="rId3" display="Open source"/>
    <hyperlink ref="F8" r:id="rId4" display="Open source"/>
    <hyperlink ref="F9" r:id="rId5" display="Open source"/>
    <hyperlink ref="F10" r:id="rId6" display="Open source"/>
    <hyperlink ref="F11" r:id="rId7" display="Open source"/>
    <hyperlink ref="F12" r:id="rId8" display="Open source"/>
    <hyperlink ref="F13" r:id="rId9" display="Open source"/>
    <hyperlink ref="F14" r:id="rId10" display="Open source"/>
    <hyperlink ref="F15" r:id="rId11" display="Open source"/>
    <hyperlink ref="F16" r:id="rId12" display="Open source"/>
    <hyperlink ref="F17" r:id="rId13" display="Open source"/>
    <hyperlink ref="F18" r:id="rId14" display="Open source"/>
    <hyperlink ref="F19" r:id="rId15" display="Open source"/>
    <hyperlink ref="F20" r:id="rId16" display="Open source"/>
    <hyperlink ref="F21" r:id="rId17" display="Open source"/>
    <hyperlink ref="F22" r:id="rId18" display="Open source"/>
    <hyperlink ref="F23" r:id="rId19" display="Open source"/>
    <hyperlink ref="F24" r:id="rId20" display="Open source"/>
    <hyperlink ref="F25" r:id="rId21" display="Open source"/>
    <hyperlink ref="F26" r:id="rId22" display="Open source"/>
    <hyperlink ref="F27" r:id="rId23" display="Open source"/>
    <hyperlink ref="F28" r:id="rId24" display="Open source"/>
    <hyperlink ref="F29" r:id="rId25" display="Open source"/>
    <hyperlink ref="F30" r:id="rId26" display="Open source"/>
    <hyperlink ref="F31" r:id="rId27" display="Open source"/>
    <hyperlink ref="F33" r:id="rId28" display="Open source"/>
    <hyperlink ref="F34" r:id="rId29" display="Open source"/>
    <hyperlink ref="F35" r:id="rId30" display="Open source"/>
    <hyperlink ref="F36" r:id="rId31" display="Open source"/>
    <hyperlink ref="F37" r:id="rId32" display="Open source"/>
    <hyperlink ref="F38" r:id="rId33" display="Open source"/>
    <hyperlink ref="F39" r:id="rId34" display="Open source"/>
    <hyperlink ref="F40" r:id="rId35" display="Open source"/>
    <hyperlink ref="F41" r:id="rId36" display="Open source"/>
    <hyperlink ref="F42" r:id="rId37" display="Open source"/>
    <hyperlink ref="F43" r:id="rId38" display="Open source"/>
    <hyperlink ref="F44" r:id="rId39" display="Open source"/>
    <hyperlink ref="F45" r:id="rId40" display="Open source"/>
    <hyperlink ref="F46" r:id="rId41" display="Open source"/>
    <hyperlink ref="F47" r:id="rId42" display="Open source"/>
    <hyperlink ref="F48" r:id="rId43" display="Open source"/>
    <hyperlink ref="F49" r:id="rId44" display="Open source"/>
    <hyperlink ref="F50" r:id="rId45" display="Open source"/>
    <hyperlink ref="F51" r:id="rId46" display="Open source"/>
    <hyperlink ref="F52" r:id="rId47" display="Open source"/>
    <hyperlink ref="F53" r:id="rId48" display="Open source"/>
    <hyperlink ref="F55" r:id="rId49" display="Open source"/>
    <hyperlink ref="F56" r:id="rId50" display="Open source"/>
    <hyperlink ref="F57" r:id="rId51" display="Open source"/>
    <hyperlink ref="F58" r:id="rId52" display="Open source"/>
    <hyperlink ref="F59" r:id="rId53" display="Open source"/>
    <hyperlink ref="F60" r:id="rId54" display="Open source"/>
    <hyperlink ref="F61" r:id="rId55" display="Open source"/>
    <hyperlink ref="F62" r:id="rId56" display="Open source"/>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57"/>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45"/>
    <col collapsed="false" customWidth="true" hidden="false" outlineLevel="0" max="4" min="4" style="0" width="50"/>
    <col collapsed="false" customWidth="true" hidden="false" outlineLevel="0" max="5" min="5" style="0" width="36"/>
    <col collapsed="false" customWidth="true" hidden="false" outlineLevel="0" max="6" min="6" style="0" width="40"/>
    <col collapsed="false" customWidth="true" hidden="false" outlineLevel="0" max="7" min="7" style="0" width="34"/>
  </cols>
  <sheetData>
    <row r="1" customFormat="false" ht="17.35" hidden="false" customHeight="false" outlineLevel="0" collapsed="false">
      <c r="A1" s="1" t="s">
        <v>1593</v>
      </c>
    </row>
    <row r="2" customFormat="false" ht="15" hidden="false" customHeight="false" outlineLevel="0" collapsed="false">
      <c r="A2" s="2" t="s">
        <v>1594</v>
      </c>
    </row>
    <row r="4" customFormat="false" ht="31.5" hidden="false" customHeight="true" outlineLevel="0" collapsed="false">
      <c r="A4" s="22" t="s">
        <v>1381</v>
      </c>
      <c r="B4" s="22" t="s">
        <v>1595</v>
      </c>
      <c r="C4" s="22" t="s">
        <v>1596</v>
      </c>
      <c r="D4" s="22" t="s">
        <v>1597</v>
      </c>
      <c r="E4" s="22" t="s">
        <v>1598</v>
      </c>
      <c r="F4" s="22" t="s">
        <v>1599</v>
      </c>
      <c r="G4" s="22" t="s">
        <v>1600</v>
      </c>
    </row>
    <row r="5" customFormat="false" ht="35.05" hidden="false" customHeight="false" outlineLevel="0" collapsed="false">
      <c r="A5" s="30" t="n">
        <v>1</v>
      </c>
      <c r="B5" s="32" t="s">
        <v>1601</v>
      </c>
      <c r="C5" s="32" t="s">
        <v>1602</v>
      </c>
      <c r="D5" s="32" t="s">
        <v>1603</v>
      </c>
      <c r="E5" s="32" t="s">
        <v>1604</v>
      </c>
      <c r="F5" s="32" t="s">
        <v>1605</v>
      </c>
      <c r="G5" s="32" t="s">
        <v>1606</v>
      </c>
    </row>
    <row r="6" customFormat="false" ht="23.85" hidden="false" customHeight="false" outlineLevel="0" collapsed="false">
      <c r="A6" s="30" t="n">
        <v>2</v>
      </c>
      <c r="B6" s="32" t="s">
        <v>1607</v>
      </c>
      <c r="C6" s="32" t="s">
        <v>1608</v>
      </c>
      <c r="D6" s="32" t="s">
        <v>1609</v>
      </c>
      <c r="E6" s="32" t="s">
        <v>1610</v>
      </c>
      <c r="F6" s="32" t="s">
        <v>1611</v>
      </c>
      <c r="G6" s="32" t="s">
        <v>1612</v>
      </c>
    </row>
    <row r="7" customFormat="false" ht="23.85" hidden="false" customHeight="false" outlineLevel="0" collapsed="false">
      <c r="A7" s="30" t="n">
        <v>3</v>
      </c>
      <c r="B7" s="32" t="s">
        <v>1613</v>
      </c>
      <c r="C7" s="32" t="s">
        <v>1614</v>
      </c>
      <c r="D7" s="32" t="s">
        <v>1615</v>
      </c>
      <c r="E7" s="32" t="s">
        <v>1616</v>
      </c>
      <c r="F7" s="32" t="s">
        <v>1617</v>
      </c>
      <c r="G7" s="32" t="s">
        <v>1618</v>
      </c>
    </row>
    <row r="8" customFormat="false" ht="23.85" hidden="false" customHeight="false" outlineLevel="0" collapsed="false">
      <c r="A8" s="30" t="n">
        <v>4</v>
      </c>
      <c r="B8" s="32" t="s">
        <v>1619</v>
      </c>
      <c r="C8" s="32" t="s">
        <v>1620</v>
      </c>
      <c r="D8" s="32" t="s">
        <v>1621</v>
      </c>
      <c r="E8" s="32" t="s">
        <v>1622</v>
      </c>
      <c r="F8" s="32" t="s">
        <v>1623</v>
      </c>
      <c r="G8" s="32" t="s">
        <v>1624</v>
      </c>
    </row>
    <row r="9" customFormat="false" ht="23.85" hidden="false" customHeight="false" outlineLevel="0" collapsed="false">
      <c r="A9" s="30" t="n">
        <v>5</v>
      </c>
      <c r="B9" s="32" t="s">
        <v>1625</v>
      </c>
      <c r="C9" s="32" t="s">
        <v>1626</v>
      </c>
      <c r="D9" s="32" t="s">
        <v>1627</v>
      </c>
      <c r="E9" s="32" t="s">
        <v>1628</v>
      </c>
      <c r="F9" s="32" t="s">
        <v>1629</v>
      </c>
      <c r="G9" s="32" t="s">
        <v>127</v>
      </c>
    </row>
    <row r="10" customFormat="false" ht="23.85" hidden="false" customHeight="false" outlineLevel="0" collapsed="false">
      <c r="A10" s="30" t="n">
        <v>6</v>
      </c>
      <c r="B10" s="32" t="s">
        <v>1630</v>
      </c>
      <c r="C10" s="32" t="s">
        <v>1631</v>
      </c>
      <c r="D10" s="32" t="s">
        <v>1632</v>
      </c>
      <c r="E10" s="32" t="s">
        <v>1633</v>
      </c>
      <c r="F10" s="32" t="s">
        <v>1634</v>
      </c>
      <c r="G10" s="32" t="s">
        <v>1635</v>
      </c>
    </row>
    <row r="11" customFormat="false" ht="23.85" hidden="false" customHeight="false" outlineLevel="0" collapsed="false">
      <c r="A11" s="30" t="n">
        <v>7</v>
      </c>
      <c r="B11" s="32" t="s">
        <v>1636</v>
      </c>
      <c r="C11" s="32" t="s">
        <v>1637</v>
      </c>
      <c r="D11" s="32" t="s">
        <v>1638</v>
      </c>
      <c r="E11" s="32" t="s">
        <v>1639</v>
      </c>
      <c r="F11" s="32" t="s">
        <v>1640</v>
      </c>
      <c r="G11" s="32" t="s">
        <v>1641</v>
      </c>
    </row>
    <row r="12" customFormat="false" ht="15" hidden="false" customHeight="false" outlineLevel="0" collapsed="false">
      <c r="A12" s="30" t="n">
        <v>8</v>
      </c>
      <c r="B12" s="32" t="s">
        <v>1642</v>
      </c>
      <c r="C12" s="32" t="s">
        <v>1643</v>
      </c>
      <c r="D12" s="32" t="s">
        <v>1644</v>
      </c>
      <c r="E12" s="32" t="s">
        <v>1645</v>
      </c>
      <c r="F12" s="32" t="s">
        <v>1646</v>
      </c>
      <c r="G12" s="32" t="s">
        <v>127</v>
      </c>
    </row>
    <row r="13" customFormat="false" ht="23.85" hidden="false" customHeight="false" outlineLevel="0" collapsed="false">
      <c r="A13" s="30" t="n">
        <v>9</v>
      </c>
      <c r="B13" s="32" t="s">
        <v>1647</v>
      </c>
      <c r="C13" s="32" t="s">
        <v>1648</v>
      </c>
      <c r="D13" s="32" t="s">
        <v>1649</v>
      </c>
      <c r="E13" s="32" t="s">
        <v>1650</v>
      </c>
      <c r="F13" s="32" t="s">
        <v>1651</v>
      </c>
      <c r="G13" s="32" t="s">
        <v>127</v>
      </c>
    </row>
    <row r="14" customFormat="false" ht="23.85" hidden="false" customHeight="false" outlineLevel="0" collapsed="false">
      <c r="A14" s="30" t="n">
        <v>10</v>
      </c>
      <c r="B14" s="32" t="s">
        <v>1652</v>
      </c>
      <c r="C14" s="32" t="s">
        <v>1653</v>
      </c>
      <c r="D14" s="32" t="s">
        <v>1654</v>
      </c>
      <c r="E14" s="32" t="s">
        <v>1655</v>
      </c>
      <c r="F14" s="32" t="s">
        <v>1651</v>
      </c>
      <c r="G14" s="32" t="s">
        <v>127</v>
      </c>
    </row>
    <row r="15" customFormat="false" ht="23.85" hidden="false" customHeight="false" outlineLevel="0" collapsed="false">
      <c r="A15" s="30" t="n">
        <v>11</v>
      </c>
      <c r="B15" s="32" t="s">
        <v>1656</v>
      </c>
      <c r="C15" s="32" t="s">
        <v>1657</v>
      </c>
      <c r="D15" s="32" t="s">
        <v>1658</v>
      </c>
      <c r="E15" s="32" t="s">
        <v>1659</v>
      </c>
      <c r="F15" s="32" t="s">
        <v>1660</v>
      </c>
      <c r="G15" s="32" t="s">
        <v>1661</v>
      </c>
    </row>
    <row r="16" customFormat="false" ht="23.85" hidden="false" customHeight="false" outlineLevel="0" collapsed="false">
      <c r="A16" s="30" t="n">
        <v>12</v>
      </c>
      <c r="B16" s="32" t="s">
        <v>1662</v>
      </c>
      <c r="C16" s="32" t="s">
        <v>1663</v>
      </c>
      <c r="D16" s="32" t="s">
        <v>1664</v>
      </c>
      <c r="E16" s="32" t="s">
        <v>1665</v>
      </c>
      <c r="F16" s="32" t="s">
        <v>1666</v>
      </c>
      <c r="G16" s="32" t="s">
        <v>127</v>
      </c>
    </row>
    <row r="17" customFormat="false" ht="23.85" hidden="false" customHeight="false" outlineLevel="0" collapsed="false">
      <c r="A17" s="30" t="n">
        <v>13</v>
      </c>
      <c r="B17" s="32" t="s">
        <v>1667</v>
      </c>
      <c r="C17" s="32" t="s">
        <v>1668</v>
      </c>
      <c r="D17" s="32" t="s">
        <v>1669</v>
      </c>
      <c r="E17" s="32" t="s">
        <v>1670</v>
      </c>
      <c r="F17" s="32" t="s">
        <v>1671</v>
      </c>
      <c r="G17" s="32" t="s">
        <v>1672</v>
      </c>
    </row>
    <row r="18" customFormat="false" ht="15" hidden="false" customHeight="false" outlineLevel="0" collapsed="false">
      <c r="A18" s="30" t="n">
        <v>14</v>
      </c>
      <c r="B18" s="32" t="s">
        <v>1673</v>
      </c>
      <c r="C18" s="32" t="s">
        <v>1674</v>
      </c>
      <c r="D18" s="32" t="s">
        <v>1675</v>
      </c>
      <c r="E18" s="32" t="s">
        <v>1676</v>
      </c>
      <c r="F18" s="32" t="s">
        <v>1677</v>
      </c>
      <c r="G18" s="32" t="s">
        <v>1678</v>
      </c>
    </row>
    <row r="19" customFormat="false" ht="23.85" hidden="false" customHeight="false" outlineLevel="0" collapsed="false">
      <c r="A19" s="30" t="n">
        <v>15</v>
      </c>
      <c r="B19" s="32" t="s">
        <v>1679</v>
      </c>
      <c r="C19" s="32" t="s">
        <v>1680</v>
      </c>
      <c r="D19" s="32" t="s">
        <v>1681</v>
      </c>
      <c r="E19" s="32" t="s">
        <v>1682</v>
      </c>
      <c r="F19" s="32" t="s">
        <v>1683</v>
      </c>
      <c r="G19" s="32" t="s">
        <v>127</v>
      </c>
    </row>
    <row r="20" customFormat="false" ht="23.85" hidden="false" customHeight="false" outlineLevel="0" collapsed="false">
      <c r="A20" s="30" t="n">
        <v>16</v>
      </c>
      <c r="B20" s="32" t="s">
        <v>1684</v>
      </c>
      <c r="C20" s="32" t="s">
        <v>1685</v>
      </c>
      <c r="D20" s="32" t="s">
        <v>1686</v>
      </c>
      <c r="E20" s="32" t="s">
        <v>1687</v>
      </c>
      <c r="F20" s="32" t="s">
        <v>1688</v>
      </c>
      <c r="G20" s="32" t="s">
        <v>127</v>
      </c>
    </row>
    <row r="21" customFormat="false" ht="23.85" hidden="false" customHeight="false" outlineLevel="0" collapsed="false">
      <c r="A21" s="30" t="n">
        <v>17</v>
      </c>
      <c r="B21" s="32" t="s">
        <v>1689</v>
      </c>
      <c r="C21" s="32" t="s">
        <v>1690</v>
      </c>
      <c r="D21" s="32" t="s">
        <v>127</v>
      </c>
      <c r="E21" s="32" t="s">
        <v>127</v>
      </c>
      <c r="F21" s="32" t="s">
        <v>1691</v>
      </c>
      <c r="G21" s="32" t="s">
        <v>1692</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48"/>
    <col collapsed="false" customWidth="true" hidden="false" outlineLevel="0" max="4" min="4" style="0" width="52"/>
    <col collapsed="false" customWidth="true" hidden="false" outlineLevel="0" max="5" min="5" style="0" width="22"/>
    <col collapsed="false" customWidth="true" hidden="false" outlineLevel="0" max="6" min="6" style="0" width="30"/>
    <col collapsed="false" customWidth="true" hidden="false" outlineLevel="0" max="7" min="7" style="0" width="10"/>
  </cols>
  <sheetData>
    <row r="1" customFormat="false" ht="17.35" hidden="false" customHeight="false" outlineLevel="0" collapsed="false">
      <c r="A1" s="1" t="s">
        <v>1693</v>
      </c>
    </row>
    <row r="2" customFormat="false" ht="15" hidden="false" customHeight="false" outlineLevel="0" collapsed="false">
      <c r="A2" s="2" t="s">
        <v>1694</v>
      </c>
    </row>
    <row r="4" customFormat="false" ht="31.5" hidden="false" customHeight="true" outlineLevel="0" collapsed="false">
      <c r="A4" s="22" t="s">
        <v>1381</v>
      </c>
      <c r="B4" s="22" t="s">
        <v>1695</v>
      </c>
      <c r="C4" s="22" t="s">
        <v>1696</v>
      </c>
      <c r="D4" s="22" t="s">
        <v>1697</v>
      </c>
      <c r="E4" s="22" t="s">
        <v>1698</v>
      </c>
      <c r="F4" s="22" t="s">
        <v>1699</v>
      </c>
      <c r="G4" s="22" t="s">
        <v>1700</v>
      </c>
    </row>
    <row r="5" customFormat="false" ht="46.25" hidden="false" customHeight="false" outlineLevel="0" collapsed="false">
      <c r="A5" s="30" t="n">
        <v>1</v>
      </c>
      <c r="B5" s="32" t="s">
        <v>997</v>
      </c>
      <c r="C5" s="32" t="s">
        <v>1701</v>
      </c>
      <c r="D5" s="32" t="s">
        <v>1702</v>
      </c>
      <c r="E5" s="32" t="s">
        <v>1703</v>
      </c>
      <c r="F5" s="32" t="s">
        <v>1704</v>
      </c>
      <c r="G5" s="35" t="s">
        <v>1705</v>
      </c>
    </row>
    <row r="6" customFormat="false" ht="15" hidden="false" customHeight="false" outlineLevel="0" collapsed="false">
      <c r="A6" s="30" t="n">
        <v>2</v>
      </c>
      <c r="B6" s="32" t="s">
        <v>1706</v>
      </c>
      <c r="C6" s="32" t="s">
        <v>1707</v>
      </c>
      <c r="D6" s="32" t="s">
        <v>1708</v>
      </c>
      <c r="E6" s="32" t="s">
        <v>1709</v>
      </c>
      <c r="F6" s="32" t="s">
        <v>1710</v>
      </c>
      <c r="G6" s="35" t="s">
        <v>1705</v>
      </c>
    </row>
    <row r="7" customFormat="false" ht="23.85" hidden="false" customHeight="false" outlineLevel="0" collapsed="false">
      <c r="A7" s="30" t="n">
        <v>3</v>
      </c>
      <c r="B7" s="32" t="s">
        <v>1711</v>
      </c>
      <c r="C7" s="32" t="s">
        <v>1712</v>
      </c>
      <c r="D7" s="32" t="s">
        <v>1713</v>
      </c>
      <c r="E7" s="32" t="s">
        <v>1714</v>
      </c>
      <c r="F7" s="32" t="s">
        <v>1715</v>
      </c>
      <c r="G7" s="35" t="s">
        <v>1705</v>
      </c>
    </row>
    <row r="8" customFormat="false" ht="23.85" hidden="false" customHeight="false" outlineLevel="0" collapsed="false">
      <c r="A8" s="30" t="n">
        <v>4</v>
      </c>
      <c r="B8" s="32" t="s">
        <v>1716</v>
      </c>
      <c r="C8" s="32" t="s">
        <v>1717</v>
      </c>
      <c r="D8" s="32" t="s">
        <v>1718</v>
      </c>
      <c r="E8" s="32" t="s">
        <v>1719</v>
      </c>
      <c r="F8" s="32" t="s">
        <v>1720</v>
      </c>
      <c r="G8" s="35" t="s">
        <v>1705</v>
      </c>
    </row>
    <row r="9" customFormat="false" ht="23.85" hidden="false" customHeight="false" outlineLevel="0" collapsed="false">
      <c r="A9" s="30" t="n">
        <v>5</v>
      </c>
      <c r="B9" s="32" t="s">
        <v>1721</v>
      </c>
      <c r="C9" s="32" t="s">
        <v>1722</v>
      </c>
      <c r="D9" s="32" t="s">
        <v>1723</v>
      </c>
      <c r="E9" s="32" t="s">
        <v>1724</v>
      </c>
      <c r="F9" s="32" t="s">
        <v>1725</v>
      </c>
      <c r="G9" s="35" t="s">
        <v>1705</v>
      </c>
    </row>
    <row r="10" customFormat="false" ht="35.05" hidden="false" customHeight="false" outlineLevel="0" collapsed="false">
      <c r="A10" s="30" t="n">
        <v>6</v>
      </c>
      <c r="B10" s="32" t="s">
        <v>1726</v>
      </c>
      <c r="C10" s="32" t="s">
        <v>1727</v>
      </c>
      <c r="D10" s="32" t="s">
        <v>1728</v>
      </c>
      <c r="E10" s="32" t="s">
        <v>1729</v>
      </c>
      <c r="F10" s="32" t="s">
        <v>1730</v>
      </c>
      <c r="G10" s="35" t="s">
        <v>1705</v>
      </c>
    </row>
    <row r="11" customFormat="false" ht="23.85" hidden="false" customHeight="false" outlineLevel="0" collapsed="false">
      <c r="A11" s="30" t="n">
        <v>7</v>
      </c>
      <c r="B11" s="32" t="s">
        <v>1731</v>
      </c>
      <c r="C11" s="32" t="s">
        <v>1732</v>
      </c>
      <c r="D11" s="32" t="s">
        <v>1733</v>
      </c>
      <c r="E11" s="32" t="s">
        <v>1729</v>
      </c>
      <c r="F11" s="32" t="s">
        <v>1335</v>
      </c>
      <c r="G11" s="35" t="s">
        <v>1734</v>
      </c>
    </row>
    <row r="12" customFormat="false" ht="23.85" hidden="false" customHeight="false" outlineLevel="0" collapsed="false">
      <c r="A12" s="30" t="n">
        <v>8</v>
      </c>
      <c r="B12" s="32" t="s">
        <v>1735</v>
      </c>
      <c r="C12" s="32" t="s">
        <v>1736</v>
      </c>
      <c r="D12" s="32" t="s">
        <v>1737</v>
      </c>
      <c r="E12" s="32" t="s">
        <v>1738</v>
      </c>
      <c r="F12" s="32" t="s">
        <v>1739</v>
      </c>
      <c r="G12" s="35" t="s">
        <v>1734</v>
      </c>
    </row>
    <row r="13" customFormat="false" ht="23.85" hidden="false" customHeight="false" outlineLevel="0" collapsed="false">
      <c r="A13" s="30" t="n">
        <v>9</v>
      </c>
      <c r="B13" s="32" t="s">
        <v>1740</v>
      </c>
      <c r="C13" s="32" t="s">
        <v>1741</v>
      </c>
      <c r="D13" s="32" t="s">
        <v>1742</v>
      </c>
      <c r="E13" s="32" t="s">
        <v>1743</v>
      </c>
      <c r="F13" s="32" t="s">
        <v>467</v>
      </c>
      <c r="G13" s="35" t="s">
        <v>1734</v>
      </c>
    </row>
    <row r="14" customFormat="false" ht="15" hidden="false" customHeight="false" outlineLevel="0" collapsed="false">
      <c r="A14" s="30" t="n">
        <v>10</v>
      </c>
      <c r="B14" s="32" t="s">
        <v>1744</v>
      </c>
      <c r="C14" s="32" t="s">
        <v>1745</v>
      </c>
      <c r="D14" s="32" t="s">
        <v>1746</v>
      </c>
      <c r="E14" s="32" t="s">
        <v>1747</v>
      </c>
      <c r="F14" s="32" t="s">
        <v>1748</v>
      </c>
      <c r="G14" s="35" t="s">
        <v>1734</v>
      </c>
    </row>
    <row r="15" customFormat="false" ht="15" hidden="false" customHeight="false" outlineLevel="0" collapsed="false">
      <c r="A15" s="30" t="n">
        <v>11</v>
      </c>
      <c r="B15" s="32" t="s">
        <v>1749</v>
      </c>
      <c r="C15" s="32" t="s">
        <v>1750</v>
      </c>
      <c r="D15" s="32" t="s">
        <v>1751</v>
      </c>
      <c r="E15" s="32" t="s">
        <v>1752</v>
      </c>
      <c r="F15" s="32" t="s">
        <v>1248</v>
      </c>
      <c r="G15" s="35" t="s">
        <v>1734</v>
      </c>
    </row>
    <row r="16" customFormat="false" ht="15" hidden="false" customHeight="false" outlineLevel="0" collapsed="false">
      <c r="A16" s="30" t="n">
        <v>12</v>
      </c>
      <c r="B16" s="32" t="s">
        <v>1753</v>
      </c>
      <c r="C16" s="32" t="s">
        <v>1754</v>
      </c>
      <c r="D16" s="32" t="s">
        <v>1755</v>
      </c>
      <c r="E16" s="32" t="s">
        <v>1756</v>
      </c>
      <c r="F16" s="32" t="s">
        <v>1149</v>
      </c>
      <c r="G16" s="35" t="s">
        <v>1734</v>
      </c>
    </row>
    <row r="17" customFormat="false" ht="15" hidden="false" customHeight="false" outlineLevel="0" collapsed="false">
      <c r="A17" s="30" t="n">
        <v>13</v>
      </c>
      <c r="B17" s="32" t="s">
        <v>1757</v>
      </c>
      <c r="C17" s="32" t="s">
        <v>1758</v>
      </c>
      <c r="D17" s="32" t="s">
        <v>1759</v>
      </c>
      <c r="E17" s="32" t="s">
        <v>1709</v>
      </c>
      <c r="F17" s="32" t="s">
        <v>890</v>
      </c>
      <c r="G17" s="35" t="s">
        <v>1734</v>
      </c>
    </row>
    <row r="18" customFormat="false" ht="23.85" hidden="false" customHeight="false" outlineLevel="0" collapsed="false">
      <c r="A18" s="30" t="n">
        <v>14</v>
      </c>
      <c r="B18" s="32" t="s">
        <v>1760</v>
      </c>
      <c r="C18" s="32" t="s">
        <v>1761</v>
      </c>
      <c r="D18" s="32" t="s">
        <v>1762</v>
      </c>
      <c r="E18" s="32" t="s">
        <v>1763</v>
      </c>
      <c r="F18" s="32" t="s">
        <v>798</v>
      </c>
      <c r="G18" s="35" t="s">
        <v>1734</v>
      </c>
    </row>
    <row r="19" customFormat="false" ht="15" hidden="false" customHeight="false" outlineLevel="0" collapsed="false">
      <c r="A19" s="30" t="n">
        <v>15</v>
      </c>
      <c r="B19" s="32" t="s">
        <v>1764</v>
      </c>
      <c r="C19" s="32" t="s">
        <v>1765</v>
      </c>
      <c r="D19" s="32" t="s">
        <v>1766</v>
      </c>
      <c r="E19" s="32" t="s">
        <v>1767</v>
      </c>
      <c r="F19" s="32" t="s">
        <v>901</v>
      </c>
      <c r="G19" s="35" t="s">
        <v>1768</v>
      </c>
    </row>
    <row r="20" customFormat="false" ht="23.85" hidden="false" customHeight="false" outlineLevel="0" collapsed="false">
      <c r="A20" s="30" t="n">
        <v>16</v>
      </c>
      <c r="B20" s="32" t="s">
        <v>1769</v>
      </c>
      <c r="C20" s="32" t="s">
        <v>1770</v>
      </c>
      <c r="D20" s="32" t="s">
        <v>1771</v>
      </c>
      <c r="E20" s="32" t="s">
        <v>1772</v>
      </c>
      <c r="F20" s="32" t="s">
        <v>850</v>
      </c>
      <c r="G20" s="35" t="s">
        <v>1768</v>
      </c>
    </row>
    <row r="21" customFormat="false" ht="23.85" hidden="false" customHeight="false" outlineLevel="0" collapsed="false">
      <c r="A21" s="30" t="n">
        <v>17</v>
      </c>
      <c r="B21" s="32" t="s">
        <v>1773</v>
      </c>
      <c r="C21" s="32" t="s">
        <v>1774</v>
      </c>
      <c r="D21" s="32" t="s">
        <v>1775</v>
      </c>
      <c r="E21" s="32" t="s">
        <v>1776</v>
      </c>
      <c r="F21" s="32" t="s">
        <v>1288</v>
      </c>
      <c r="G21" s="35" t="s">
        <v>1768</v>
      </c>
    </row>
    <row r="22" customFormat="false" ht="23.85" hidden="false" customHeight="false" outlineLevel="0" collapsed="false">
      <c r="A22" s="30" t="n">
        <v>18</v>
      </c>
      <c r="B22" s="32" t="s">
        <v>1777</v>
      </c>
      <c r="C22" s="32" t="s">
        <v>1778</v>
      </c>
      <c r="D22" s="32" t="s">
        <v>1779</v>
      </c>
      <c r="E22" s="32" t="s">
        <v>1780</v>
      </c>
      <c r="F22" s="32" t="s">
        <v>1016</v>
      </c>
      <c r="G22" s="35" t="s">
        <v>1768</v>
      </c>
    </row>
    <row r="23" customFormat="false" ht="15" hidden="false" customHeight="false" outlineLevel="0" collapsed="false">
      <c r="A23" s="30" t="n">
        <v>19</v>
      </c>
      <c r="B23" s="32" t="s">
        <v>1781</v>
      </c>
      <c r="C23" s="32" t="s">
        <v>1782</v>
      </c>
      <c r="D23" s="32" t="s">
        <v>1783</v>
      </c>
      <c r="E23" s="32" t="s">
        <v>1763</v>
      </c>
      <c r="F23" s="32" t="s">
        <v>1140</v>
      </c>
      <c r="G23" s="35" t="s">
        <v>1768</v>
      </c>
    </row>
    <row r="24" customFormat="false" ht="15" hidden="false" customHeight="false" outlineLevel="0" collapsed="false">
      <c r="A24" s="30" t="n">
        <v>20</v>
      </c>
      <c r="B24" s="32" t="s">
        <v>1784</v>
      </c>
      <c r="C24" s="32" t="s">
        <v>1785</v>
      </c>
      <c r="D24" s="32" t="s">
        <v>1786</v>
      </c>
      <c r="E24" s="32" t="s">
        <v>1787</v>
      </c>
      <c r="F24" s="32" t="s">
        <v>1175</v>
      </c>
      <c r="G24" s="35" t="s">
        <v>1768</v>
      </c>
    </row>
    <row r="25" customFormat="false" ht="15" hidden="false" customHeight="false" outlineLevel="0" collapsed="false">
      <c r="A25" s="30" t="n">
        <v>21</v>
      </c>
      <c r="B25" s="32" t="s">
        <v>1788</v>
      </c>
      <c r="C25" s="32" t="s">
        <v>1789</v>
      </c>
      <c r="D25" s="32" t="s">
        <v>1790</v>
      </c>
      <c r="E25" s="32" t="s">
        <v>1791</v>
      </c>
      <c r="F25" s="32" t="s">
        <v>976</v>
      </c>
      <c r="G25" s="35" t="s">
        <v>1768</v>
      </c>
    </row>
  </sheetData>
  <autoFilter ref="A4:G25"/>
  <conditionalFormatting sqref="G5">
    <cfRule type="expression" priority="2" aboveAverage="0" equalAverage="0" bottom="0" percent="0" rank="0" text="" dxfId="16">
      <formula>$G5="High"</formula>
    </cfRule>
  </conditionalFormatting>
  <conditionalFormatting sqref="G6">
    <cfRule type="expression" priority="3" aboveAverage="0" equalAverage="0" bottom="0" percent="0" rank="0" text="" dxfId="16">
      <formula>$G6="High"</formula>
    </cfRule>
  </conditionalFormatting>
  <conditionalFormatting sqref="G7">
    <cfRule type="expression" priority="4" aboveAverage="0" equalAverage="0" bottom="0" percent="0" rank="0" text="" dxfId="16">
      <formula>$G7="High"</formula>
    </cfRule>
  </conditionalFormatting>
  <conditionalFormatting sqref="G8">
    <cfRule type="expression" priority="5" aboveAverage="0" equalAverage="0" bottom="0" percent="0" rank="0" text="" dxfId="16">
      <formula>$G8="High"</formula>
    </cfRule>
  </conditionalFormatting>
  <conditionalFormatting sqref="G9">
    <cfRule type="expression" priority="6" aboveAverage="0" equalAverage="0" bottom="0" percent="0" rank="0" text="" dxfId="16">
      <formula>$G9="High"</formula>
    </cfRule>
  </conditionalFormatting>
  <conditionalFormatting sqref="G10">
    <cfRule type="expression" priority="7" aboveAverage="0" equalAverage="0" bottom="0" percent="0" rank="0" text="" dxfId="16">
      <formula>$G10="High"</formula>
    </cfRule>
  </conditionalFormatting>
  <conditionalFormatting sqref="G11">
    <cfRule type="expression" priority="8" aboveAverage="0" equalAverage="0" bottom="0" percent="0" rank="0" text="" dxfId="16">
      <formula>$G11="High"</formula>
    </cfRule>
  </conditionalFormatting>
  <conditionalFormatting sqref="G12">
    <cfRule type="expression" priority="9" aboveAverage="0" equalAverage="0" bottom="0" percent="0" rank="0" text="" dxfId="16">
      <formula>$G12="High"</formula>
    </cfRule>
  </conditionalFormatting>
  <conditionalFormatting sqref="G13">
    <cfRule type="expression" priority="10" aboveAverage="0" equalAverage="0" bottom="0" percent="0" rank="0" text="" dxfId="16">
      <formula>$G13="High"</formula>
    </cfRule>
  </conditionalFormatting>
  <conditionalFormatting sqref="G14">
    <cfRule type="expression" priority="11" aboveAverage="0" equalAverage="0" bottom="0" percent="0" rank="0" text="" dxfId="16">
      <formula>$G14="High"</formula>
    </cfRule>
  </conditionalFormatting>
  <conditionalFormatting sqref="G15">
    <cfRule type="expression" priority="12" aboveAverage="0" equalAverage="0" bottom="0" percent="0" rank="0" text="" dxfId="16">
      <formula>$G15="High"</formula>
    </cfRule>
  </conditionalFormatting>
  <conditionalFormatting sqref="G16">
    <cfRule type="expression" priority="13" aboveAverage="0" equalAverage="0" bottom="0" percent="0" rank="0" text="" dxfId="16">
      <formula>$G16="High"</formula>
    </cfRule>
  </conditionalFormatting>
  <conditionalFormatting sqref="G17">
    <cfRule type="expression" priority="14" aboveAverage="0" equalAverage="0" bottom="0" percent="0" rank="0" text="" dxfId="16">
      <formula>$G17="High"</formula>
    </cfRule>
  </conditionalFormatting>
  <conditionalFormatting sqref="G18">
    <cfRule type="expression" priority="15" aboveAverage="0" equalAverage="0" bottom="0" percent="0" rank="0" text="" dxfId="16">
      <formula>$G18="High"</formula>
    </cfRule>
  </conditionalFormatting>
  <conditionalFormatting sqref="G19">
    <cfRule type="expression" priority="16" aboveAverage="0" equalAverage="0" bottom="0" percent="0" rank="0" text="" dxfId="16">
      <formula>$G19="High"</formula>
    </cfRule>
  </conditionalFormatting>
  <conditionalFormatting sqref="G20">
    <cfRule type="expression" priority="17" aboveAverage="0" equalAverage="0" bottom="0" percent="0" rank="0" text="" dxfId="16">
      <formula>$G20="High"</formula>
    </cfRule>
  </conditionalFormatting>
  <conditionalFormatting sqref="G21">
    <cfRule type="expression" priority="18" aboveAverage="0" equalAverage="0" bottom="0" percent="0" rank="0" text="" dxfId="16">
      <formula>$G21="High"</formula>
    </cfRule>
  </conditionalFormatting>
  <conditionalFormatting sqref="G22">
    <cfRule type="expression" priority="19" aboveAverage="0" equalAverage="0" bottom="0" percent="0" rank="0" text="" dxfId="16">
      <formula>$G22="High"</formula>
    </cfRule>
  </conditionalFormatting>
  <conditionalFormatting sqref="G23">
    <cfRule type="expression" priority="20" aboveAverage="0" equalAverage="0" bottom="0" percent="0" rank="0" text="" dxfId="16">
      <formula>$G23="High"</formula>
    </cfRule>
  </conditionalFormatting>
  <conditionalFormatting sqref="G24">
    <cfRule type="expression" priority="21" aboveAverage="0" equalAverage="0" bottom="0" percent="0" rank="0" text="" dxfId="16">
      <formula>$G24="High"</formula>
    </cfRule>
  </conditionalFormatting>
  <conditionalFormatting sqref="G25">
    <cfRule type="expression" priority="22" aboveAverage="0" equalAverage="0" bottom="0" percent="0" rank="0" text="" dxfId="16">
      <formula>$G25="High"</formula>
    </cfRule>
  </conditionalFormatting>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26"/>
    <col collapsed="false" customWidth="true" hidden="false" outlineLevel="0" max="4" min="4" style="0" width="60"/>
  </cols>
  <sheetData>
    <row r="1" customFormat="false" ht="17.35" hidden="false" customHeight="false" outlineLevel="0" collapsed="false">
      <c r="A1" s="1" t="s">
        <v>13</v>
      </c>
    </row>
    <row r="2" customFormat="false" ht="15" hidden="false" customHeight="false" outlineLevel="0" collapsed="false">
      <c r="A2" s="2" t="s">
        <v>1792</v>
      </c>
    </row>
    <row r="4" customFormat="false" ht="31.5" hidden="false" customHeight="true" outlineLevel="0" collapsed="false">
      <c r="A4" s="22" t="s">
        <v>1381</v>
      </c>
      <c r="B4" s="22" t="s">
        <v>1384</v>
      </c>
      <c r="C4" s="22" t="s">
        <v>1793</v>
      </c>
      <c r="D4" s="22" t="s">
        <v>70</v>
      </c>
    </row>
    <row r="5" customFormat="false" ht="15" hidden="false" customHeight="false" outlineLevel="0" collapsed="false">
      <c r="A5" s="32" t="n">
        <v>1</v>
      </c>
      <c r="B5" s="32" t="s">
        <v>1794</v>
      </c>
      <c r="C5" s="32" t="s">
        <v>1795</v>
      </c>
      <c r="D5" s="34" t="s">
        <v>1796</v>
      </c>
    </row>
    <row r="6" customFormat="false" ht="23.85" hidden="false" customHeight="false" outlineLevel="0" collapsed="false">
      <c r="A6" s="32" t="n">
        <v>2</v>
      </c>
      <c r="B6" s="32" t="s">
        <v>1434</v>
      </c>
      <c r="C6" s="32" t="s">
        <v>1797</v>
      </c>
      <c r="D6" s="34" t="s">
        <v>1798</v>
      </c>
    </row>
    <row r="7" customFormat="false" ht="15" hidden="false" customHeight="false" outlineLevel="0" collapsed="false">
      <c r="A7" s="32" t="n">
        <v>3</v>
      </c>
      <c r="B7" s="32" t="s">
        <v>1799</v>
      </c>
      <c r="C7" s="32" t="s">
        <v>1800</v>
      </c>
      <c r="D7" s="34" t="s">
        <v>1801</v>
      </c>
    </row>
    <row r="8" customFormat="false" ht="15" hidden="false" customHeight="false" outlineLevel="0" collapsed="false">
      <c r="A8" s="32" t="n">
        <v>4</v>
      </c>
      <c r="B8" s="32" t="s">
        <v>1802</v>
      </c>
      <c r="C8" s="32" t="s">
        <v>1803</v>
      </c>
      <c r="D8" s="34" t="s">
        <v>1804</v>
      </c>
    </row>
    <row r="9" customFormat="false" ht="15" hidden="false" customHeight="false" outlineLevel="0" collapsed="false">
      <c r="A9" s="32" t="n">
        <v>5</v>
      </c>
      <c r="B9" s="32" t="s">
        <v>1805</v>
      </c>
      <c r="C9" s="32" t="s">
        <v>1803</v>
      </c>
      <c r="D9" s="34" t="s">
        <v>1806</v>
      </c>
    </row>
    <row r="10" customFormat="false" ht="15" hidden="false" customHeight="false" outlineLevel="0" collapsed="false">
      <c r="A10" s="32" t="n">
        <v>6</v>
      </c>
      <c r="B10" s="32" t="s">
        <v>1807</v>
      </c>
      <c r="C10" s="32" t="s">
        <v>1808</v>
      </c>
      <c r="D10" s="34" t="s">
        <v>1809</v>
      </c>
    </row>
    <row r="11" customFormat="false" ht="15" hidden="false" customHeight="false" outlineLevel="0" collapsed="false">
      <c r="A11" s="32" t="n">
        <v>7</v>
      </c>
      <c r="B11" s="32" t="s">
        <v>1810</v>
      </c>
      <c r="C11" s="32" t="s">
        <v>1811</v>
      </c>
      <c r="D11" s="34" t="s">
        <v>1812</v>
      </c>
    </row>
    <row r="12" customFormat="false" ht="15" hidden="false" customHeight="false" outlineLevel="0" collapsed="false">
      <c r="A12" s="32" t="n">
        <v>8</v>
      </c>
      <c r="B12" s="32" t="s">
        <v>1431</v>
      </c>
      <c r="C12" s="32" t="s">
        <v>1803</v>
      </c>
      <c r="D12" s="34" t="s">
        <v>1813</v>
      </c>
    </row>
    <row r="13" customFormat="false" ht="15" hidden="false" customHeight="false" outlineLevel="0" collapsed="false">
      <c r="A13" s="32" t="n">
        <v>9</v>
      </c>
      <c r="B13" s="32" t="s">
        <v>1814</v>
      </c>
      <c r="C13" s="32" t="s">
        <v>1815</v>
      </c>
      <c r="D13" s="34" t="s">
        <v>1816</v>
      </c>
    </row>
    <row r="14" customFormat="false" ht="15" hidden="false" customHeight="false" outlineLevel="0" collapsed="false">
      <c r="A14" s="32" t="n">
        <v>10</v>
      </c>
      <c r="B14" s="32" t="s">
        <v>1817</v>
      </c>
      <c r="C14" s="32" t="s">
        <v>1818</v>
      </c>
      <c r="D14" s="34" t="s">
        <v>1819</v>
      </c>
    </row>
    <row r="15" customFormat="false" ht="15" hidden="false" customHeight="false" outlineLevel="0" collapsed="false">
      <c r="A15" s="32" t="n">
        <v>11</v>
      </c>
      <c r="B15" s="32" t="s">
        <v>1820</v>
      </c>
      <c r="C15" s="32" t="s">
        <v>1821</v>
      </c>
      <c r="D15" s="34" t="s">
        <v>1822</v>
      </c>
    </row>
    <row r="16" customFormat="false" ht="15" hidden="false" customHeight="false" outlineLevel="0" collapsed="false">
      <c r="A16" s="32" t="n">
        <v>12</v>
      </c>
      <c r="B16" s="32" t="s">
        <v>1823</v>
      </c>
      <c r="C16" s="32" t="s">
        <v>1824</v>
      </c>
      <c r="D16" s="34" t="s">
        <v>1825</v>
      </c>
    </row>
    <row r="17" customFormat="false" ht="15" hidden="false" customHeight="false" outlineLevel="0" collapsed="false">
      <c r="A17" s="32" t="n">
        <v>13</v>
      </c>
      <c r="B17" s="32" t="s">
        <v>1826</v>
      </c>
      <c r="C17" s="32" t="s">
        <v>1803</v>
      </c>
      <c r="D17" s="34" t="s">
        <v>1827</v>
      </c>
    </row>
    <row r="18" customFormat="false" ht="15" hidden="false" customHeight="false" outlineLevel="0" collapsed="false">
      <c r="A18" s="32" t="n">
        <v>14</v>
      </c>
      <c r="B18" s="32" t="s">
        <v>1828</v>
      </c>
      <c r="C18" s="32" t="s">
        <v>1803</v>
      </c>
      <c r="D18" s="34" t="s">
        <v>1829</v>
      </c>
    </row>
    <row r="19" customFormat="false" ht="15" hidden="false" customHeight="false" outlineLevel="0" collapsed="false">
      <c r="A19" s="32" t="n">
        <v>15</v>
      </c>
      <c r="B19" s="32" t="s">
        <v>1830</v>
      </c>
      <c r="C19" s="32" t="s">
        <v>1824</v>
      </c>
      <c r="D19" s="34" t="s">
        <v>1831</v>
      </c>
    </row>
    <row r="20" customFormat="false" ht="15" hidden="false" customHeight="false" outlineLevel="0" collapsed="false">
      <c r="A20" s="32" t="n">
        <v>16</v>
      </c>
      <c r="B20" s="32" t="s">
        <v>1832</v>
      </c>
      <c r="C20" s="32" t="s">
        <v>1824</v>
      </c>
      <c r="D20" s="34" t="s">
        <v>1833</v>
      </c>
    </row>
    <row r="21" customFormat="false" ht="15" hidden="false" customHeight="false" outlineLevel="0" collapsed="false">
      <c r="A21" s="32" t="n">
        <v>17</v>
      </c>
      <c r="B21" s="32" t="s">
        <v>1482</v>
      </c>
      <c r="C21" s="32" t="s">
        <v>1803</v>
      </c>
      <c r="D21" s="34" t="s">
        <v>1834</v>
      </c>
    </row>
    <row r="22" customFormat="false" ht="15" hidden="false" customHeight="false" outlineLevel="0" collapsed="false">
      <c r="A22" s="32" t="n">
        <v>18</v>
      </c>
      <c r="B22" s="32" t="s">
        <v>1835</v>
      </c>
      <c r="C22" s="32" t="s">
        <v>1803</v>
      </c>
      <c r="D22" s="34" t="s">
        <v>1836</v>
      </c>
    </row>
    <row r="23" customFormat="false" ht="15" hidden="false" customHeight="false" outlineLevel="0" collapsed="false">
      <c r="A23" s="32" t="n">
        <v>19</v>
      </c>
      <c r="B23" s="32" t="s">
        <v>1837</v>
      </c>
      <c r="C23" s="32" t="s">
        <v>1838</v>
      </c>
      <c r="D23" s="34" t="s">
        <v>1839</v>
      </c>
    </row>
    <row r="24" customFormat="false" ht="15" hidden="false" customHeight="false" outlineLevel="0" collapsed="false">
      <c r="A24" s="32" t="n">
        <v>20</v>
      </c>
      <c r="B24" s="32" t="s">
        <v>1840</v>
      </c>
      <c r="C24" s="32" t="s">
        <v>1838</v>
      </c>
      <c r="D24" s="34" t="s">
        <v>1841</v>
      </c>
    </row>
    <row r="25" customFormat="false" ht="15" hidden="false" customHeight="false" outlineLevel="0" collapsed="false">
      <c r="A25" s="32" t="n">
        <v>21</v>
      </c>
      <c r="B25" s="32" t="s">
        <v>1842</v>
      </c>
      <c r="C25" s="32" t="s">
        <v>1843</v>
      </c>
      <c r="D25" s="34" t="s">
        <v>1844</v>
      </c>
    </row>
    <row r="26" customFormat="false" ht="15" hidden="false" customHeight="false" outlineLevel="0" collapsed="false">
      <c r="A26" s="32" t="n">
        <v>22</v>
      </c>
      <c r="B26" s="32" t="s">
        <v>1845</v>
      </c>
      <c r="C26" s="32" t="s">
        <v>1803</v>
      </c>
      <c r="D26" s="34" t="s">
        <v>1846</v>
      </c>
    </row>
    <row r="27" customFormat="false" ht="15" hidden="false" customHeight="false" outlineLevel="0" collapsed="false">
      <c r="A27" s="32" t="n">
        <v>23</v>
      </c>
      <c r="B27" s="32" t="s">
        <v>1847</v>
      </c>
      <c r="C27" s="32" t="s">
        <v>1848</v>
      </c>
      <c r="D27" s="34" t="s">
        <v>1849</v>
      </c>
    </row>
    <row r="28" customFormat="false" ht="15" hidden="false" customHeight="false" outlineLevel="0" collapsed="false">
      <c r="A28" s="32" t="n">
        <v>24</v>
      </c>
      <c r="B28" s="32" t="s">
        <v>1850</v>
      </c>
      <c r="C28" s="32" t="s">
        <v>1803</v>
      </c>
      <c r="D28" s="34" t="s">
        <v>1851</v>
      </c>
    </row>
    <row r="29" customFormat="false" ht="15" hidden="false" customHeight="false" outlineLevel="0" collapsed="false">
      <c r="A29" s="32" t="n">
        <v>25</v>
      </c>
      <c r="B29" s="32" t="s">
        <v>1852</v>
      </c>
      <c r="C29" s="32" t="s">
        <v>1803</v>
      </c>
      <c r="D29" s="34" t="s">
        <v>1853</v>
      </c>
    </row>
    <row r="30" customFormat="false" ht="15" hidden="false" customHeight="false" outlineLevel="0" collapsed="false">
      <c r="A30" s="32" t="n">
        <v>26</v>
      </c>
      <c r="B30" s="32" t="s">
        <v>1854</v>
      </c>
      <c r="C30" s="32" t="s">
        <v>1855</v>
      </c>
      <c r="D30" s="34" t="s">
        <v>1856</v>
      </c>
    </row>
    <row r="31" customFormat="false" ht="15" hidden="false" customHeight="false" outlineLevel="0" collapsed="false">
      <c r="A31" s="32" t="n">
        <v>27</v>
      </c>
      <c r="B31" s="32" t="s">
        <v>1857</v>
      </c>
      <c r="C31" s="32" t="s">
        <v>1803</v>
      </c>
      <c r="D31" s="34" t="s">
        <v>1858</v>
      </c>
    </row>
    <row r="32" customFormat="false" ht="15" hidden="false" customHeight="false" outlineLevel="0" collapsed="false">
      <c r="A32" s="32" t="n">
        <v>28</v>
      </c>
      <c r="B32" s="32" t="s">
        <v>1859</v>
      </c>
      <c r="C32" s="32" t="s">
        <v>1855</v>
      </c>
      <c r="D32" s="34" t="s">
        <v>1860</v>
      </c>
    </row>
    <row r="33" customFormat="false" ht="15" hidden="false" customHeight="false" outlineLevel="0" collapsed="false">
      <c r="A33" s="32" t="n">
        <v>29</v>
      </c>
      <c r="B33" s="32" t="s">
        <v>1861</v>
      </c>
      <c r="C33" s="32" t="s">
        <v>1803</v>
      </c>
      <c r="D33" s="34" t="s">
        <v>1862</v>
      </c>
    </row>
    <row r="34" customFormat="false" ht="15" hidden="false" customHeight="false" outlineLevel="0" collapsed="false">
      <c r="A34" s="32" t="n">
        <v>30</v>
      </c>
      <c r="B34" s="32" t="s">
        <v>1863</v>
      </c>
      <c r="C34" s="32" t="s">
        <v>1855</v>
      </c>
      <c r="D34" s="34" t="s">
        <v>1864</v>
      </c>
    </row>
    <row r="35" customFormat="false" ht="15" hidden="false" customHeight="false" outlineLevel="0" collapsed="false">
      <c r="A35" s="32" t="n">
        <v>31</v>
      </c>
      <c r="B35" s="32" t="s">
        <v>1865</v>
      </c>
      <c r="C35" s="32" t="s">
        <v>1866</v>
      </c>
      <c r="D35" s="34" t="s">
        <v>1867</v>
      </c>
    </row>
    <row r="36" customFormat="false" ht="15" hidden="false" customHeight="false" outlineLevel="0" collapsed="false">
      <c r="A36" s="32" t="n">
        <v>32</v>
      </c>
      <c r="B36" s="32" t="s">
        <v>1868</v>
      </c>
      <c r="C36" s="32" t="s">
        <v>1803</v>
      </c>
      <c r="D36" s="34" t="s">
        <v>1869</v>
      </c>
    </row>
    <row r="37" customFormat="false" ht="15" hidden="false" customHeight="false" outlineLevel="0" collapsed="false">
      <c r="A37" s="32" t="n">
        <v>33</v>
      </c>
      <c r="B37" s="32" t="s">
        <v>1427</v>
      </c>
      <c r="C37" s="32" t="s">
        <v>1843</v>
      </c>
      <c r="D37" s="34" t="s">
        <v>1870</v>
      </c>
    </row>
    <row r="38" customFormat="false" ht="23.85" hidden="false" customHeight="false" outlineLevel="0" collapsed="false">
      <c r="A38" s="32" t="n">
        <v>34</v>
      </c>
      <c r="B38" s="32" t="s">
        <v>1871</v>
      </c>
      <c r="C38" s="32" t="s">
        <v>1872</v>
      </c>
      <c r="D38" s="32" t="s">
        <v>1873</v>
      </c>
    </row>
    <row r="39" customFormat="false" ht="15" hidden="false" customHeight="false" outlineLevel="0" collapsed="false">
      <c r="A39" s="32" t="n">
        <v>35</v>
      </c>
      <c r="B39" s="32" t="s">
        <v>1874</v>
      </c>
      <c r="C39" s="32" t="s">
        <v>1875</v>
      </c>
      <c r="D39" s="32" t="s">
        <v>1873</v>
      </c>
    </row>
    <row r="40" customFormat="false" ht="15" hidden="false" customHeight="false" outlineLevel="0" collapsed="false">
      <c r="A40" s="32" t="n">
        <v>36</v>
      </c>
      <c r="B40" s="32" t="s">
        <v>1876</v>
      </c>
      <c r="C40" s="32" t="s">
        <v>1877</v>
      </c>
      <c r="D40" s="32" t="s">
        <v>1873</v>
      </c>
    </row>
    <row r="41" customFormat="false" ht="15" hidden="false" customHeight="false" outlineLevel="0" collapsed="false">
      <c r="A41" s="32" t="n">
        <v>37</v>
      </c>
      <c r="B41" s="32" t="s">
        <v>1878</v>
      </c>
      <c r="C41" s="32" t="s">
        <v>1879</v>
      </c>
      <c r="D41" s="32" t="s">
        <v>1873</v>
      </c>
    </row>
    <row r="42" customFormat="false" ht="15" hidden="false" customHeight="false" outlineLevel="0" collapsed="false">
      <c r="A42" s="32" t="n">
        <v>38</v>
      </c>
      <c r="B42" s="32" t="s">
        <v>171</v>
      </c>
      <c r="C42" s="32" t="s">
        <v>1879</v>
      </c>
      <c r="D42" s="32" t="s">
        <v>1873</v>
      </c>
    </row>
    <row r="43" customFormat="false" ht="15" hidden="false" customHeight="false" outlineLevel="0" collapsed="false">
      <c r="A43" s="32" t="n">
        <v>39</v>
      </c>
      <c r="B43" s="32" t="s">
        <v>1880</v>
      </c>
      <c r="C43" s="32" t="s">
        <v>1881</v>
      </c>
      <c r="D43" s="32" t="s">
        <v>1873</v>
      </c>
    </row>
    <row r="44" customFormat="false" ht="15" hidden="false" customHeight="false" outlineLevel="0" collapsed="false">
      <c r="A44" s="32" t="n">
        <v>40</v>
      </c>
      <c r="B44" s="32" t="s">
        <v>626</v>
      </c>
      <c r="C44" s="32" t="s">
        <v>1882</v>
      </c>
      <c r="D44" s="32" t="s">
        <v>1873</v>
      </c>
    </row>
    <row r="45" customFormat="false" ht="15" hidden="false" customHeight="false" outlineLevel="0" collapsed="false">
      <c r="A45" s="32" t="n">
        <v>41</v>
      </c>
      <c r="B45" s="32" t="s">
        <v>1883</v>
      </c>
      <c r="C45" s="32" t="s">
        <v>1884</v>
      </c>
      <c r="D45" s="32" t="s">
        <v>1873</v>
      </c>
    </row>
    <row r="46" customFormat="false" ht="15" hidden="false" customHeight="false" outlineLevel="0" collapsed="false">
      <c r="A46" s="32" t="n">
        <v>42</v>
      </c>
      <c r="B46" s="32" t="s">
        <v>1885</v>
      </c>
      <c r="C46" s="32" t="s">
        <v>1886</v>
      </c>
      <c r="D46" s="32" t="s">
        <v>1873</v>
      </c>
    </row>
    <row r="47" customFormat="false" ht="15" hidden="false" customHeight="false" outlineLevel="0" collapsed="false">
      <c r="A47" s="32" t="n">
        <v>43</v>
      </c>
      <c r="B47" s="32" t="s">
        <v>1887</v>
      </c>
      <c r="C47" s="32" t="s">
        <v>1888</v>
      </c>
      <c r="D47" s="32" t="s">
        <v>1873</v>
      </c>
    </row>
    <row r="48" customFormat="false" ht="15" hidden="false" customHeight="false" outlineLevel="0" collapsed="false">
      <c r="A48" s="32" t="n">
        <v>44</v>
      </c>
      <c r="B48" s="32" t="s">
        <v>1889</v>
      </c>
      <c r="C48" s="32" t="s">
        <v>1890</v>
      </c>
      <c r="D48" s="32" t="s">
        <v>1873</v>
      </c>
    </row>
    <row r="49" customFormat="false" ht="15" hidden="false" customHeight="false" outlineLevel="0" collapsed="false">
      <c r="A49" s="32" t="n">
        <v>45</v>
      </c>
      <c r="B49" s="32" t="s">
        <v>1891</v>
      </c>
      <c r="C49" s="32" t="s">
        <v>1890</v>
      </c>
      <c r="D49" s="32" t="s">
        <v>1873</v>
      </c>
    </row>
    <row r="50" customFormat="false" ht="15" hidden="false" customHeight="false" outlineLevel="0" collapsed="false">
      <c r="A50" s="32" t="n">
        <v>46</v>
      </c>
      <c r="B50" s="32" t="s">
        <v>1892</v>
      </c>
      <c r="C50" s="32" t="s">
        <v>1893</v>
      </c>
      <c r="D50" s="32" t="s">
        <v>1873</v>
      </c>
    </row>
    <row r="51" customFormat="false" ht="23.85" hidden="false" customHeight="false" outlineLevel="0" collapsed="false">
      <c r="A51" s="32" t="n">
        <v>47</v>
      </c>
      <c r="B51" s="32" t="s">
        <v>1894</v>
      </c>
      <c r="C51" s="32" t="s">
        <v>1895</v>
      </c>
      <c r="D51" s="34" t="s">
        <v>1896</v>
      </c>
    </row>
    <row r="52" customFormat="false" ht="15" hidden="false" customHeight="false" outlineLevel="0" collapsed="false">
      <c r="A52" s="32" t="n">
        <v>48</v>
      </c>
      <c r="B52" s="32" t="s">
        <v>1897</v>
      </c>
      <c r="C52" s="32" t="s">
        <v>1877</v>
      </c>
      <c r="D52" s="32" t="s">
        <v>1873</v>
      </c>
    </row>
    <row r="53" customFormat="false" ht="15" hidden="false" customHeight="false" outlineLevel="0" collapsed="false">
      <c r="A53" s="32" t="n">
        <v>49</v>
      </c>
      <c r="B53" s="32" t="s">
        <v>1898</v>
      </c>
      <c r="C53" s="32" t="s">
        <v>1877</v>
      </c>
      <c r="D53" s="32" t="s">
        <v>1873</v>
      </c>
    </row>
    <row r="54" customFormat="false" ht="23.85" hidden="false" customHeight="false" outlineLevel="0" collapsed="false">
      <c r="A54" s="32" t="n">
        <v>50</v>
      </c>
      <c r="B54" s="32" t="s">
        <v>1899</v>
      </c>
      <c r="C54" s="32" t="s">
        <v>1900</v>
      </c>
      <c r="D54" s="32" t="s">
        <v>1873</v>
      </c>
    </row>
    <row r="55" customFormat="false" ht="23.85" hidden="false" customHeight="false" outlineLevel="0" collapsed="false">
      <c r="A55" s="32" t="n">
        <v>51</v>
      </c>
      <c r="B55" s="32" t="s">
        <v>1901</v>
      </c>
      <c r="C55" s="32" t="s">
        <v>1162</v>
      </c>
      <c r="D55" s="32" t="s">
        <v>1873</v>
      </c>
    </row>
    <row r="56" customFormat="false" ht="15" hidden="false" customHeight="false" outlineLevel="0" collapsed="false">
      <c r="A56" s="32" t="n">
        <v>52</v>
      </c>
      <c r="B56" s="32" t="s">
        <v>1902</v>
      </c>
      <c r="C56" s="32" t="s">
        <v>1162</v>
      </c>
      <c r="D56" s="32" t="s">
        <v>1873</v>
      </c>
    </row>
    <row r="57" customFormat="false" ht="15" hidden="false" customHeight="false" outlineLevel="0" collapsed="false">
      <c r="A57" s="32" t="n">
        <v>53</v>
      </c>
      <c r="B57" s="32" t="s">
        <v>1903</v>
      </c>
      <c r="C57" s="32" t="s">
        <v>1904</v>
      </c>
      <c r="D57" s="32" t="s">
        <v>1873</v>
      </c>
    </row>
    <row r="58" customFormat="false" ht="15" hidden="false" customHeight="false" outlineLevel="0" collapsed="false">
      <c r="A58" s="32" t="n">
        <v>54</v>
      </c>
      <c r="B58" s="32" t="s">
        <v>1905</v>
      </c>
      <c r="C58" s="32" t="s">
        <v>1906</v>
      </c>
      <c r="D58" s="32" t="s">
        <v>1873</v>
      </c>
    </row>
  </sheetData>
  <hyperlinks>
    <hyperlink ref="D5" r:id="rId1" display="https://eta-publications.lbl.gov/sites/default/files/2024-12/lbnl-2024-united-states-data-center-energy-usage-report_1.pdf"/>
    <hyperlink ref="D6" r:id="rId2" display="https://datacenter.uptimeinstitute.com/rs/711-RIA-145/images/2025.Annual.Survey.Report.pdf?version=0"/>
    <hyperlink ref="D7" r:id="rId3" display="https://arxiv.org/pdf/2508.15734"/>
    <hyperlink ref="D8" r:id="rId4" display="https://datacenters.google/efficiency/"/>
    <hyperlink ref="D9" r:id="rId5" display="https://datacenters.microsoft.com/sustainability/efficiency/"/>
    <hyperlink ref="D10" r:id="rId6" display="https://www.microsoft.com/en-us/microsoft-cloud/blog/2024/12/09/sustainable-by-design-next-generation-datacenters-consume-zero-water-for-cooling/"/>
    <hyperlink ref="D11" r:id="rId7" display="https://dl.acm.org/doi/10.1145/3724499"/>
    <hyperlink ref="D12" r:id="rId8" display="https://www.nttdata.com/global/en/about-us/sustainability/esg-data/environment-data"/>
    <hyperlink ref="D13" r:id="rId9" display="https://www.downtoearth.org.in/science-technology/indias-digital-thirst-what-data-centre-giants-arent-saying-about-their-water-use"/>
    <hyperlink ref="D14" r:id="rId10" display="https://www.ceew.in/sites/default/files/ceew-data-centre-study-web-ready-final.pdf"/>
    <hyperlink ref="D15" r:id="rId11" display="https://www.thenewsminute.com/karnataka/karnatakas-new-data-centre-policy-puts-water-energy-in-focus-what-does-it-say"/>
    <hyperlink ref="D16" r:id="rId12" display="https://cpcb.nic.in/uploads/Thermal_Power_Plant_overview.pdf"/>
    <hyperlink ref="D17" r:id="rId13" display="https://powerline.net.in/2026/09/04/water-stress-thermal-power-plants-take-steps-to-optimise-consumption/"/>
    <hyperlink ref="D18" r:id="rId14" display="https://www.sciencedirect.com/science/article/abs/pii/S0360544223009477"/>
    <hyperlink ref="D19" r:id="rId15" display="https://www.wri.org/insights/40-indias-thermal-power-plants-are-water-scarce-areas-threatening-shutdowns"/>
    <hyperlink ref="D20" r:id="rId16" display="https://docs.nrel.gov/docs/fy11osti/50900.pdf"/>
    <hyperlink ref="D21" r:id="rId17" display="https://cdnbbsr.s3waas.gov.in/s3716e1b8c6cd17b771da77391355749f3/uploads/2025/11/202511061627678782.pdf"/>
    <hyperlink ref="D22" r:id="rId18" display="https://www.deccanherald.com/amp/story/india%2Fthermal-generation-growth-slowest-in-fy-2024-25-since-covid-3497645"/>
    <hyperlink ref="D23" r:id="rId19" display="https://www.eudca.org/documents/content/_wU9NIdhRn2O7FEPP-YZ2Qo33?download=0"/>
    <hyperlink ref="D24" r:id="rId20" display="https://www.philiplee.ie/eu-publishes-draft-mandatory-sustainability-rating-scheme-for-data-centres/"/>
    <hyperlink ref="D25" r:id="rId21" display="https://www.ferc.gov/sites/default/files/2025-04/Presentation%20NERC%20Seeks%20to%20Address%20Reliability%20Impacts%20from%C2%A0Large%20Load%20Integration_1.pdf"/>
    <hyperlink ref="D26" r:id="rId22" display="https://earthsync.io/resources/iex-dam-gdam-rtm-explained"/>
    <hyperlink ref="D27" r:id="rId23" display="https://www.pv-magazine.com/2026/08/10/secis-1-gw-fdre-rtc-power-tender-discovers-inr-5-25-kwh-tariff/"/>
    <hyperlink ref="D28" r:id="rId24" display="https://www.pv-magazine.com/2026/08/24/seci-discovers-inr-5-99-kwh-tariff-for-4-hour-peak-renewable-power/"/>
    <hyperlink ref="D29" r:id="rId25" display="https://www.tndindia.com/waiver-of-ists-charges-on-renewable-energy-to-be-phased-out/"/>
    <hyperlink ref="D30" r:id="rId26" display="https://merc.gov.in/wp-content/uploads/2025/03/Press-Note_MSEDCL-MYT-Order_English.pdf"/>
    <hyperlink ref="D31" r:id="rId27" display="https://merc.gov.in/wp-content/uploads/2025/03/Press-Note_MYT-Order_TPC_English.pdf"/>
    <hyperlink ref="D32" r:id="rId28" display="https://tgsouthernpower.org/resources/PDF/Tariffs/63tarifffile.pdf"/>
    <hyperlink ref="D33" r:id="rId29" display="https://hrecs.co.in/app/documents/TariffRates2026-27-28.pdf"/>
    <hyperlink ref="D34" r:id="rId30" display="https://www.ecloudsenergy.com/news-details.php?nid=52"/>
    <hyperlink ref="D35" r:id="rId31" display="https://www.acma.in/uploads/ciculer-attachement/Electricity%20(Promoting%20Renewable%20Energy%20through%20Green%20Energy%20Open%20Access)%20Rules,2022.pdf"/>
    <hyperlink ref="D36" r:id="rId32" display="https://forumofregulators.gov.in/Data/Reports/Revised%20Model%20regulation%20GEOA.pdf"/>
    <hyperlink ref="D37" r:id="rId33" display="https://docs.nvidia.com/dgx/dgxb200-user-guide/introduction-to-dgxb200.html"/>
    <hyperlink ref="D51" r:id="rId34" display="https://ingres.iith.ac.in"/>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2026-10-08T05:56:25Z</dcterms:created>
  <dc:creator>openpyxl</dc:creator>
  <dc:description/>
  <dc:language>en-US</dc:language>
  <cp:lastModifiedBy/>
  <dcterms:modified xsi:type="dcterms:W3CDTF">2026-10-08T05:56:26Z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