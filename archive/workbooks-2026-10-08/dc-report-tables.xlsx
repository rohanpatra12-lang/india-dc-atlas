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ex" sheetId="1" state="visible" r:id="rId3"/>
    <sheet name="How to read" sheetId="2" state="visible" r:id="rId4"/>
    <sheet name="R1" sheetId="3" state="visible" r:id="rId5"/>
    <sheet name="R2" sheetId="4" state="visible" r:id="rId6"/>
    <sheet name="R3" sheetId="5" state="visible" r:id="rId7"/>
    <sheet name="R4" sheetId="6" state="visible" r:id="rId8"/>
    <sheet name="R5" sheetId="7" state="visible" r:id="rId9"/>
    <sheet name="R6" sheetId="8" state="visible" r:id="rId10"/>
    <sheet name="R7" sheetId="9" state="visible" r:id="rId11"/>
    <sheet name="R8" sheetId="10" state="visible" r:id="rId12"/>
    <sheet name="R9" sheetId="11" state="visible" r:id="rId13"/>
    <sheet name="R10" sheetId="12" state="visible" r:id="rId14"/>
    <sheet name="R11" sheetId="13" state="visible" r:id="rId15"/>
    <sheet name="R12" sheetId="14" state="visible" r:id="rId16"/>
    <sheet name="Atlas R1-R9" sheetId="15" state="visible" r:id="rId17"/>
    <sheet name="Simulator" sheetId="16" state="visible" r:id="rId18"/>
    <sheet name="Key numbers" sheetId="17" state="visible" r:id="rId19"/>
  </sheets>
  <definedNames>
    <definedName function="false" hidden="true" localSheetId="0" name="_xlnm._FilterDatabase" vbProcedure="false">Index!$A$4:$K$263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<sst xmlns="http://schemas.openxmlformats.org/spreadsheetml/2006/main" count="11143" uniqueCount="7705">
  <si>
    <t xml:space="preserve">India data centres: all report tables in one place</t>
  </si>
  <si>
    <t xml:space="preserve">259 tables from Reports 1–12, the simulator and the key-numbers sheet. Click a title to jump to it. Tabs R1–R12 hold every table copied from the full research reports. The "Atlas R1-R9" tab keeps extra tables built from the atlas charts and calculators for Reports 1–9 (chart data, capex build-ups, state scores), and the Simulator and Key numbers tabs hold the atlas model inputs.</t>
  </si>
  <si>
    <t xml:space="preserve">#</t>
  </si>
  <si>
    <t xml:space="preserve">Report</t>
  </si>
  <si>
    <t xml:space="preserve">Table ID</t>
  </si>
  <si>
    <t xml:space="preserve">Title (click to open)</t>
  </si>
  <si>
    <t xml:space="preserve">Rows</t>
  </si>
  <si>
    <t xml:space="preserve">Columns</t>
  </si>
  <si>
    <t xml:space="preserve">Source</t>
  </si>
  <si>
    <t xml:space="preserve">Sheet</t>
  </si>
  <si>
    <t xml:space="preserve">Data basis</t>
  </si>
  <si>
    <t xml:space="preserve">How it is used in the atlas</t>
  </si>
  <si>
    <t xml:space="preserve">What it is used to derive</t>
  </si>
  <si>
    <t xml:space="preserve">Report 1 · Types of data centre</t>
  </si>
  <si>
    <t xml:space="preserve">R1-T01</t>
  </si>
  <si>
    <t xml:space="preserve">Data-centre types by ownership and business model</t>
  </si>
  <si>
    <t xml:space="preserve">Report 1 (full research report) · 1. Types of Data Centre › 1.1 Deep analysis of the types: what exists, what dominates globally, and why</t>
  </si>
  <si>
    <t xml:space="preserve">R1</t>
  </si>
  <si>
    <t xml:space="preserve">Mixed: sourced figures plus estimates</t>
  </si>
  <si>
    <t xml:space="preserve">Ch 1 "Type explorer" cards (how it works, cost, strengths, users) and the Type finder rules.</t>
  </si>
  <si>
    <t xml:space="preserve">Which business model fits a project size and workload.</t>
  </si>
  <si>
    <t xml:space="preserve">R1-T02</t>
  </si>
  <si>
    <t xml:space="preserve">Uptime Tiers: redundancy, availability and downtime</t>
  </si>
  <si>
    <t xml:space="preserve">Source-derived (reported, not re-verified)</t>
  </si>
  <si>
    <t xml:space="preserve">Ch 1 "What a Tier buys you" downtime clock.</t>
  </si>
  <si>
    <t xml:space="preserve">Downtime hours a year = (1 − availability) × 8,760 per Tier.</t>
  </si>
  <si>
    <t xml:space="preserve">R1-T03</t>
  </si>
  <si>
    <t xml:space="preserve">Cooling approaches: density, efficiency and water</t>
  </si>
  <si>
    <t xml:space="preserve">Ch 3 cooling comparison text; density limits used in the Rack inspector bands.</t>
  </si>
  <si>
    <t xml:space="preserve">Practical rack-density ceiling per cooling method.</t>
  </si>
  <si>
    <t xml:space="preserve">R1-T04</t>
  </si>
  <si>
    <t xml:space="preserve">Global market share and installed capacity by type (2024–2026)</t>
  </si>
  <si>
    <t xml:space="preserve">Ch 1 headline numbers and "Who owns the world's capacity" chart; Key numbers.</t>
  </si>
  <si>
    <t xml:space="preserve">Global growth and hyperscale share trend to set India in context.</t>
  </si>
  <si>
    <t xml:space="preserve">R1-T05</t>
  </si>
  <si>
    <t xml:space="preserve">India vs global capacity</t>
  </si>
  <si>
    <t xml:space="preserve">Report 1 (full research report) · 1. Types of Data Centre › 1.2 Indian perspective: which types to build, why, and how</t>
  </si>
  <si>
    <t xml:space="preserve">Ch 1 and Overview context; Key numbers (India operational capacity, pipeline).</t>
  </si>
  <si>
    <t xml:space="preserve">India's share of global capacity; range of Indian capacity estimates.</t>
  </si>
  <si>
    <t xml:space="preserve">R1-T06</t>
  </si>
  <si>
    <t xml:space="preserve">Key Indian hubs (Cushman &amp; Wakefield, H1 2026)</t>
  </si>
  <si>
    <t xml:space="preserve">Ch 1 "India by city" chart; Ch 9 map (live and pipeline MW); Ch 10 demand scores; Ch 11 starting point.</t>
  </si>
  <si>
    <t xml:space="preserve">City shares, pipeline-to-stock ratios, forecast anchor (1,789 MW).</t>
  </si>
  <si>
    <t xml:space="preserve">R1-T07</t>
  </si>
  <si>
    <t xml:space="preserve">State policies: key terms</t>
  </si>
  <si>
    <t xml:space="preserve">Superseded by Report 9 tables; feeds Ch 9 policy register.</t>
  </si>
  <si>
    <t xml:space="preserve">Early comparison of state incentives.</t>
  </si>
  <si>
    <t xml:space="preserve">Report 2 · AI vs conventional</t>
  </si>
  <si>
    <t xml:space="preserve">R2-T01</t>
  </si>
  <si>
    <t xml:space="preserve">Electricity split by subsystem and facility class</t>
  </si>
  <si>
    <t xml:space="preserve">Report 2 (full research report) · Section 1: Anatomy of Data Centre Consumption › 1.1 Electricity breakdown by subsystem</t>
  </si>
  <si>
    <t xml:space="preserve">R2</t>
  </si>
  <si>
    <t xml:space="preserve">Illustrative / framework / author judgement</t>
  </si>
  <si>
    <t xml:space="preserve">Ch 2 "Where the power goes, by facility class" chart.</t>
  </si>
  <si>
    <t xml:space="preserve">Overhead share of energy by facility class; PUE build-up.</t>
  </si>
  <si>
    <t xml:space="preserve">R2-T02</t>
  </si>
  <si>
    <t xml:space="preserve">Server power split: conventional CPU vs AI accelerated</t>
  </si>
  <si>
    <t xml:space="preserve">Report 2 (full research report) · Section 1: Anatomy of Data Centre Consumption › 1.2 Inside the IT load: CPUs, GPUs, memory, storage and networking</t>
  </si>
  <si>
    <t xml:space="preserve">Ch 2 text on IT-load anatomy (reference).</t>
  </si>
  <si>
    <t xml:space="preserve">Share of rack power going to accelerators.</t>
  </si>
  <si>
    <t xml:space="preserve">R2-T03</t>
  </si>
  <si>
    <t xml:space="preserve">Efficiency metrics: PUE, WUE, CUE and ERE</t>
  </si>
  <si>
    <t xml:space="preserve">Report 2 (full research report) · Section 1: Anatomy of Data Centre Consumption › 1.3 Efficiency metrics: PUE, WUE, CUE and ERE</t>
  </si>
  <si>
    <t xml:space="preserve">Ch 2 and Ch 8 metric definitions; Key numbers (PUE 1.54, Google 1.09, MeitY &lt;1.35).</t>
  </si>
  <si>
    <t xml:space="preserve">PUE and WUE benchmarks for calculators.</t>
  </si>
  <si>
    <t xml:space="preserve">R2-T04</t>
  </si>
  <si>
    <t xml:space="preserve">Water per AI query: a contested range</t>
  </si>
  <si>
    <t xml:space="preserve">Report 2 (full research report) · Section 1: Anatomy of Data Centre Consumption › 1.4 Water consumption: direct and indirect</t>
  </si>
  <si>
    <t xml:space="preserve">Ch 6 and Ch 12 "Water per AI prompt" charts.</t>
  </si>
  <si>
    <t xml:space="preserve">Water per prompt with different boundaries.</t>
  </si>
  <si>
    <t xml:space="preserve">R2-T05</t>
  </si>
  <si>
    <t xml:space="preserve">US data-centre electricity (LBNL 2024)</t>
  </si>
  <si>
    <t xml:space="preserve">Report 2 (full research report) · Section 1: Anatomy of Data Centre Consumption › 1.6 Global and regional electricity consumption</t>
  </si>
  <si>
    <t xml:space="preserve">Ch 2 context text (reference only).</t>
  </si>
  <si>
    <t xml:space="preserve">US growth path as a comparison for India.</t>
  </si>
  <si>
    <t xml:space="preserve">R2-T06</t>
  </si>
  <si>
    <t xml:space="preserve">Energy per workload</t>
  </si>
  <si>
    <t xml:space="preserve">Report 2 (full research report) · Section 1: Anatomy of Data Centre Consumption › 1.7 Energy per workload</t>
  </si>
  <si>
    <t xml:space="preserve">Ch 2 "Energy per workload" table.</t>
  </si>
  <si>
    <t xml:space="preserve">Energy per query/training run; continuous MW for inference.</t>
  </si>
  <si>
    <t xml:space="preserve">R2-T07</t>
  </si>
  <si>
    <t xml:space="preserve">Master comparison: AI vs conventional data centres</t>
  </si>
  <si>
    <t xml:space="preserve">Report 2 (full research report) · Section 2: AI Data Centre vs Conventional Data Centre › 2.1 Master comparison table</t>
  </si>
  <si>
    <t xml:space="preserve">Ch 2 "Conventional vs AI" comparison table.</t>
  </si>
  <si>
    <t xml:space="preserve">Design differences that drive cooling, power and capex choices.</t>
  </si>
  <si>
    <t xml:space="preserve">R2-T08</t>
  </si>
  <si>
    <t xml:space="preserve">Compute hardware and power</t>
  </si>
  <si>
    <t xml:space="preserve">Report 2 (full research report) · Section 2: AI Data Centre vs Conventional Data Centre › 2.3 Compute hardware and power</t>
  </si>
  <si>
    <t xml:space="preserve">Ch 2 "Rack density and chip power" chart and Rack inspector.</t>
  </si>
  <si>
    <t xml:space="preserve">kW per rack and per GPU used in sizing.</t>
  </si>
  <si>
    <t xml:space="preserve">R2-T09</t>
  </si>
  <si>
    <t xml:space="preserve">Training vs inference data centres</t>
  </si>
  <si>
    <t xml:space="preserve">Report 2 (full research report) · Section 2: AI Data Centre vs Conventional Data Centre › 2.15 Inference versus training data centres</t>
  </si>
  <si>
    <t xml:space="preserve">Ch 2 "Training vs inference sites" table.</t>
  </si>
  <si>
    <t xml:space="preserve">Siting rule: train near power, serve inference near users.</t>
  </si>
  <si>
    <t xml:space="preserve">Report 3 · Cooling</t>
  </si>
  <si>
    <t xml:space="preserve">R3-T01</t>
  </si>
  <si>
    <t xml:space="preserve">Accelerator power trend per GPU</t>
  </si>
  <si>
    <t xml:space="preserve">Report 3 (full research report) · 1. Fundamentals › 1.1 Why cooling is needed</t>
  </si>
  <si>
    <t xml:space="preserve">R3</t>
  </si>
  <si>
    <t xml:space="preserve">Ch 3 cooling chain and GPU power figures.</t>
  </si>
  <si>
    <t xml:space="preserve">Why air cooling stops working as GPUs pass ~1 kW.</t>
  </si>
  <si>
    <t xml:space="preserve">R3-T02</t>
  </si>
  <si>
    <t xml:space="preserve">Heat transfer properties of cooling fluids</t>
  </si>
  <si>
    <t xml:space="preserve">Report 3 (full research report) · 1. Fundamentals › 1.2 Heat transfer properties: why liquid wins</t>
  </si>
  <si>
    <t xml:space="preserve">Ch 3 "Why liquid wins" chart.</t>
  </si>
  <si>
    <t xml:space="preserve">Flow needed to move heat with air vs water.</t>
  </si>
  <si>
    <t xml:space="preserve">R3-T03</t>
  </si>
  <si>
    <t xml:space="preserve">ASHRAE air-cooled classes (IT inlet air)</t>
  </si>
  <si>
    <t xml:space="preserve">Report 3 (full research report) · 1. Fundamentals › 1.3 ASHRAE TC 9.9 thermal guidelines (5th edition, 2021)</t>
  </si>
  <si>
    <t xml:space="preserve">Ch 3 reference (ASHRAE classes).</t>
  </si>
  <si>
    <t xml:space="preserve">Allowable inlet temperatures; economiser hours.</t>
  </si>
  <si>
    <t xml:space="preserve">R3-T04</t>
  </si>
  <si>
    <t xml:space="preserve">ASHRAE liquid-cooling W classes</t>
  </si>
  <si>
    <t xml:space="preserve">Ch 3 "Warm-water explorer" (W32–W45 setpoints).</t>
  </si>
  <si>
    <t xml:space="preserve">Which heat rejection works at a given facility water temperature.</t>
  </si>
  <si>
    <t xml:space="preserve">R3-T05</t>
  </si>
  <si>
    <t xml:space="preserve">Key cooling metrics</t>
  </si>
  <si>
    <t xml:space="preserve">Report 3 (full research report) · 1. Fundamentals › 1.5 Key metrics</t>
  </si>
  <si>
    <t xml:space="preserve">Ch 3 and simulator PUE/WUE reasoning (reference).</t>
  </si>
  <si>
    <t xml:space="preserve">Typical PUE/WUE ranges for calculators.</t>
  </si>
  <si>
    <t xml:space="preserve">R3-T06</t>
  </si>
  <si>
    <t xml:space="preserve">Chiller types</t>
  </si>
  <si>
    <t xml:space="preserve">Report 3 (full research report) · 3. Chilled-water plants and heat rejection › 3.1 Chiller types</t>
  </si>
  <si>
    <t xml:space="preserve">Reference only (chiller choice in Ch 3 text).</t>
  </si>
  <si>
    <t xml:space="preserve">Chiller efficiency assumptions.</t>
  </si>
  <si>
    <t xml:space="preserve">R3-T07</t>
  </si>
  <si>
    <t xml:space="preserve">Liquid cooling comparison</t>
  </si>
  <si>
    <t xml:space="preserve">Report 3 (full research report) · 4. Liquid cooling types › 4.7 Liquid cooling comparison</t>
  </si>
  <si>
    <t xml:space="preserve">Ch 3 "Liquid cooling compared" table.</t>
  </si>
  <si>
    <t xml:space="preserve">Density, PUE and maturity per liquid technology.</t>
  </si>
  <si>
    <t xml:space="preserve">R3-T08</t>
  </si>
  <si>
    <t xml:space="preserve">Natural and alternative cooling</t>
  </si>
  <si>
    <t xml:space="preserve">Report 3 (full research report) · 5. Natural and alternative cooling</t>
  </si>
  <si>
    <t xml:space="preserve">Ch 3 text on natural cooling; Ch 12 seawater option.</t>
  </si>
  <si>
    <t xml:space="preserve">Relevance of seawater and free cooling for India.</t>
  </si>
  <si>
    <t xml:space="preserve">R3-T09</t>
  </si>
  <si>
    <t xml:space="preserve">Liquid-cooling market size and forecasts</t>
  </si>
  <si>
    <t xml:space="preserve">Report 3 (full research report) · 6. Market and adoption › 6.1 Market size and forecasts (2024–2031)</t>
  </si>
  <si>
    <t xml:space="preserve">Ch 3 "Liquid-cooling market" chart; Ch 11 Bass diffusion analogue.</t>
  </si>
  <si>
    <t xml:space="preserve">Adoption speed for liquid cooling.</t>
  </si>
  <si>
    <t xml:space="preserve">R3-T10</t>
  </si>
  <si>
    <t xml:space="preserve">Cooling vendor landscape and consolidation</t>
  </si>
  <si>
    <t xml:space="preserve">Report 3 (full research report) · 6. Market and adoption › 6.4 Vendor landscape and consolidation (2024–2026)</t>
  </si>
  <si>
    <t xml:space="preserve">Ch 3 "Who bought whom" bars.</t>
  </si>
  <si>
    <t xml:space="preserve">Supply-chain concentration risk.</t>
  </si>
  <si>
    <t xml:space="preserve">R3-T11</t>
  </si>
  <si>
    <t xml:space="preserve">Water–energy trade-off by heat-rejection type</t>
  </si>
  <si>
    <t xml:space="preserve">Report 3 (full research report) · 7. Water–energy trade-offs › 7.1 The core trade</t>
  </si>
  <si>
    <t xml:space="preserve">Ch 3 heat-rejection table; simulator WUE functions; Ch 12 power-vs-water chart.</t>
  </si>
  <si>
    <t xml:space="preserve">Water vs energy trade-off per design.</t>
  </si>
  <si>
    <t xml:space="preserve">R3-T12</t>
  </si>
  <si>
    <t xml:space="preserve">Cooling capex by approach (indicative)</t>
  </si>
  <si>
    <t xml:space="preserve">Report 3 (full research report) · 8. Cost › 8.1 Capex by cooling approach (indicative, 2025–26)</t>
  </si>
  <si>
    <t xml:space="preserve">Proxy / estimate</t>
  </si>
  <si>
    <t xml:space="preserve">Simulator cooling capex adder (₹0–3 cr/MW).</t>
  </si>
  <si>
    <t xml:space="preserve">Capex premium for liquid cooling.</t>
  </si>
  <si>
    <t xml:space="preserve">R3-T13</t>
  </si>
  <si>
    <t xml:space="preserve">Indian city climates and free-cooling outlook</t>
  </si>
  <si>
    <t xml:space="preserve">Report 3 (full research report) · 9. The Indian perspective › 9.1 Climate challenge</t>
  </si>
  <si>
    <t xml:space="preserve">Ch 3 city cards; simulator design temperatures; Ch 4 day model.</t>
  </si>
  <si>
    <t xml:space="preserve">Free-cooling potential and PUE by city.</t>
  </si>
  <si>
    <t xml:space="preserve">R3-T14</t>
  </si>
  <si>
    <t xml:space="preserve">Indian operators: liquid-cooling deployments</t>
  </si>
  <si>
    <t xml:space="preserve">Report 3 (full research report) · 9. The Indian perspective › 9.2 Indian operators and liquid cooling deployments</t>
  </si>
  <si>
    <t xml:space="preserve">Ch 3 "Indian deployments" list.</t>
  </si>
  <si>
    <t xml:space="preserve">State of liquid cooling in India.</t>
  </si>
  <si>
    <t xml:space="preserve">R3-T15</t>
  </si>
  <si>
    <t xml:space="preserve">Recommended cooling for India by use case</t>
  </si>
  <si>
    <t xml:space="preserve">Report 3 (full research report) · 9. The Indian perspective › 9.6 Recommendations for India: what to use where</t>
  </si>
  <si>
    <t xml:space="preserve">Ch 3 "What to use where in India" table.</t>
  </si>
  <si>
    <t xml:space="preserve">Recommended design per use case and city.</t>
  </si>
  <si>
    <t xml:space="preserve">Report 4 · Bengaluru water and power</t>
  </si>
  <si>
    <t xml:space="preserve">R4-T01</t>
  </si>
  <si>
    <t xml:space="preserve">Assumptions for the three Bengaluru cases</t>
  </si>
  <si>
    <t xml:space="preserve">Report 4 (full research report) · 1. Assumptions</t>
  </si>
  <si>
    <t xml:space="preserve">R4</t>
  </si>
  <si>
    <t xml:space="preserve">Ch 4 campus calculator presets; simulator defaults.</t>
  </si>
  <si>
    <t xml:space="preserve">Input assumptions for the three Bengaluru cases.</t>
  </si>
  <si>
    <t xml:space="preserve">R4-T02</t>
  </si>
  <si>
    <t xml:space="preserve">Power calculations by case</t>
  </si>
  <si>
    <t xml:space="preserve">Report 4 (full research report) · 2. Power calculations</t>
  </si>
  <si>
    <t xml:space="preserve">Calculated (model output)</t>
  </si>
  <si>
    <t xml:space="preserve">Ch 4 calculator outputs (MU, MVA, homes, % of state demand); Key numbers (841 MU, 140 MVA).</t>
  </si>
  <si>
    <t xml:space="preserve">Energy, contract demand and share of Karnataka demand per case.</t>
  </si>
  <si>
    <t xml:space="preserve">R4-T03</t>
  </si>
  <si>
    <t xml:space="preserve">On-site water by case</t>
  </si>
  <si>
    <t xml:space="preserve">Report 4 (full research report) · 3. Water calculations › 3.2 On-site water by case</t>
  </si>
  <si>
    <t xml:space="preserve">Ch 4 water bars and "Water you can picture" (Ch 6).</t>
  </si>
  <si>
    <t xml:space="preserve">On-site MLD and people-equivalent per case.</t>
  </si>
  <si>
    <t xml:space="preserve">R4-T04</t>
  </si>
  <si>
    <t xml:space="preserve">Indirect water embedded in grid electricity</t>
  </si>
  <si>
    <t xml:space="preserve">Report 4 (full research report) · 3. Water calculations › 3.3 Indirect water embedded in grid electricity</t>
  </si>
  <si>
    <t xml:space="preserve">Ch 4 power-station water bar; simulator grid water (KA 1.5 L/kWh).</t>
  </si>
  <si>
    <t xml:space="preserve">Indirect water per case.</t>
  </si>
  <si>
    <t xml:space="preserve">R4-T05</t>
  </si>
  <si>
    <t xml:space="preserve">Comparison with other Bengaluru and Karnataka water users</t>
  </si>
  <si>
    <t xml:space="preserve">Report 4 (full research report) · 4. Comparison with other Bengaluru and Karnataka users</t>
  </si>
  <si>
    <t xml:space="preserve">Ch 4 "Compared with other users" chart.</t>
  </si>
  <si>
    <t xml:space="preserve">Data-centre water in context of other users.</t>
  </si>
  <si>
    <t xml:space="preserve">R4-T06</t>
  </si>
  <si>
    <t xml:space="preserve">Where Bengaluru data centres get water today</t>
  </si>
  <si>
    <t xml:space="preserve">Report 4 (full research report) · 5. Where Bengaluru data centres get water today</t>
  </si>
  <si>
    <t xml:space="preserve">Ch 4 "The city's water" table.</t>
  </si>
  <si>
    <t xml:space="preserve">Sources and prices of water in Bengaluru.</t>
  </si>
  <si>
    <t xml:space="preserve">R4-T07</t>
  </si>
  <si>
    <t xml:space="preserve">Scenarios: added IT capacity vs water (75% utilisation)</t>
  </si>
  <si>
    <t xml:space="preserve">Report 4 (full research report) · 6. Will data centre water cause scarcity? › 6.2 Scenarios (75% utilisation; IT energy = 18,000 kWh/day per MW)</t>
  </si>
  <si>
    <t xml:space="preserve">Ch 4 "Scaling to 1 GW" chart; Key numbers (~32 MLD).</t>
  </si>
  <si>
    <t xml:space="preserve">City-wide water impact of the 1 GW target.</t>
  </si>
  <si>
    <t xml:space="preserve">R4-T08</t>
  </si>
  <si>
    <t xml:space="preserve">Phased roadmap for Karnataka</t>
  </si>
  <si>
    <t xml:space="preserve">Report 4 (full research report) · Recommendations › Phased roadmap</t>
  </si>
  <si>
    <t xml:space="preserve">Ch 4 "Recommended roadmap" table.</t>
  </si>
  <si>
    <t xml:space="preserve">Policy sequence for Karnataka.</t>
  </si>
  <si>
    <t xml:space="preserve">Report 5 · Carbon</t>
  </si>
  <si>
    <t xml:space="preserve">R5-T01</t>
  </si>
  <si>
    <t xml:space="preserve">Lifecycle carbon intensity by technology</t>
  </si>
  <si>
    <t xml:space="preserve">Report 5 (full research report) · 1. SOURCE — What Generates the Electron › 1.1 Lifecycle carbon intensity by technology</t>
  </si>
  <si>
    <t xml:space="preserve">R5</t>
  </si>
  <si>
    <t xml:space="preserve">Ch 5 "Lifecycle carbon by source" bars.</t>
  </si>
  <si>
    <t xml:space="preserve">Carbon of procurement options.</t>
  </si>
  <si>
    <t xml:space="preserve">R5-T02</t>
  </si>
  <si>
    <t xml:space="preserve">Water withdrawal vs consumption by generation source</t>
  </si>
  <si>
    <t xml:space="preserve">Report 5 (full research report) · 1. SOURCE — What Generates the Electron › 1.2 Water: withdrawal vs consumption by source</t>
  </si>
  <si>
    <t xml:space="preserve">Ch 5 "Water consumed by source" bars; grid water in calculators.</t>
  </si>
  <si>
    <t xml:space="preserve">Indirect water per kWh by source.</t>
  </si>
  <si>
    <t xml:space="preserve">R5-T03</t>
  </si>
  <si>
    <t xml:space="preserve">Country grid carbon intensity</t>
  </si>
  <si>
    <t xml:space="preserve">Report 5 (full research report) · 3. LOCATION — Which Grid, Which Margin, Which Basin › 3.1 Country grids (operational, annual average)</t>
  </si>
  <si>
    <t xml:space="preserve">Ch 5 "1 TWh, seven ways" chart.</t>
  </si>
  <si>
    <t xml:space="preserve">Carbon of the same TWh on different grids.</t>
  </si>
  <si>
    <t xml:space="preserve">R5-T04</t>
  </si>
  <si>
    <t xml:space="preserve">India emission-factor types: average vs marginal</t>
  </si>
  <si>
    <t xml:space="preserve">Report 5 (full research report) · 3. LOCATION — Which Grid, Which Margin, Which Basin › 3.3 Average vs marginal; attributional vs consequential</t>
  </si>
  <si>
    <t xml:space="preserve">Ch 5 text on average vs marginal factors.</t>
  </si>
  <si>
    <t xml:space="preserve">Which factor to use for reporting vs siting.</t>
  </si>
  <si>
    <t xml:space="preserve">R5-T05</t>
  </si>
  <si>
    <t xml:space="preserve">Hyperscaler Scope 2: location-based vs market-based</t>
  </si>
  <si>
    <t xml:space="preserve">Report 5 (full research report) · 4. CARBON INTENSITY — Definitions, Trajectory and Data-Centre Metrics › 4.4 Hyperscaler disclosures: location-based vs market-based</t>
  </si>
  <si>
    <t xml:space="preserve">Ch 5 Microsoft Scope 2 chart.</t>
  </si>
  <si>
    <t xml:space="preserve">Gap between location- and market-based claims.</t>
  </si>
  <si>
    <t xml:space="preserve">R5-T06</t>
  </si>
  <si>
    <t xml:space="preserve">Grid-average water intensity</t>
  </si>
  <si>
    <t xml:space="preserve">Report 5 (full research report) · 5. WATER INTENSITY — The Grid's Hidden Water › 5.2 Grid-average water intensity</t>
  </si>
  <si>
    <t xml:space="preserve">Grid water intensity used in Ch 4–6 and simulator (1.5–2.2 L/kWh).</t>
  </si>
  <si>
    <t xml:space="preserve">Indirect water per kWh.</t>
  </si>
  <si>
    <t xml:space="preserve">R5-T07</t>
  </si>
  <si>
    <t xml:space="preserve">Worked matrix: carbon and water per TWh by scenario</t>
  </si>
  <si>
    <t xml:space="preserve">Report 5 (full research report) · SYNTHESIS — "Every TWh Is Not the Same": Worked Matrix</t>
  </si>
  <si>
    <t xml:space="preserve">Ch 5 "1 TWh of data-centre load, seven ways" chart (carbon and water).</t>
  </si>
  <si>
    <t xml:space="preserve">Carbon and water per TWh by supply scenario.</t>
  </si>
  <si>
    <t xml:space="preserve">R5-T08</t>
  </si>
  <si>
    <t xml:space="preserve">Five-factor scorecard</t>
  </si>
  <si>
    <t xml:space="preserve">Report 5 (full research report) · SYNTHESIS — "Every TWh Is Not the Same": Worked Matrix › Five-factor scorecard (for a site or procurement decision)</t>
  </si>
  <si>
    <t xml:space="preserve">Ch 5 five-factor scorecard calculator.</t>
  </si>
  <si>
    <t xml:space="preserve">Weighted score for a site or power contract.</t>
  </si>
  <si>
    <t xml:space="preserve">Report 6 · Water impact</t>
  </si>
  <si>
    <t xml:space="preserve">R6-T01</t>
  </si>
  <si>
    <t xml:space="preserve">Withdrawal vs consumption: definitions by framework</t>
  </si>
  <si>
    <t xml:space="preserve">Report 6 (full research report) · 1. How much water? › 1.1 Withdrawal vs consumption: definitions and why both matter</t>
  </si>
  <si>
    <t xml:space="preserve">R6</t>
  </si>
  <si>
    <t xml:space="preserve">Ch 6 framing (reference).</t>
  </si>
  <si>
    <t xml:space="preserve">Separate withdrawal, consumption, discharge.</t>
  </si>
  <si>
    <t xml:space="preserve">R6-T02</t>
  </si>
  <si>
    <t xml:space="preserve">Cooling water by system</t>
  </si>
  <si>
    <t xml:space="preserve">Report 6 (full research report) · 1. How much water? › 1.2 Cooling water</t>
  </si>
  <si>
    <t xml:space="preserve">Ch 6 water balance and simulator WUE values.</t>
  </si>
  <si>
    <t xml:space="preserve">Site WUE by cooling system.</t>
  </si>
  <si>
    <t xml:space="preserve">R6-T03</t>
  </si>
  <si>
    <t xml:space="preserve">Non-cooling water uses (50 MW campus)</t>
  </si>
  <si>
    <t xml:space="preserve">Report 6 (full research report) · 1. How much water? › 1.3 Non-cooling water</t>
  </si>
  <si>
    <t xml:space="preserve">Ch 6 water balance (non-cooling 14.6 ML/yr).</t>
  </si>
  <si>
    <t xml:space="preserve">Non-cooling water allowance.</t>
  </si>
  <si>
    <t xml:space="preserve">R6-T04</t>
  </si>
  <si>
    <t xml:space="preserve">Freshwater vs recycled water sources (Bengaluru)</t>
  </si>
  <si>
    <t xml:space="preserve">Report 6 (full research report) · 1. How much water? › 1.4 Freshwater vs recycled water</t>
  </si>
  <si>
    <t xml:space="preserve">Ch 6 water balance source options; simulator water sources.</t>
  </si>
  <si>
    <t xml:space="preserve">Source choice and cycles of concentration.</t>
  </si>
  <si>
    <t xml:space="preserve">R6-T05</t>
  </si>
  <si>
    <t xml:space="preserve">Daily and annual water demand by capacity and cooling</t>
  </si>
  <si>
    <t xml:space="preserve">Report 6 (full research report) · 1. How much water? › 1.5 Daily and annual demand: worked examples</t>
  </si>
  <si>
    <t xml:space="preserve">Ch 6 and Ch 12 reference values.</t>
  </si>
  <si>
    <t xml:space="preserve">Daily and annual water per MW and design.</t>
  </si>
  <si>
    <t xml:space="preserve">R6-T06</t>
  </si>
  <si>
    <t xml:space="preserve">Water balance: 50 MW evaporative facility at different CoC</t>
  </si>
  <si>
    <t xml:space="preserve">Report 6 (full research report) · 2. Water balance › 2.3 Worked balance: 50 MW Bengaluru hyperscale facility (evaporative)</t>
  </si>
  <si>
    <t xml:space="preserve">Ch 6 "Cooling-tower water balance" calculator.</t>
  </si>
  <si>
    <t xml:space="preserve">Withdrawal, consumption, discharge at each CoC.</t>
  </si>
  <si>
    <t xml:space="preserve">R6-T07</t>
  </si>
  <si>
    <t xml:space="preserve">Water balance: 100 MW AI facility (DLC + adiabatic)</t>
  </si>
  <si>
    <t xml:space="preserve">Report 6 (full research report) · 2. Water balance › 2.4 Worked balance: 100 MW AI facility (DLC + adiabatic dry coolers)</t>
  </si>
  <si>
    <t xml:space="preserve">Ch 6 text; Ch 12 Example C reasoning.</t>
  </si>
  <si>
    <t xml:space="preserve">DLC water and peak factor (3.5×).</t>
  </si>
  <si>
    <t xml:space="preserve">R6-T08</t>
  </si>
  <si>
    <t xml:space="preserve">Water measurement and accounting standards</t>
  </si>
  <si>
    <t xml:space="preserve">Report 6 (full research report) · 2. Water balance › 2.5 Measurement and accounting standards</t>
  </si>
  <si>
    <t xml:space="preserve">Reference only (metering and standards).</t>
  </si>
  <si>
    <t xml:space="preserve">Disclosure design.</t>
  </si>
  <si>
    <t xml:space="preserve">R6-T09</t>
  </si>
  <si>
    <t xml:space="preserve">Water per MW of IT capacity</t>
  </si>
  <si>
    <t xml:space="preserve">Report 6 (full research report) · 3. Water intensity metrics › 3.2 L/MW (per MW of IT capacity)</t>
  </si>
  <si>
    <t xml:space="preserve">Reference only (per-MW benchmark).</t>
  </si>
  <si>
    <t xml:space="preserve">Water per MW for allocations.</t>
  </si>
  <si>
    <t xml:space="preserve">R6-T10</t>
  </si>
  <si>
    <t xml:space="preserve">Water per GPU-hour</t>
  </si>
  <si>
    <t xml:space="preserve">Report 6 (full research report) · 3. Water intensity metrics › 3.4 L/GPU-hour</t>
  </si>
  <si>
    <t xml:space="preserve">Ch 6 text (water per GPU-hour).</t>
  </si>
  <si>
    <t xml:space="preserve">Water per GPU-hour.</t>
  </si>
  <si>
    <t xml:space="preserve">R6-T11</t>
  </si>
  <si>
    <t xml:space="preserve">Water per inference and training</t>
  </si>
  <si>
    <t xml:space="preserve">Report 6 (full research report) · 3. Water intensity metrics › 3.5 L/inference and training</t>
  </si>
  <si>
    <t xml:space="preserve">Ch 6 "Water per AI prompt" chart.</t>
  </si>
  <si>
    <t xml:space="preserve">Per-prompt water by boundary.</t>
  </si>
  <si>
    <t xml:space="preserve">R6-T12</t>
  </si>
  <si>
    <t xml:space="preserve">Which water metric for which audience</t>
  </si>
  <si>
    <t xml:space="preserve">Report 6 (full research report) · 3. Water intensity metrics › 3.6 Which metric for which audience, pitfalls and normalisation</t>
  </si>
  <si>
    <t xml:space="preserve">Reference only.</t>
  </si>
  <si>
    <t xml:space="preserve">Which metric for regulator, customer, citizen.</t>
  </si>
  <si>
    <t xml:space="preserve">R6-T13</t>
  </si>
  <si>
    <t xml:space="preserve">Bengaluru scenarios compared (S1–S4)</t>
  </si>
  <si>
    <t xml:space="preserve">Report 6 (full research report) · 3. Water intensity metrics › 3.7 Single comparison table: Bengaluru scenarios</t>
  </si>
  <si>
    <t xml:space="preserve">Ch 6 Bengaluru scenario table.</t>
  </si>
  <si>
    <t xml:space="preserve">Site vs source WUE for S1–S4.</t>
  </si>
  <si>
    <t xml:space="preserve">R6-T14</t>
  </si>
  <si>
    <t xml:space="preserve">Bengaluru sector water-use estimates</t>
  </si>
  <si>
    <t xml:space="preserve">Report 6 (full research report) · 4. Local context › 4.1 Data centre use against Bengaluru's water availability</t>
  </si>
  <si>
    <t xml:space="preserve">Ch 4 "How much do Bengaluru's data centres use today?" chart.</t>
  </si>
  <si>
    <t xml:space="preserve">Range of sector water estimates.</t>
  </si>
  <si>
    <t xml:space="preserve">R6-T15</t>
  </si>
  <si>
    <t xml:space="preserve">Equivalence metrics (S2, 50 MW evaporative)</t>
  </si>
  <si>
    <t xml:space="preserve">Report 6 (full research report) · 4. Local context › 4.3 Equivalence metrics (S2, 50 MW evaporative)</t>
  </si>
  <si>
    <t xml:space="preserve">Ch 6 "Water you can picture" (people, tankers, pools).</t>
  </si>
  <si>
    <t xml:space="preserve">Everyday equivalents of site water.</t>
  </si>
  <si>
    <t xml:space="preserve">R6-T16</t>
  </si>
  <si>
    <t xml:space="preserve">Water-stress frameworks</t>
  </si>
  <si>
    <t xml:space="preserve">Report 6 (full research report) · 5. Water stress › 5.1 Frameworks</t>
  </si>
  <si>
    <t xml:space="preserve">Reference only (water-stress frameworks).</t>
  </si>
  <si>
    <t xml:space="preserve">Choice of scarcity method.</t>
  </si>
  <si>
    <t xml:space="preserve">R6-T17</t>
  </si>
  <si>
    <t xml:space="preserve">Proposed materiality thresholds</t>
  </si>
  <si>
    <t xml:space="preserve">Report 6 (full research report) · 5. Water stress › 5.2 Methods</t>
  </si>
  <si>
    <t xml:space="preserve">Ch 6 thresholds logic (reference).</t>
  </si>
  <si>
    <t xml:space="preserve">Materiality tests for permits.</t>
  </si>
  <si>
    <t xml:space="preserve">R6-T18</t>
  </si>
  <si>
    <t xml:space="preserve">Scarcity-weighted footprint by scenario (50 MW)</t>
  </si>
  <si>
    <t xml:space="preserve">Report 6 (full research report) · 5. Water stress › 5.3 Applying the methods to Bengaluru scenarios (50 MW, annual)</t>
  </si>
  <si>
    <t xml:space="preserve">Ch 6 "Scarcity-weighted water footprint" chart.</t>
  </si>
  <si>
    <t xml:space="preserve">Footprint ranking of design and source options.</t>
  </si>
  <si>
    <t xml:space="preserve">R6-T19</t>
  </si>
  <si>
    <t xml:space="preserve">Water impact scorecard</t>
  </si>
  <si>
    <t xml:space="preserve">Report 6 (full research report) · 5. Water stress › 5.4 Water impact scorecard</t>
  </si>
  <si>
    <t xml:space="preserve">Ch 6 "Impact scorecard" table.</t>
  </si>
  <si>
    <t xml:space="preserve">Refuse / redesign / acceptable decision per scenario.</t>
  </si>
  <si>
    <t xml:space="preserve">R6-T20</t>
  </si>
  <si>
    <t xml:space="preserve">Hyperscaler water reporting: practices and gaps</t>
  </si>
  <si>
    <t xml:space="preserve">Report 6 (full research report) · Hyperscaler and Indian operator water reporting: practices and gaps</t>
  </si>
  <si>
    <t xml:space="preserve">Ch 6 disclosure text; Ch 12 fleet dots.</t>
  </si>
  <si>
    <t xml:space="preserve">Benchmark WUE values of operators.</t>
  </si>
  <si>
    <t xml:space="preserve">R6-T21</t>
  </si>
  <si>
    <t xml:space="preserve">Minimum water disclosure framework</t>
  </si>
  <si>
    <t xml:space="preserve">Report 6 (full research report) · Recommendations › A. Minimum measurement and disclosure framework (all sites ≥500 kW IT)</t>
  </si>
  <si>
    <t xml:space="preserve">Ch 6 "Seven metrics every site should publish".</t>
  </si>
  <si>
    <t xml:space="preserve">Minimum disclosure standard.</t>
  </si>
  <si>
    <t xml:space="preserve">R6-T22</t>
  </si>
  <si>
    <t xml:space="preserve">Suggested water thresholds</t>
  </si>
  <si>
    <t xml:space="preserve">Report 6 (full research report) · Recommendations › C. Suggested thresholds</t>
  </si>
  <si>
    <t xml:space="preserve">Ch 6 "Suggested thresholds" table.</t>
  </si>
  <si>
    <t xml:space="preserve">Green/amber/red ratings.</t>
  </si>
  <si>
    <t xml:space="preserve">Report 7 · Unit economics</t>
  </si>
  <si>
    <t xml:space="preserve">R7-T01</t>
  </si>
  <si>
    <t xml:space="preserve">Construction cost index by market (Turner &amp; Townsend)</t>
  </si>
  <si>
    <t xml:space="preserve">Report 7 (full research report) · 1. CAPEX (₹) › 1.1 Global and Indian benchmarks</t>
  </si>
  <si>
    <t xml:space="preserve">R7</t>
  </si>
  <si>
    <t xml:space="preserve">Ch 7 "Build cost around the world" chart; Key numbers.</t>
  </si>
  <si>
    <t xml:space="preserve">Mumbai cost advantage; forecast base cost.</t>
  </si>
  <si>
    <t xml:space="preserve">R7-T02</t>
  </si>
  <si>
    <t xml:space="preserve">Land prices in Indian data-centre hubs</t>
  </si>
  <si>
    <t xml:space="preserve">Report 7 (full research report) · 1. CAPEX (₹) › 1.2 Land and buildings</t>
  </si>
  <si>
    <t xml:space="preserve">Ch 7 "Land and power" table; simulator land prices.</t>
  </si>
  <si>
    <t xml:space="preserve">Land share of capex by hub.</t>
  </si>
  <si>
    <t xml:space="preserve">R7-T03</t>
  </si>
  <si>
    <t xml:space="preserve">Servers, storage and GPU prices</t>
  </si>
  <si>
    <t xml:space="preserve">Report 7 (full research report) · 1. CAPEX (₹) › 1.3 Servers, storage and GPUs (IT capex)</t>
  </si>
  <si>
    <t xml:space="preserve">Ch 7 GPU calculator (HGX prices); simulator GPU capex.</t>
  </si>
  <si>
    <t xml:space="preserve">IT capex per MW and per GPU.</t>
  </si>
  <si>
    <t xml:space="preserve">R7-T04</t>
  </si>
  <si>
    <t xml:space="preserve">Soft costs, interest during construction and contingency</t>
  </si>
  <si>
    <t xml:space="preserve">Report 7 (full research report) · 1. CAPEX (₹) › 1.8 Soft costs, interest during construction and contingency</t>
  </si>
  <si>
    <t xml:space="preserve">Capex stacks (soft costs, contingency, IDC).</t>
  </si>
  <si>
    <t xml:space="preserve">Soft-cost share of capex.</t>
  </si>
  <si>
    <t xml:space="preserve">R7-T05</t>
  </si>
  <si>
    <t xml:space="preserve">Capex breakdown: 20 MW Tier III colocation</t>
  </si>
  <si>
    <t xml:space="preserve">Report 7 (full research report) · 1. CAPEX (₹) › 1.9 Breakdown tables for the three cases</t>
  </si>
  <si>
    <t xml:space="preserve">Ch 7 "Line by line" table (Case A) and capex chart; simulator colo capex ₹56.1 cr/MW.</t>
  </si>
  <si>
    <t xml:space="preserve">Capex per MW for a colo.</t>
  </si>
  <si>
    <t xml:space="preserve">R7-T06</t>
  </si>
  <si>
    <t xml:space="preserve">Capex breakdown: 50 MW hyperscale build-to-suit</t>
  </si>
  <si>
    <t xml:space="preserve">Ch 7 "Line by line" (Case B); simulator hyperscale ₹39.2 cr/MW.</t>
  </si>
  <si>
    <t xml:space="preserve">Capex per MW for hyperscale.</t>
  </si>
  <si>
    <t xml:space="preserve">R7-T07</t>
  </si>
  <si>
    <t xml:space="preserve">Capex breakdown: 100 MW AI campus incl. GPUs</t>
  </si>
  <si>
    <t xml:space="preserve">Ch 7 "Line by line" (Case C); simulator AI ₹72.5 + ₹266 cr/MW.</t>
  </si>
  <si>
    <t xml:space="preserve">Capex per MW for an AI campus incl. GPUs.</t>
  </si>
  <si>
    <t xml:space="preserve">R7-T08</t>
  </si>
  <si>
    <t xml:space="preserve">State HT/EHT tariffs for data centres (FY2025–26)</t>
  </si>
  <si>
    <t xml:space="preserve">Report 7 (full research report) · 2. OPEX (₹) › 2.1 Electricity</t>
  </si>
  <si>
    <t xml:space="preserve">Simulator tariffs (KA, MH, TN, TG); Ch 7 land and power table.</t>
  </si>
  <si>
    <t xml:space="preserve">Power bill and LCOD.</t>
  </si>
  <si>
    <t xml:space="preserve">R7-T09</t>
  </si>
  <si>
    <t xml:space="preserve">Annual electricity cost by tariff and case</t>
  </si>
  <si>
    <t xml:space="preserve">Reference for simulator power bill.</t>
  </si>
  <si>
    <t xml:space="preserve">Annual electricity cost by state.</t>
  </si>
  <si>
    <t xml:space="preserve">R7-T10</t>
  </si>
  <si>
    <t xml:space="preserve">Water bill by case</t>
  </si>
  <si>
    <t xml:space="preserve">Report 7 (full research report) · 2. OPEX (₹) › 2.2 Water</t>
  </si>
  <si>
    <t xml:space="preserve">Simulator water cost line.</t>
  </si>
  <si>
    <t xml:space="preserve">Water cost share of opex (&lt;2%).</t>
  </si>
  <si>
    <t xml:space="preserve">R7-T11</t>
  </si>
  <si>
    <t xml:space="preserve">Indian salary markers</t>
  </si>
  <si>
    <t xml:space="preserve">Report 7 (full research report) · 2. OPEX (₹) › 2.5 Personnel</t>
  </si>
  <si>
    <t xml:space="preserve">Reference only (personnel cost basis).</t>
  </si>
  <si>
    <t xml:space="preserve">Staff cost per FTE.</t>
  </si>
  <si>
    <t xml:space="preserve">R7-T12</t>
  </si>
  <si>
    <t xml:space="preserve">Opex: Case A, 20 MW colocation</t>
  </si>
  <si>
    <t xml:space="preserve">Report 7 (full research report) · 2. OPEX (₹) › 2.8 Opex tables per case (stabilised year)</t>
  </si>
  <si>
    <t xml:space="preserve">Ch 7 "Where colo opex goes" chart; LCOD calculator.</t>
  </si>
  <si>
    <t xml:space="preserve">Opex per MW, power share.</t>
  </si>
  <si>
    <t xml:space="preserve">R7-T13</t>
  </si>
  <si>
    <t xml:space="preserve">Opex: Case B, 50 MW hyperscale</t>
  </si>
  <si>
    <t xml:space="preserve">Reference (hyperscale opex in LCOD preset B).</t>
  </si>
  <si>
    <t xml:space="preserve">Opex per MW for hyperscale.</t>
  </si>
  <si>
    <t xml:space="preserve">R7-T14</t>
  </si>
  <si>
    <t xml:space="preserve">Opex: Case C, 100 MW AI campus</t>
  </si>
  <si>
    <t xml:space="preserve">Reference (AI preset C in LCOD).</t>
  </si>
  <si>
    <t xml:space="preserve">Opex per MW for AI campus.</t>
  </si>
  <si>
    <t xml:space="preserve">R7-T15</t>
  </si>
  <si>
    <t xml:space="preserve">Colocation pricing in India</t>
  </si>
  <si>
    <t xml:space="preserve">Report 7 (full research report) · 3. Unit economics › 3.1 ₹ per MW: capex, revenue, EBITDA, payback, IRR, valuation</t>
  </si>
  <si>
    <t xml:space="preserve">Simulator break-even rent comparison; Ch 7 text; Key numbers.</t>
  </si>
  <si>
    <t xml:space="preserve">Market rent vs break-even.</t>
  </si>
  <si>
    <t xml:space="preserve">R7-T16</t>
  </si>
  <si>
    <t xml:space="preserve">Per-MW economics by case</t>
  </si>
  <si>
    <t xml:space="preserve">Ch 7 "Returns by business model" table.</t>
  </si>
  <si>
    <t xml:space="preserve">EBITDA, payback, IRR per model.</t>
  </si>
  <si>
    <t xml:space="preserve">R7-T17</t>
  </si>
  <si>
    <t xml:space="preserve">Valuations (EV/MW and EV/EBITDA)</t>
  </si>
  <si>
    <t xml:space="preserve">Ch 7 text (Nxtra valuation).</t>
  </si>
  <si>
    <t xml:space="preserve">Value per MW vs replacement cost.</t>
  </si>
  <si>
    <t xml:space="preserve">R7-T18</t>
  </si>
  <si>
    <t xml:space="preserve">Cost per rack by density</t>
  </si>
  <si>
    <t xml:space="preserve">Report 7 (full research report) · 3. Unit economics › 3.2 ₹ per rack</t>
  </si>
  <si>
    <t xml:space="preserve">Reference only (cost per rack).</t>
  </si>
  <si>
    <t xml:space="preserve">Capex and rent per rack by density.</t>
  </si>
  <si>
    <t xml:space="preserve">R7-T19</t>
  </si>
  <si>
    <t xml:space="preserve">Levelised cost of data-centre capacity (LCOD)</t>
  </si>
  <si>
    <t xml:space="preserve">Report 7 (full research report) · 3. Unit economics › 3.3 ₹ per kWh: levelised cost of data centre capacity (LCOD)</t>
  </si>
  <si>
    <t xml:space="preserve">Ch 7 LCOD calculator (CRF method); simulator cost per IT-kWh.</t>
  </si>
  <si>
    <t xml:space="preserve">Levelised cost per IT-kWh.</t>
  </si>
  <si>
    <t xml:space="preserve">R7-T20</t>
  </si>
  <si>
    <t xml:space="preserve">Cost per GPU-hour by utilisation</t>
  </si>
  <si>
    <t xml:space="preserve">Report 7 (full research report) · 3. Unit economics › 3.4 Cost per GPU-hour: TCO in India vs market prices</t>
  </si>
  <si>
    <t xml:space="preserve">Ch 7 GPU-hour calculator and chart.</t>
  </si>
  <si>
    <t xml:space="preserve">GPU-hour cost at each utilisation.</t>
  </si>
  <si>
    <t xml:space="preserve">R7-T21</t>
  </si>
  <si>
    <t xml:space="preserve">GPU-hour market prices and break-even utilisation</t>
  </si>
  <si>
    <t xml:space="preserve">Ch 7 market-price table and dashed lines on GPU chart.</t>
  </si>
  <si>
    <t xml:space="preserve">Break-even utilisation vs market prices.</t>
  </si>
  <si>
    <t xml:space="preserve">R7-T22</t>
  </si>
  <si>
    <t xml:space="preserve">Sensitivity analysis</t>
  </si>
  <si>
    <t xml:space="preserve">Report 7 (full research report) · 3. Unit economics › 3.5 Sensitivity analysis</t>
  </si>
  <si>
    <t xml:space="preserve">Ch 7 "What moves the colo's cost" tornado chart.</t>
  </si>
  <si>
    <t xml:space="preserve">Which lever matters most.</t>
  </si>
  <si>
    <t xml:space="preserve">R7-T23</t>
  </si>
  <si>
    <t xml:space="preserve">India vs US vs Singapore</t>
  </si>
  <si>
    <t xml:space="preserve">Report 7 (full research report) · 3. Unit economics › 3.6 Comparing models and markets</t>
  </si>
  <si>
    <t xml:space="preserve">Ch 7 "India vs US vs Singapore" table.</t>
  </si>
  <si>
    <t xml:space="preserve">India's thin margin vs peers.</t>
  </si>
  <si>
    <t xml:space="preserve">R7-T24</t>
  </si>
  <si>
    <t xml:space="preserve">Colocation vs hyperscale vs AI neocloud</t>
  </si>
  <si>
    <t xml:space="preserve">Ch 7 returns comparison text.</t>
  </si>
  <si>
    <t xml:space="preserve">Business-model risk profile.</t>
  </si>
  <si>
    <t xml:space="preserve">Report 8 · Green data centres</t>
  </si>
  <si>
    <t xml:space="preserve">R8-T01</t>
  </si>
  <si>
    <t xml:space="preserve">Twelve dimensions of a green data centre</t>
  </si>
  <si>
    <t xml:space="preserve">Report 8 (full research report) · 1. What is a "green data centre"? › 1.2 The twelve dimensions</t>
  </si>
  <si>
    <t xml:space="preserve">R8</t>
  </si>
  <si>
    <t xml:space="preserve">Ch 8 "Twelve dimensions" grid.</t>
  </si>
  <si>
    <t xml:space="preserve">Definition of green for India.</t>
  </si>
  <si>
    <t xml:space="preserve">R8-T02</t>
  </si>
  <si>
    <t xml:space="preserve">Green vs greenwashing: a quick test</t>
  </si>
  <si>
    <t xml:space="preserve">Report 8 (full research report) · 1. What is a "green data centre"? › 1.3 Green vs greenwashing: a quick test</t>
  </si>
  <si>
    <t xml:space="preserve">Ch 8 "Spotting greenwashing" table.</t>
  </si>
  <si>
    <t xml:space="preserve">Credibility test for claims.</t>
  </si>
  <si>
    <t xml:space="preserve">R8-T03</t>
  </si>
  <si>
    <t xml:space="preserve">Core green metrics and formulas</t>
  </si>
  <si>
    <t xml:space="preserve">Report 8 (full research report) · 2. Metrics and standards › 2.1 Core metrics and formulas</t>
  </si>
  <si>
    <t xml:space="preserve">Ch 8 metric definitions (reference).</t>
  </si>
  <si>
    <t xml:space="preserve">CUE, ERF, CFE formulas.</t>
  </si>
  <si>
    <t xml:space="preserve">R8-T04</t>
  </si>
  <si>
    <t xml:space="preserve">Certifications compared</t>
  </si>
  <si>
    <t xml:space="preserve">Report 8 (full research report) · 2. Metrics and standards › 2.3 Certifications</t>
  </si>
  <si>
    <t xml:space="preserve">Reference only (certifications).</t>
  </si>
  <si>
    <t xml:space="preserve">Which label to pursue.</t>
  </si>
  <si>
    <t xml:space="preserve">R8-T05</t>
  </si>
  <si>
    <t xml:space="preserve">Indian standards and policy instruments</t>
  </si>
  <si>
    <t xml:space="preserve">Report 8 (full research report) · 2. Metrics and standards › 2.4 Indian standards and policy instruments</t>
  </si>
  <si>
    <t xml:space="preserve">Ch 8 "Rules elsewhere" (India row) and Ch 9 central framework.</t>
  </si>
  <si>
    <t xml:space="preserve">Indian policy instruments status.</t>
  </si>
  <si>
    <t xml:space="preserve">R8-T06</t>
  </si>
  <si>
    <t xml:space="preserve">Design levers with quantified savings</t>
  </si>
  <si>
    <t xml:space="preserve">Report 8 (full research report) · 3. Design levers with quantified savings</t>
  </si>
  <si>
    <t xml:space="preserve">Reference for green upgrade assumptions.</t>
  </si>
  <si>
    <t xml:space="preserve">Savings per design lever.</t>
  </si>
  <si>
    <t xml:space="preserve">R8-T07</t>
  </si>
  <si>
    <t xml:space="preserve">Renewable procurement options in India</t>
  </si>
  <si>
    <t xml:space="preserve">Report 8 (full research report) · 4. Renewable and carbon-free energy procurement › 4.1 Procurement options in India</t>
  </si>
  <si>
    <t xml:space="preserve">Ch 8 "Buying clean power in India" table; simulator RE price.</t>
  </si>
  <si>
    <t xml:space="preserve">Landed cost of clean power routes.</t>
  </si>
  <si>
    <t xml:space="preserve">R8-T08</t>
  </si>
  <si>
    <t xml:space="preserve">Indian operator green snapshot</t>
  </si>
  <si>
    <t xml:space="preserve">Report 8 (full research report) · 4. Renewable and carbon-free energy procurement › 4.4 Indian operator snapshot</t>
  </si>
  <si>
    <t xml:space="preserve">Ch 8 "Indian operators" table.</t>
  </si>
  <si>
    <t xml:space="preserve">Operator green credentials.</t>
  </si>
  <si>
    <t xml:space="preserve">R8-T09</t>
  </si>
  <si>
    <t xml:space="preserve">Global benchmarks: Google, Microsoft and others</t>
  </si>
  <si>
    <t xml:space="preserve">Report 8 (full research report) · 5. Global benchmarks and the AI problem</t>
  </si>
  <si>
    <t xml:space="preserve">Ch 8 headline (+18% / +25% emissions); Ch 5 text.</t>
  </si>
  <si>
    <t xml:space="preserve">Limits of annual RE matching.</t>
  </si>
  <si>
    <t xml:space="preserve">R8-T10</t>
  </si>
  <si>
    <t xml:space="preserve">Green upgrade worked example: assumptions</t>
  </si>
  <si>
    <t xml:space="preserve">Report 8 (full research report) · 6. Economics of going green: a 20 MW Bengaluru colocation worked example › 6.1 Assumptions (flagged estimates)</t>
  </si>
  <si>
    <t xml:space="preserve">Ch 8 green upgrade calculator defaults.</t>
  </si>
  <si>
    <t xml:space="preserve">Inputs for the 20 MW green case.</t>
  </si>
  <si>
    <t xml:space="preserve">R8-T11</t>
  </si>
  <si>
    <t xml:space="preserve">Marginal abatement cost by package</t>
  </si>
  <si>
    <t xml:space="preserve">Report 8 (full research report) · 6. Economics of going green: a 20 MW Bengaluru colocation worked example › 6.3 Marginal abatement cost (MAC)</t>
  </si>
  <si>
    <t xml:space="preserve">Ch 8 "Abatement cost by measure" chart; Key numbers.</t>
  </si>
  <si>
    <t xml:space="preserve">Marginal abatement cost per package.</t>
  </si>
  <si>
    <t xml:space="preserve">R8-T12</t>
  </si>
  <si>
    <t xml:space="preserve">Green data-centre maturity model (India-calibrated)</t>
  </si>
  <si>
    <t xml:space="preserve">Report 8 (full research report) · 8. Green Data Centre maturity model (India-calibrated)</t>
  </si>
  <si>
    <t xml:space="preserve">Ch 8 maturity self-check radar.</t>
  </si>
  <si>
    <t xml:space="preserve">Maturity level per dimension.</t>
  </si>
  <si>
    <t xml:space="preserve">Report 9 · State policies</t>
  </si>
  <si>
    <t xml:space="preserve">R9-T01</t>
  </si>
  <si>
    <t xml:space="preserve">Central framework instruments</t>
  </si>
  <si>
    <t xml:space="preserve">Report 9 (full research report) · Part A — Central Framework</t>
  </si>
  <si>
    <t xml:space="preserve">R9</t>
  </si>
  <si>
    <t xml:space="preserve">Ch 9 "The central framework" table.</t>
  </si>
  <si>
    <t xml:space="preserve">National levers vs state levers.</t>
  </si>
  <si>
    <t xml:space="preserve">R9-T02</t>
  </si>
  <si>
    <t xml:space="preserve">Telangana named projects</t>
  </si>
  <si>
    <t xml:space="preserve">Report 9 (full research report) · Part B — State-by-State Deep Dive › 4. Telangana — the inland AI challenger</t>
  </si>
  <si>
    <t xml:space="preserve">Ch 9 Telangana detail; Ch 10 demand context.</t>
  </si>
  <si>
    <t xml:space="preserve">Hyderabad pipeline evidence.</t>
  </si>
  <si>
    <t xml:space="preserve">R9-T03</t>
  </si>
  <si>
    <t xml:space="preserve">Master comparison of state policies</t>
  </si>
  <si>
    <t xml:space="preserve">Report 9 (full research report) · Part C — Master Comparison Table</t>
  </si>
  <si>
    <t xml:space="preserve">Ch 9 policy register table, map detail panel and validity chart; simulator incentives.</t>
  </si>
  <si>
    <t xml:space="preserve">Incentives and green conditions by state.</t>
  </si>
  <si>
    <t xml:space="preserve">R9-T04</t>
  </si>
  <si>
    <t xml:space="preserve">State attractiveness index</t>
  </si>
  <si>
    <t xml:space="preserve">Report 9 (full research report) · Part D — Attractiveness Index</t>
  </si>
  <si>
    <t xml:space="preserve">Ch 9 attractiveness index (sliders) and map colouring; Ch 10 policy factor.</t>
  </si>
  <si>
    <t xml:space="preserve">Weighted state ranking.</t>
  </si>
  <si>
    <t xml:space="preserve">Report 10 · Where to build</t>
  </si>
  <si>
    <t xml:space="preserve">R10-T01</t>
  </si>
  <si>
    <t xml:space="preserve">Market context: capacity by city, H1 2026</t>
  </si>
  <si>
    <t xml:space="preserve">Report 10 (Part 10 research report) · Key Findings</t>
  </si>
  <si>
    <t xml:space="preserve">R10</t>
  </si>
  <si>
    <t xml:space="preserve">Ch 10 context; Ch 1/9 city capacity.</t>
  </si>
  <si>
    <t xml:space="preserve">Market size and pipeline by city.</t>
  </si>
  <si>
    <t xml:space="preserve">R10-T02</t>
  </si>
  <si>
    <t xml:space="preserve">Effective tariff by state at 80% load factor</t>
  </si>
  <si>
    <t xml:space="preserve">Ch 10 power score (tariff half); city detail panel.</t>
  </si>
  <si>
    <t xml:space="preserve">Tariff score = 10 × (8.70 − x) ÷ (8.70 − 5.96).</t>
  </si>
  <si>
    <t xml:space="preserve">R10-T03</t>
  </si>
  <si>
    <t xml:space="preserve">Factor weights by use case</t>
  </si>
  <si>
    <t xml:space="preserve">Report 10 (Part 10 research report) · Method</t>
  </si>
  <si>
    <t xml:space="preserve">Ch 10 weight presets (balanced, AI, interconnection, sustainability).</t>
  </si>
  <si>
    <t xml:space="preserve">Use-case rankings.</t>
  </si>
  <si>
    <t xml:space="preserve">R10-T04</t>
  </si>
  <si>
    <t xml:space="preserve">Inter-hub distances and latency</t>
  </si>
  <si>
    <t xml:space="preserve">Ch 10 latency formula drawer.</t>
  </si>
  <si>
    <t xml:space="preserve">RTT = 0.014 × km.</t>
  </si>
  <si>
    <t xml:space="preserve">R10-T05</t>
  </si>
  <si>
    <t xml:space="preserve">Latency table: great-circle km to four hubs and mean RTT</t>
  </si>
  <si>
    <t xml:space="preserve">Report 10 (Part 10 research report) · Latency table (great-circle km to Mumbai / Delhi / Chennai / Bengaluru → mean RTT)</t>
  </si>
  <si>
    <t xml:space="preserve">Ch 10 latency factor (recomputed in the atlas with haversine).</t>
  </si>
  <si>
    <t xml:space="preserve">Latency score per city.</t>
  </si>
  <si>
    <t xml:space="preserve">R10-T06</t>
  </si>
  <si>
    <t xml:space="preserve">State shortlist: Maharashtra</t>
  </si>
  <si>
    <t xml:space="preserve">Report 10 (Part 10 research report) · State-by-state shortlists › Maharashtra</t>
  </si>
  <si>
    <t xml:space="preserve">Ch 10 map dots, detail panel and ranking table (site attributes and scores).</t>
  </si>
  <si>
    <t xml:space="preserve">Filter pass/fail, factor scores and tier for each city in the state.</t>
  </si>
  <si>
    <t xml:space="preserve">R10-T07</t>
  </si>
  <si>
    <t xml:space="preserve">State shortlist: Tamil Nadu</t>
  </si>
  <si>
    <t xml:space="preserve">Report 10 (Part 10 research report) · State-by-state shortlists › Tamil Nadu</t>
  </si>
  <si>
    <t xml:space="preserve">R10-T08</t>
  </si>
  <si>
    <t xml:space="preserve">State shortlist: Karnataka</t>
  </si>
  <si>
    <t xml:space="preserve">Report 10 (Part 10 research report) · State-by-state shortlists › Karnataka</t>
  </si>
  <si>
    <t xml:space="preserve">R10-T09</t>
  </si>
  <si>
    <t xml:space="preserve">State shortlist: Telangana</t>
  </si>
  <si>
    <t xml:space="preserve">Report 10 (Part 10 research report) · State-by-state shortlists › Telangana</t>
  </si>
  <si>
    <t xml:space="preserve">R10-T10</t>
  </si>
  <si>
    <t xml:space="preserve">State shortlist: Andhra Pradesh</t>
  </si>
  <si>
    <t xml:space="preserve">Report 10 (Part 10 research report) · State-by-state shortlists › Andhra Pradesh</t>
  </si>
  <si>
    <t xml:space="preserve">R10-T11</t>
  </si>
  <si>
    <t xml:space="preserve">State shortlist: Uttar Pradesh</t>
  </si>
  <si>
    <t xml:space="preserve">Report 10 (Part 10 research report) · State-by-state shortlists › Uttar Pradesh</t>
  </si>
  <si>
    <t xml:space="preserve">R10-T12</t>
  </si>
  <si>
    <t xml:space="preserve">State shortlist: Haryana</t>
  </si>
  <si>
    <t xml:space="preserve">Report 10 (Part 10 research report) · State-by-state shortlists › Haryana</t>
  </si>
  <si>
    <t xml:space="preserve">R10-T13</t>
  </si>
  <si>
    <t xml:space="preserve">State shortlist: Delhi</t>
  </si>
  <si>
    <t xml:space="preserve">Report 10 (Part 10 research report) · State-by-state shortlists › Delhi</t>
  </si>
  <si>
    <t xml:space="preserve">R10-T14</t>
  </si>
  <si>
    <t xml:space="preserve">State shortlist: Gujarat</t>
  </si>
  <si>
    <t xml:space="preserve">Report 10 (Part 10 research report) · State-by-state shortlists › Gujarat</t>
  </si>
  <si>
    <t xml:space="preserve">R10-T15</t>
  </si>
  <si>
    <t xml:space="preserve">State shortlist: West Bengal</t>
  </si>
  <si>
    <t xml:space="preserve">Report 10 (Part 10 research report) · State-by-state shortlists › West Bengal</t>
  </si>
  <si>
    <t xml:space="preserve">R10-T16</t>
  </si>
  <si>
    <t xml:space="preserve">State shortlist: Kerala</t>
  </si>
  <si>
    <t xml:space="preserve">Report 10 (Part 10 research report) · State-by-state shortlists › Kerala</t>
  </si>
  <si>
    <t xml:space="preserve">R10-T17</t>
  </si>
  <si>
    <t xml:space="preserve">State shortlist: Odisha</t>
  </si>
  <si>
    <t xml:space="preserve">Report 10 (Part 10 research report) · State-by-state shortlists › Odisha</t>
  </si>
  <si>
    <t xml:space="preserve">R10-T18</t>
  </si>
  <si>
    <t xml:space="preserve">State shortlist: Rajasthan</t>
  </si>
  <si>
    <t xml:space="preserve">Report 10 (Part 10 research report) · State-by-state shortlists › Rajasthan</t>
  </si>
  <si>
    <t xml:space="preserve">R10-T19</t>
  </si>
  <si>
    <t xml:space="preserve">State shortlist: Madhya Pradesh</t>
  </si>
  <si>
    <t xml:space="preserve">Report 10 (Part 10 research report) · State-by-state shortlists › Madhya Pradesh</t>
  </si>
  <si>
    <t xml:space="preserve">R10-T20</t>
  </si>
  <si>
    <t xml:space="preserve">Secondary states shortlist</t>
  </si>
  <si>
    <t xml:space="preserve">Report 10 (Part 10 research report) · State-by-state shortlists › Secondary states</t>
  </si>
  <si>
    <t xml:space="preserve">R10-T21</t>
  </si>
  <si>
    <t xml:space="preserve">National master table (default weights)</t>
  </si>
  <si>
    <t xml:space="preserve">Report 10 (Part 10 research report) · National master table (default weights)</t>
  </si>
  <si>
    <t xml:space="preserve">Ch 10 ranking table; worked-example workbook.</t>
  </si>
  <si>
    <t xml:space="preserve">National rank and tier.</t>
  </si>
  <si>
    <t xml:space="preserve">R10-T22</t>
  </si>
  <si>
    <t xml:space="preserve">Alternate weightings and rank stability</t>
  </si>
  <si>
    <t xml:space="preserve">Report 10 (Part 10 research report) · Alternate weightings and rank stability</t>
  </si>
  <si>
    <t xml:space="preserve">Ch 10 "Top picks by use case"; Monte Carlo context.</t>
  </si>
  <si>
    <t xml:space="preserve">Rank stability across weightings.</t>
  </si>
  <si>
    <t xml:space="preserve">Report 11 · Forecast to 2035</t>
  </si>
  <si>
    <t xml:space="preserve">R11-T01</t>
  </si>
  <si>
    <t xml:space="preserve">Historical capacity series</t>
  </si>
  <si>
    <t xml:space="preserve">Report 11 (Part 11 research report) · 1. Capacity (MW IT): data, three models, comparison, backtest › 1.1 Historical series</t>
  </si>
  <si>
    <t xml:space="preserve">R11</t>
  </si>
  <si>
    <t xml:space="preserve">Ch 11 history points on the capacity chart.</t>
  </si>
  <si>
    <t xml:space="preserve">Fitted CAGR (27.9%) and logistic rate.</t>
  </si>
  <si>
    <t xml:space="preserve">R11-T02</t>
  </si>
  <si>
    <t xml:space="preserve">CAGR model: forward scenarios from 1,611 MW</t>
  </si>
  <si>
    <t xml:space="preserve">Report 11 (Part 11 research report) · 1. Capacity (MW IT): data, three models, comparison, backtest › 1.2 Model (a): CAGR, C(t) = C₀(1+g)^t</t>
  </si>
  <si>
    <t xml:space="preserve">Ch 11 CAGR model option.</t>
  </si>
  <si>
    <t xml:space="preserve">Capacity path under constant growth.</t>
  </si>
  <si>
    <t xml:space="preserve">R11-T03</t>
  </si>
  <si>
    <t xml:space="preserve">Logistic model parameters</t>
  </si>
  <si>
    <t xml:space="preserve">Report 11 (Part 11 research report) · 1. Capacity (MW IT): data, three models, comparison, backtest › 1.3 Model (b): logistic S-curve, C(t) = K / (1 + e^(−r(t − t₀)))</t>
  </si>
  <si>
    <t xml:space="preserve">Ch 11 S-curve sliders (K, r).</t>
  </si>
  <si>
    <t xml:space="preserve">Logistic midpoint t₀.</t>
  </si>
  <si>
    <t xml:space="preserve">R11-T04</t>
  </si>
  <si>
    <t xml:space="preserve">Logistic model output (MW)</t>
  </si>
  <si>
    <t xml:space="preserve">Ch 11 S-curve model option.</t>
  </si>
  <si>
    <t xml:space="preserve">Capacity path to 2035.</t>
  </si>
  <si>
    <t xml:space="preserve">R11-T05</t>
  </si>
  <si>
    <t xml:space="preserve">Forecast conversion evidence (backtest)</t>
  </si>
  <si>
    <t xml:space="preserve">Report 11 (Part 11 research report) · 1. Capacity (MW IT): data, three models, comparison, backtest › 1.4 Model (c): pipeline conversion, C(t+1) = C(t) + Σ P_stage(t − L) × c_stage</t>
  </si>
  <si>
    <t xml:space="preserve">Ch 11 haircut KPI (0.58–0.87×).</t>
  </si>
  <si>
    <t xml:space="preserve">Delivery haircut on forecasts.</t>
  </si>
  <si>
    <t xml:space="preserve">R11-T06</t>
  </si>
  <si>
    <t xml:space="preserve">Pipeline conversion parameters</t>
  </si>
  <si>
    <t xml:space="preserve">Ch 11 pipeline-conversion sliders.</t>
  </si>
  <si>
    <t xml:space="preserve">Expected delivered MW from pipeline.</t>
  </si>
  <si>
    <t xml:space="preserve">R11-T07</t>
  </si>
  <si>
    <t xml:space="preserve">Pipeline-conversion path to 2030 (MW)</t>
  </si>
  <si>
    <t xml:space="preserve">Ch 11 pipeline model option.</t>
  </si>
  <si>
    <t xml:space="preserve">Capacity to 2030.</t>
  </si>
  <si>
    <t xml:space="preserve">R11-T08</t>
  </si>
  <si>
    <t xml:space="preserve">Integrated capacity path 2026–2035 (MW IT)</t>
  </si>
  <si>
    <t xml:space="preserve">Report 11 (Part 11 research report) · 1. Capacity (MW IT): data, three models, comparison, backtest › 1.5 Integrated capacity path</t>
  </si>
  <si>
    <t xml:space="preserve">Ch 11 integrated base case (default chart).</t>
  </si>
  <si>
    <t xml:space="preserve">Base / low / high capacity path.</t>
  </si>
  <si>
    <t xml:space="preserve">R11-T09</t>
  </si>
  <si>
    <t xml:space="preserve">Published forecasts compared</t>
  </si>
  <si>
    <t xml:space="preserve">Report 11 (Part 11 research report) · 1. Capacity (MW IT): data, three models, comparison, backtest › 1.6 Published forecasts compared</t>
  </si>
  <si>
    <t xml:space="preserve">Ch 11 "Published forecasts compared" chart.</t>
  </si>
  <si>
    <t xml:space="preserve">Our base vs consultant median.</t>
  </si>
  <si>
    <t xml:space="preserve">R11-T10</t>
  </si>
  <si>
    <t xml:space="preserve">Electricity, base case: MW, utilisation, PUE, TWh and share</t>
  </si>
  <si>
    <t xml:space="preserve">Report 11 (Part 11 research report) · 2. Electricity (TWh) and share of the grid</t>
  </si>
  <si>
    <t xml:space="preserve">Ch 11 electricity and share outputs.</t>
  </si>
  <si>
    <t xml:space="preserve">TWh and % of national demand.</t>
  </si>
  <si>
    <t xml:space="preserve">R11-T11</t>
  </si>
  <si>
    <t xml:space="preserve">Electricity scenarios</t>
  </si>
  <si>
    <t xml:space="preserve">Ch 11 scenario comparison.</t>
  </si>
  <si>
    <t xml:space="preserve">Low/base/high electricity.</t>
  </si>
  <si>
    <t xml:space="preserve">R11-T12</t>
  </si>
  <si>
    <t xml:space="preserve">State-level electricity shares, base case</t>
  </si>
  <si>
    <t xml:space="preserve">Ch 11 state share outputs (denominators are estimates).</t>
  </si>
  <si>
    <t xml:space="preserve">Grid stress by state.</t>
  </si>
  <si>
    <t xml:space="preserve">R11-T13</t>
  </si>
  <si>
    <t xml:space="preserve">Grid emission factor history (CEA)</t>
  </si>
  <si>
    <t xml:space="preserve">Report 11 (Part 11 research report) · 3. Carbon trajectory</t>
  </si>
  <si>
    <t xml:space="preserve">Ch 11 carbon inputs; all calculators (0.710).</t>
  </si>
  <si>
    <t xml:space="preserve">Grid carbon trend.</t>
  </si>
  <si>
    <t xml:space="preserve">R11-T14</t>
  </si>
  <si>
    <t xml:space="preserve">Emission-factor paths</t>
  </si>
  <si>
    <t xml:space="preserve">Ch 11 EF slider paths.</t>
  </si>
  <si>
    <t xml:space="preserve">Future grid carbon.</t>
  </si>
  <si>
    <t xml:space="preserve">R11-T15</t>
  </si>
  <si>
    <t xml:space="preserve">Emissions, base case</t>
  </si>
  <si>
    <t xml:space="preserve">Ch 11 carbon outputs.</t>
  </si>
  <si>
    <t xml:space="preserve">Net and location-based CO₂.</t>
  </si>
  <si>
    <t xml:space="preserve">R11-T16</t>
  </si>
  <si>
    <t xml:space="preserve">Build-cost data points</t>
  </si>
  <si>
    <t xml:space="preserve">Report 11 (Part 11 research report) · 4. Costs: build cost per MW and GPU-hour prices › 4.1 Build cost</t>
  </si>
  <si>
    <t xml:space="preserve">Ch 11 cost inputs.</t>
  </si>
  <si>
    <t xml:space="preserve">Base cost and learning test.</t>
  </si>
  <si>
    <t xml:space="preserve">R11-T17</t>
  </si>
  <si>
    <t xml:space="preserve">Build-cost path (₹ crore/MW)</t>
  </si>
  <si>
    <t xml:space="preserve">Ch 11 cost outputs.</t>
  </si>
  <si>
    <t xml:space="preserve">₹ crore per MW path.</t>
  </si>
  <si>
    <t xml:space="preserve">R11-T18</t>
  </si>
  <si>
    <t xml:space="preserve">Cumulative facility capex, base case</t>
  </si>
  <si>
    <t xml:space="preserve">Ch 11 capex outputs.</t>
  </si>
  <si>
    <t xml:space="preserve">Cumulative investment.</t>
  </si>
  <si>
    <t xml:space="preserve">R11-T19</t>
  </si>
  <si>
    <t xml:space="preserve">India H100 commercial rates</t>
  </si>
  <si>
    <t xml:space="preserve">Report 11 (Part 11 research report) · 4. Costs: build cost per MW and GPU-hour prices › 4.2 GPU-hour prices</t>
  </si>
  <si>
    <t xml:space="preserve">Ch 7 market prices; Ch 11 GPU path start.</t>
  </si>
  <si>
    <t xml:space="preserve">GPU price base.</t>
  </si>
  <si>
    <t xml:space="preserve">R11-T20</t>
  </si>
  <si>
    <t xml:space="preserve">GPU-hour price path (₹)</t>
  </si>
  <si>
    <t xml:space="preserve">Ch 11 GPU price outputs.</t>
  </si>
  <si>
    <t xml:space="preserve">GPU-hour price path.</t>
  </si>
  <si>
    <t xml:space="preserve">R11-T21</t>
  </si>
  <si>
    <t xml:space="preserve">Dry/liquid share, WUE mix and national water</t>
  </si>
  <si>
    <t xml:space="preserve">Report 11 (Part 11 research report) · 5. Water demand by city (MLD)</t>
  </si>
  <si>
    <t xml:space="preserve">Ch 11 water outputs (Bass diffusion).</t>
  </si>
  <si>
    <t xml:space="preserve">National on-site MLD.</t>
  </si>
  <si>
    <t xml:space="preserve">R11-T22</t>
  </si>
  <si>
    <t xml:space="preserve">City water demand and supply</t>
  </si>
  <si>
    <t xml:space="preserve">Ch 11 city water outputs.</t>
  </si>
  <si>
    <t xml:space="preserve">DC share of city water supply.</t>
  </si>
  <si>
    <t xml:space="preserve">R11-T23</t>
  </si>
  <si>
    <t xml:space="preserve">Pipeline shares by city</t>
  </si>
  <si>
    <t xml:space="preserve">Report 11 (Part 11 research report) · 6. Where new capacity goes, city by city</t>
  </si>
  <si>
    <t xml:space="preserve">Ch 11 city allocation (2026–30).</t>
  </si>
  <si>
    <t xml:space="preserve">Where new MW go.</t>
  </si>
  <si>
    <t xml:space="preserve">R11-T24</t>
  </si>
  <si>
    <t xml:space="preserve">Illustrative city scores for allocation</t>
  </si>
  <si>
    <t xml:space="preserve">Ch 11 city allocation (illustrative scores).</t>
  </si>
  <si>
    <t xml:space="preserve">Softmax share of growth.</t>
  </si>
  <si>
    <t xml:space="preserve">R11-T25</t>
  </si>
  <si>
    <t xml:space="preserve">City capacity forecast</t>
  </si>
  <si>
    <t xml:space="preserve">Ch 11 city capacity outputs.</t>
  </si>
  <si>
    <t xml:space="preserve">City MW 2030 and 2035.</t>
  </si>
  <si>
    <t xml:space="preserve">R11-T26</t>
  </si>
  <si>
    <t xml:space="preserve">Driver-based 2030 forecasts</t>
  </si>
  <si>
    <t xml:space="preserve">Report 11 (Part 11 research report) · 7. Demand drivers (regression)</t>
  </si>
  <si>
    <t xml:space="preserve">Ch 11 driver cross-check (text).</t>
  </si>
  <si>
    <t xml:space="preserve">Demand-side view of 2030.</t>
  </si>
  <si>
    <t xml:space="preserve">R11-T27</t>
  </si>
  <si>
    <t xml:space="preserve">Integrated base-case table 2026–2035</t>
  </si>
  <si>
    <t xml:space="preserve">Report 11 (Part 11 research report) · 8. Integrated base-case table (2026–2035) [M]</t>
  </si>
  <si>
    <t xml:space="preserve">Ch 11 integrated table and KPIs.</t>
  </si>
  <si>
    <t xml:space="preserve">Year-by-year base case.</t>
  </si>
  <si>
    <t xml:space="preserve">R11-T28</t>
  </si>
  <si>
    <t xml:space="preserve">Calculator parameters and Monte Carlo distributions</t>
  </si>
  <si>
    <t xml:space="preserve">Report 11 (Part 11 research report) · 9. Parameter table for the calculator, with Monte Carlo distributions</t>
  </si>
  <si>
    <t xml:space="preserve">Ch 11 slider ranges and Monte Carlo band.</t>
  </si>
  <si>
    <t xml:space="preserve">Uncertainty range.</t>
  </si>
  <si>
    <t xml:space="preserve">Report 12 · Water and energy</t>
  </si>
  <si>
    <t xml:space="preserve">R12-T01</t>
  </si>
  <si>
    <t xml:space="preserve">Water definitions and metrics</t>
  </si>
  <si>
    <t xml:space="preserve">Report 12 (Part 12 research report) · 1. Direct (on-site) water › 1.1 Definitions and metrics</t>
  </si>
  <si>
    <t xml:space="preserve">R12</t>
  </si>
  <si>
    <t xml:space="preserve">Source-derived, verified</t>
  </si>
  <si>
    <t xml:space="preserve">Ch 12 definitions; Data register.</t>
  </si>
  <si>
    <t xml:space="preserve">Report withdrawal and consumption separately.</t>
  </si>
  <si>
    <t xml:space="preserve">R12-T02</t>
  </si>
  <si>
    <t xml:space="preserve">Cooling-tower water components and physics</t>
  </si>
  <si>
    <t xml:space="preserve">Report 12 (Part 12 research report) · 1. Direct (on-site) water › 1.2 Components and physics</t>
  </si>
  <si>
    <t xml:space="preserve">Ch 12 "Inside a cooling tower" calculator.</t>
  </si>
  <si>
    <t xml:space="preserve">Tower WUE vs cycles of concentration.</t>
  </si>
  <si>
    <t xml:space="preserve">R12-T03</t>
  </si>
  <si>
    <t xml:space="preserve">Published WUE and water values</t>
  </si>
  <si>
    <t xml:space="preserve">Report 12 (Part 12 research report) · 1. Direct (on-site) water › 1.3 Published WUE and water values</t>
  </si>
  <si>
    <t xml:space="preserve">Ch 12 power-vs-water chart (fleet dots); Data register verified figures.</t>
  </si>
  <si>
    <t xml:space="preserve">Benchmark WUE/PUE.</t>
  </si>
  <si>
    <t xml:space="preserve">R12-T04</t>
  </si>
  <si>
    <t xml:space="preserve">Water per AI query</t>
  </si>
  <si>
    <t xml:space="preserve">Report 12 (Part 12 research report) · 1. Direct (on-site) water › 1.4 Water per AI query</t>
  </si>
  <si>
    <t xml:space="preserve">Ch 12 "Water behind one AI prompt" chart.</t>
  </si>
  <si>
    <t xml:space="preserve">Per-prompt water with grid water.</t>
  </si>
  <si>
    <t xml:space="preserve">R12-T05</t>
  </si>
  <si>
    <t xml:space="preserve">Water intensity of electricity generation</t>
  </si>
  <si>
    <t xml:space="preserve">Report 12 (Part 12 research report) · 2. Indirect (off-site) water › 2.1 Water intensity of generation</t>
  </si>
  <si>
    <t xml:space="preserve">Ch 12 "Where grid water comes from" chart.</t>
  </si>
  <si>
    <t xml:space="preserve">Water intensity by generation source.</t>
  </si>
  <si>
    <t xml:space="preserve">R12-T06</t>
  </si>
  <si>
    <t xml:space="preserve">Indian grid-average water intensity, FY25</t>
  </si>
  <si>
    <t xml:space="preserve">Report 12 (Part 12 research report) · 2. Indirect (off-site) water › 2.2 Indian grid-average water intensity</t>
  </si>
  <si>
    <t xml:space="preserve">Ch 12 grid-water chart and calculator default (3.0 L/kWh).</t>
  </si>
  <si>
    <t xml:space="preserve">Indian grid water intensity.</t>
  </si>
  <si>
    <t xml:space="preserve">R12-T07</t>
  </si>
  <si>
    <t xml:space="preserve">State grid water proxies</t>
  </si>
  <si>
    <t xml:space="preserve">Ch 12 state ranges chart and calculator grid options.</t>
  </si>
  <si>
    <t xml:space="preserve">State grid water.</t>
  </si>
  <si>
    <t xml:space="preserve">R12-T08</t>
  </si>
  <si>
    <t xml:space="preserve">Source WUE by case</t>
  </si>
  <si>
    <t xml:space="preserve">Report 12 (Part 12 research report) · 2. Indirect (off-site) water › 2.3 Source WUE formula</t>
  </si>
  <si>
    <t xml:space="preserve">Ch 12 source WUE in power-vs-water view.</t>
  </si>
  <si>
    <t xml:space="preserve">Total water per kWh of IT.</t>
  </si>
  <si>
    <t xml:space="preserve">R12-T09</t>
  </si>
  <si>
    <t xml:space="preserve">Embedded water (scope 3)</t>
  </si>
  <si>
    <t xml:space="preserve">Report 12 (Part 12 research report) · 2. Indirect (off-site) water › 2.4 Embedded water (scope 3), order of magnitude</t>
  </si>
  <si>
    <t xml:space="preserve">Reference only (scope 3 water).</t>
  </si>
  <si>
    <t xml:space="preserve">Embedded water share.</t>
  </si>
  <si>
    <t xml:space="preserve">R12-T10</t>
  </si>
  <si>
    <t xml:space="preserve">Water and energy by cooling technology (India)</t>
  </si>
  <si>
    <t xml:space="preserve">Report 12 (Part 12 research report) · 3. Water by cooling technology</t>
  </si>
  <si>
    <t xml:space="preserve">Ch 12 power-vs-water boxes; calculator design defaults.</t>
  </si>
  <si>
    <t xml:space="preserve">PUE and WUE ranges per technology.</t>
  </si>
  <si>
    <t xml:space="preserve">R12-T11</t>
  </si>
  <si>
    <t xml:space="preserve">Wet-mode hours and design wet-bulb by city</t>
  </si>
  <si>
    <t xml:space="preserve">Ch 12 wet-hours chart; checked by the 8,760-hour model.</t>
  </si>
  <si>
    <t xml:space="preserve">Adiabatic water by city.</t>
  </si>
  <si>
    <t xml:space="preserve">R12-T12</t>
  </si>
  <si>
    <t xml:space="preserve">Peak water factors</t>
  </si>
  <si>
    <t xml:space="preserve">Report 12 (Part 12 research report) · 4. Peak water demand › 4.1 Peak factors (calculator inputs)</t>
  </si>
  <si>
    <t xml:space="preserve">Ch 12 "Peaks size the pipes" chart; calculator peak factors.</t>
  </si>
  <si>
    <t xml:space="preserve">Peak-day and peak-hour water.</t>
  </si>
  <si>
    <t xml:space="preserve">R12-T13</t>
  </si>
  <si>
    <t xml:space="preserve">IT load profile archetypes</t>
  </si>
  <si>
    <t xml:space="preserve">Report 12 (Part 12 research report) · 5. Hourly water and electricity profiles › 5.1 IT load profile archetypes</t>
  </si>
  <si>
    <t xml:space="preserve">Ch 12 utilisation assumptions.</t>
  </si>
  <si>
    <t xml:space="preserve">Average IT load by archetype.</t>
  </si>
  <si>
    <t xml:space="preserve">R12-T14</t>
  </si>
  <si>
    <t xml:space="preserve">Hot-day hourly profile: 50 MW Hyderabad, adiabatic</t>
  </si>
  <si>
    <t xml:space="preserve">Report 12 (Part 12 research report) · 5. Hourly water and electricity profiles › 5.3 Hot-day profile: 50 MW hyperscale, Hyderabad, adiabatic (Example B), May design day</t>
  </si>
  <si>
    <t xml:space="preserve">Ch 12 "One hot day, hour by hour" chart.</t>
  </si>
  <si>
    <t xml:space="preserve">Hourly water, power and price; dry-at-noon saving.</t>
  </si>
  <si>
    <t xml:space="preserve">R12-T15</t>
  </si>
  <si>
    <t xml:space="preserve">Tariff time-of-day structures</t>
  </si>
  <si>
    <t xml:space="preserve">Report 12 (Part 12 research report) · 5. Hourly water and electricity profiles › 5.4 Tariff time structures</t>
  </si>
  <si>
    <t xml:space="preserve">Ch 12 hourly context; Ch 5 load shift.</t>
  </si>
  <si>
    <t xml:space="preserve">ToD saving potential.</t>
  </si>
  <si>
    <t xml:space="preserve">R12-T16</t>
  </si>
  <si>
    <t xml:space="preserve">DISCOM HT/EHT tariffs, FY2025-26</t>
  </si>
  <si>
    <t xml:space="preserve">Report 12 (Part 12 research report) · 6. Grid electricity options in India › 6.1 DISCOM HT/EHT tariffs (FY2025-26 unless noted)</t>
  </si>
  <si>
    <t xml:space="preserve">Ch 12 cost-vs-water chart (landed ₹/kWh).</t>
  </si>
  <si>
    <t xml:space="preserve">Landed power cost by state and category.</t>
  </si>
  <si>
    <t xml:space="preserve">R12-T17</t>
  </si>
  <si>
    <t xml:space="preserve">Open access and procurement options</t>
  </si>
  <si>
    <t xml:space="preserve">Report 12 (Part 12 research report) · 6. Grid electricity options in India › 6.2 Open access and procurement options</t>
  </si>
  <si>
    <t xml:space="preserve">Ch 12 cost-vs-water chart (procurement options).</t>
  </si>
  <si>
    <t xml:space="preserve">Landed cost of each procurement route.</t>
  </si>
  <si>
    <t xml:space="preserve">R12-T18</t>
  </si>
  <si>
    <t xml:space="preserve">Supply voltage by facility size</t>
  </si>
  <si>
    <t xml:space="preserve">Report 12 (Part 12 research report) · 6. Grid electricity options in India › 6.3 Reliability and connection</t>
  </si>
  <si>
    <t xml:space="preserve">Ch 12 calculator contract demand note.</t>
  </si>
  <si>
    <t xml:space="preserve">Supply voltage per project size.</t>
  </si>
  <si>
    <t xml:space="preserve">R12-T19</t>
  </si>
  <si>
    <t xml:space="preserve">Typical energy parameter values</t>
  </si>
  <si>
    <t xml:space="preserve">Report 12 (Part 12 research report) · 7. Energy calculations › 7.2 Typical parameter values</t>
  </si>
  <si>
    <t xml:space="preserve">Ch 12 calculator parameters.</t>
  </si>
  <si>
    <t xml:space="preserve">Energy, MVA, DG and UPS sizing.</t>
  </si>
  <si>
    <t xml:space="preserve">R12-T20</t>
  </si>
  <si>
    <t xml:space="preserve">Scale snapshot by archetype</t>
  </si>
  <si>
    <t xml:space="preserve">Report 12 (Part 12 research report) · 7. Energy calculations › 7.3 Scale snapshot</t>
  </si>
  <si>
    <t xml:space="preserve">Reference for Ch 12 calculator.</t>
  </si>
  <si>
    <t xml:space="preserve">Energy and connection per archetype.</t>
  </si>
  <si>
    <t xml:space="preserve">R12-T21</t>
  </si>
  <si>
    <t xml:space="preserve">Example A: 20 MW Mumbai colo, step by step</t>
  </si>
  <si>
    <t xml:space="preserve">Report 12 (Part 12 research report) · 8. Worked examples › Example A: 20 MW IT colocation, Mumbai (Navi Mumbai), water-cooled chillers + open cooling towers</t>
  </si>
  <si>
    <t xml:space="preserve">Ch 12 "Where the water goes" and cost-vs-water charts (Example A).</t>
  </si>
  <si>
    <t xml:space="preserve">Water and cost for a Mumbai colo.</t>
  </si>
  <si>
    <t xml:space="preserve">R12-T22</t>
  </si>
  <si>
    <t xml:space="preserve">Example A: landed electricity cost by option</t>
  </si>
  <si>
    <t xml:space="preserve">Ch 12 cost-vs-water chart (Example A dots).</t>
  </si>
  <si>
    <t xml:space="preserve">Cheapest procurement route.</t>
  </si>
  <si>
    <t xml:space="preserve">R12-T23</t>
  </si>
  <si>
    <t xml:space="preserve">Example B: 50 MW Hyderabad hyperscale, step by step</t>
  </si>
  <si>
    <t xml:space="preserve">Report 12 (Part 12 research report) · 8. Worked examples › Example B: 50 MW IT hyperscale, Hyderabad, air-side economiser / adiabatic-assisted cooling</t>
  </si>
  <si>
    <t xml:space="preserve">Ch 12 charts (Example B) and hourly profile.</t>
  </si>
  <si>
    <t xml:space="preserve">Water and cost for a Hyderabad hyperscale site.</t>
  </si>
  <si>
    <t xml:space="preserve">R12-T24</t>
  </si>
  <si>
    <t xml:space="preserve">Example B: landed electricity cost by option</t>
  </si>
  <si>
    <t xml:space="preserve">Ch 12 cost-vs-water chart (Example B dots).</t>
  </si>
  <si>
    <t xml:space="preserve">R12-T25</t>
  </si>
  <si>
    <t xml:space="preserve">Example C: 100 MW Bengaluru AI campus, step by step</t>
  </si>
  <si>
    <t xml:space="preserve">Report 12 (Part 12 research report) · 8. Worked examples › Example C: 100 MW IT AI campus, Bengaluru (alt.: Visakhapatnam), direct-to-chip liquid cooling + dry coolers</t>
  </si>
  <si>
    <t xml:space="preserve">Ch 12 charts (Example C).</t>
  </si>
  <si>
    <t xml:space="preserve">Water and cost for a Bengaluru AI campus.</t>
  </si>
  <si>
    <t xml:space="preserve">R12-T26</t>
  </si>
  <si>
    <t xml:space="preserve">Example C: landed electricity cost by option</t>
  </si>
  <si>
    <t xml:space="preserve">Ch 12 cost-vs-water chart (Example C dots).</t>
  </si>
  <si>
    <t xml:space="preserve">R12-T27</t>
  </si>
  <si>
    <t xml:space="preserve">Bottom line across the three examples</t>
  </si>
  <si>
    <t xml:space="preserve">Ch 12 "Where the water goes" chart.</t>
  </si>
  <si>
    <t xml:space="preserve">Direct vs indirect water across examples.</t>
  </si>
  <si>
    <t xml:space="preserve">R12-T28</t>
  </si>
  <si>
    <t xml:space="preserve">Data gaps and how to close them</t>
  </si>
  <si>
    <t xml:space="preserve">Report 12 (Part 12 research report) · Data gaps and how to close them</t>
  </si>
  <si>
    <t xml:space="preserve">Data register "Data gaps" tab.</t>
  </si>
  <si>
    <t xml:space="preserve">Next data to collect.</t>
  </si>
  <si>
    <t xml:space="preserve">Atlas-derived tables for Reports 1–9 (charts and calculators)</t>
  </si>
  <si>
    <t xml:space="preserve">ATL-T01</t>
  </si>
  <si>
    <t xml:space="preserve">Report 1: Five ways to classify a data centre</t>
  </si>
  <si>
    <t xml:space="preserve">Atlas Ch 1 (from Report 1)</t>
  </si>
  <si>
    <t xml:space="preserve">Atlas R1-R9</t>
  </si>
  <si>
    <t xml:space="preserve">Shown in atlas Ch 1 Types (chart, table or calculator data built from the report).</t>
  </si>
  <si>
    <t xml:space="preserve">Same purpose as the matching report table; restated in the form the atlas displays.</t>
  </si>
  <si>
    <t xml:space="preserve">ATL-T02</t>
  </si>
  <si>
    <t xml:space="preserve">Report 1: Six data-centre business models</t>
  </si>
  <si>
    <t xml:space="preserve">Atlas Ch 1 (from Report 1); industry sources</t>
  </si>
  <si>
    <t xml:space="preserve">ATL-T03</t>
  </si>
  <si>
    <t xml:space="preserve">Report 1: Uptime Tier levels</t>
  </si>
  <si>
    <t xml:space="preserve">Atlas Ch 1 (from Report 1); Uptime Institute Tier Standard</t>
  </si>
  <si>
    <t xml:space="preserve">ATL-T04</t>
  </si>
  <si>
    <t xml:space="preserve">Report 1: Share of global data-centre capacity by owner type (%)</t>
  </si>
  <si>
    <t xml:space="preserve">Synergy Research Group (Apr 2026); 2031 is a projection</t>
  </si>
  <si>
    <t xml:space="preserve">ATL-T05</t>
  </si>
  <si>
    <t xml:space="preserve">Report 1: India capacity by city, H1 2026 (MW IT)</t>
  </si>
  <si>
    <t xml:space="preserve">Cushman &amp; Wakefield India Data Centre H1 2026 Update</t>
  </si>
  <si>
    <t xml:space="preserve">ATL-T06</t>
  </si>
  <si>
    <t xml:space="preserve">Report 2: Global data-centre electricity (TWh)</t>
  </si>
  <si>
    <t xml:space="preserve">IEA, Energy and AI (Apr 2025), base case; 2035 extrapolated</t>
  </si>
  <si>
    <t xml:space="preserve">Shown in atlas Ch 2 AI vs conventional (chart, table or calculator data built from the report).</t>
  </si>
  <si>
    <t xml:space="preserve">ATL-T07</t>
  </si>
  <si>
    <t xml:space="preserve">Report 2: Share of facility electricity by use and facility class (%)</t>
  </si>
  <si>
    <t xml:space="preserve">Series synthesis from PUE ranges and IEA component shares (estimate)</t>
  </si>
  <si>
    <t xml:space="preserve">ATL-T08</t>
  </si>
  <si>
    <t xml:space="preserve">Report 2: Rack power density by design (kW per rack)</t>
  </si>
  <si>
    <t xml:space="preserve">Nvidia specifications and GTC roadmap; industry estimates (Rubin)</t>
  </si>
  <si>
    <t xml:space="preserve">ATL-T09</t>
  </si>
  <si>
    <t xml:space="preserve">Report 2: Power-chain losses, grid to chip</t>
  </si>
  <si>
    <t xml:space="preserve">Atlas Ch 2 (Report 2); typical industry ranges</t>
  </si>
  <si>
    <t xml:space="preserve">ATL-T10</t>
  </si>
  <si>
    <t xml:space="preserve">Report 2: Energy per workload</t>
  </si>
  <si>
    <t xml:space="preserve">Atlas Ch 2 (from Report 2)</t>
  </si>
  <si>
    <t xml:space="preserve">ATL-T11</t>
  </si>
  <si>
    <t xml:space="preserve">Report 2: Conventional vs AI data centre</t>
  </si>
  <si>
    <t xml:space="preserve">ATL-T12</t>
  </si>
  <si>
    <t xml:space="preserve">Report 2: Training vs inference sites</t>
  </si>
  <si>
    <t xml:space="preserve">ATL-T13</t>
  </si>
  <si>
    <t xml:space="preserve">Report 3: Heat a cubic metre of fluid carries per degree (kJ/m³·K)</t>
  </si>
  <si>
    <t xml:space="preserve">Standard physical properties</t>
  </si>
  <si>
    <t xml:space="preserve">Shown in atlas Ch 3 Cooling (chart, table or calculator data built from the report).</t>
  </si>
  <si>
    <t xml:space="preserve">ATL-T14</t>
  </si>
  <si>
    <t xml:space="preserve">Report 3: Heat-rejection options: water, energy and fit for India</t>
  </si>
  <si>
    <t xml:space="preserve">Atlas Ch 3 (from Report 3)</t>
  </si>
  <si>
    <t xml:space="preserve">ATL-T15</t>
  </si>
  <si>
    <t xml:space="preserve">Report 3: Liquid cooling technologies compared</t>
  </si>
  <si>
    <t xml:space="preserve">Atlas Ch 3 (from Report 3); vendor-reported PUE</t>
  </si>
  <si>
    <t xml:space="preserve">ATL-T16</t>
  </si>
  <si>
    <t xml:space="preserve">Report 3: Liquid-cooling manufacturer revenue (US$ bn)</t>
  </si>
  <si>
    <t xml:space="preserve">Dell'Oro Group (Jan 2026); 2029 projection</t>
  </si>
  <si>
    <t xml:space="preserve">ATL-T17</t>
  </si>
  <si>
    <t xml:space="preserve">Report 3: Cooling-sector acquisitions 2024–26</t>
  </si>
  <si>
    <t xml:space="preserve">Company announcements</t>
  </si>
  <si>
    <t xml:space="preserve">ATL-T18</t>
  </si>
  <si>
    <t xml:space="preserve">Report 3: India HFC phase-down schedule (Kigali Amendment)</t>
  </si>
  <si>
    <t xml:space="preserve">Kigali Amendment to the Montreal Protocol (India, Group 2)</t>
  </si>
  <si>
    <t xml:space="preserve">ATL-T19</t>
  </si>
  <si>
    <t xml:space="preserve">Report 3: City design temperatures used in the cooling chapter</t>
  </si>
  <si>
    <t xml:space="preserve">Atlas Ch 3 (from Report 3); indicative 0.4% summer conditions (estimate)</t>
  </si>
  <si>
    <t xml:space="preserve">ATL-T20</t>
  </si>
  <si>
    <t xml:space="preserve">Report 3: What to use where in India</t>
  </si>
  <si>
    <t xml:space="preserve">ATL-T21</t>
  </si>
  <si>
    <t xml:space="preserve">Report 3: Practical rack-density ceiling by cooling method (kW)</t>
  </si>
  <si>
    <t xml:space="preserve">Atlas Ch 3 cooling selector (estimate)</t>
  </si>
  <si>
    <t xml:space="preserve">ATL-T22</t>
  </si>
  <si>
    <t xml:space="preserve">Report 4: Bengaluru's water sources</t>
  </si>
  <si>
    <t xml:space="preserve">Atlas Ch 4 (from Report 4); BWSSB, Karnataka groundwater assessment</t>
  </si>
  <si>
    <t xml:space="preserve">Shown in atlas Ch 4 Bengaluru (chart, table or calculator data built from the report).</t>
  </si>
  <si>
    <t xml:space="preserve">ATL-T23</t>
  </si>
  <si>
    <t xml:space="preserve">Report 4: Grid connection by contract demand (Karnataka)</t>
  </si>
  <si>
    <t xml:space="preserve">KERC conditions of supply (as reported)</t>
  </si>
  <si>
    <t xml:space="preserve">ATL-T24</t>
  </si>
  <si>
    <t xml:space="preserve">Report 4: Water use compared with other users (MLD)</t>
  </si>
  <si>
    <t xml:space="preserve">Atlas Ch 4 (from Report 4)</t>
  </si>
  <si>
    <t xml:space="preserve">ATL-T25</t>
  </si>
  <si>
    <t xml:space="preserve">Report 4: Bengaluru data centres' water use today: estimates (MLD)</t>
  </si>
  <si>
    <t xml:space="preserve">Down To Earth; Karnataka IT dept; series model; WELL Labs</t>
  </si>
  <si>
    <t xml:space="preserve">ATL-T26</t>
  </si>
  <si>
    <t xml:space="preserve">Report 4: Scaling to Karnataka's 1 GW target: on-site water by cooling choice (MLD)</t>
  </si>
  <si>
    <t xml:space="preserve">Report 4 model, 75% utilisation</t>
  </si>
  <si>
    <t xml:space="preserve">ATL-T27</t>
  </si>
  <si>
    <t xml:space="preserve">Report 4: Bengaluru campus central cases</t>
  </si>
  <si>
    <t xml:space="preserve">Report 4 model</t>
  </si>
  <si>
    <t xml:space="preserve">ATL-T28</t>
  </si>
  <si>
    <t xml:space="preserve">Report 4: Recommended Karnataka roadmap</t>
  </si>
  <si>
    <t xml:space="preserve">ATL-T29</t>
  </si>
  <si>
    <t xml:space="preserve">Report 5: Carbon of 1 TWh of data-centre load, by supply (Mt CO₂)</t>
  </si>
  <si>
    <t xml:space="preserve">Report 5 comparison (CEA, Ember, IPCC)</t>
  </si>
  <si>
    <t xml:space="preserve">Shown in atlas Ch 5 Carbon (chart, table or calculator data built from the report).</t>
  </si>
  <si>
    <t xml:space="preserve">ATL-T30</t>
  </si>
  <si>
    <t xml:space="preserve">Report 5: Karnataka illustrative hourly grid intensity, dry season (gCO₂/kWh)</t>
  </si>
  <si>
    <t xml:space="preserve">Modelled from a third-party dashboard; no official hourly factor exists</t>
  </si>
  <si>
    <t xml:space="preserve">ATL-T31</t>
  </si>
  <si>
    <t xml:space="preserve">Report 5: Lifecycle carbon by source (gCO₂e/kWh)</t>
  </si>
  <si>
    <t xml:space="preserve">IPCC AR5 Annex III medians</t>
  </si>
  <si>
    <t xml:space="preserve">ATL-T32</t>
  </si>
  <si>
    <t xml:space="preserve">Report 5: Water consumed by generation source (L/MWh)</t>
  </si>
  <si>
    <t xml:space="preserve">CSE, NREL, CEA research</t>
  </si>
  <si>
    <t xml:space="preserve">ATL-T33</t>
  </si>
  <si>
    <t xml:space="preserve">Report 5: Microsoft Scope 2 emissions (Mt CO₂e)</t>
  </si>
  <si>
    <t xml:space="preserve">Microsoft sustainability reports</t>
  </si>
  <si>
    <t xml:space="preserve">ATL-T34</t>
  </si>
  <si>
    <t xml:space="preserve">Report 5: Carbon per IT-kWh, worked (CUE = PUE × grid factor)</t>
  </si>
  <si>
    <t xml:space="preserve">Atlas Ch 5 (from Report 5)</t>
  </si>
  <si>
    <t xml:space="preserve">ATL-T35</t>
  </si>
  <si>
    <t xml:space="preserve">Report 5: Five-factor scorecard weights</t>
  </si>
  <si>
    <t xml:space="preserve">Report 5 framework</t>
  </si>
  <si>
    <t xml:space="preserve">ATL-T36</t>
  </si>
  <si>
    <t xml:space="preserve">Report 6: Monthly withdrawal, 50 MW evaporative site (MLD)</t>
  </si>
  <si>
    <t xml:space="preserve">Report 6 model</t>
  </si>
  <si>
    <t xml:space="preserve">Shown in atlas Ch 6 Water impact (chart, table or calculator data built from the report).</t>
  </si>
  <si>
    <t xml:space="preserve">ATL-T37</t>
  </si>
  <si>
    <t xml:space="preserve">Report 6: Scarcity-weighted water footprint, 50 MW (Mm³-eq/yr)</t>
  </si>
  <si>
    <t xml:space="preserve">Report 6 model; illustrative AWARE-style weights</t>
  </si>
  <si>
    <t xml:space="preserve">ATL-T38</t>
  </si>
  <si>
    <t xml:space="preserve">Report 6: Water per AI prompt, by boundary (mL)</t>
  </si>
  <si>
    <t xml:space="preserve">Google; Li et al.; Mistral LCA; Report 6 model</t>
  </si>
  <si>
    <t xml:space="preserve">ATL-T39</t>
  </si>
  <si>
    <t xml:space="preserve">Report 6: Impact scorecard</t>
  </si>
  <si>
    <t xml:space="preserve">Atlas Ch 6 (from Report 6)</t>
  </si>
  <si>
    <t xml:space="preserve">ATL-T40</t>
  </si>
  <si>
    <t xml:space="preserve">Report 6: Bengaluru scenarios: site and source water</t>
  </si>
  <si>
    <t xml:space="preserve">Atlas Ch 6 (from Report 6) model</t>
  </si>
  <si>
    <t xml:space="preserve">ATL-T41</t>
  </si>
  <si>
    <t xml:space="preserve">Report 6: Suggested water thresholds</t>
  </si>
  <si>
    <t xml:space="preserve">Atlas Ch 6 (from Report 6) (proposal)</t>
  </si>
  <si>
    <t xml:space="preserve">ATL-T42</t>
  </si>
  <si>
    <t xml:space="preserve">Report 6: Cooling-tower water balance, 50 MW (default CoC 5)</t>
  </si>
  <si>
    <t xml:space="preserve">ATL-T43</t>
  </si>
  <si>
    <t xml:space="preserve">Report 7: Data-centre construction cost by market (US$/W)</t>
  </si>
  <si>
    <t xml:space="preserve">Turner &amp; Townsend Data Centre Cost Index 2025</t>
  </si>
  <si>
    <t xml:space="preserve">Shown in atlas Ch 7 Unit economics (chart, table or calculator data built from the report).</t>
  </si>
  <si>
    <t xml:space="preserve">ATL-T44</t>
  </si>
  <si>
    <t xml:space="preserve">Report 7: Capex per MW by category, three cases (₹ crore/MW)</t>
  </si>
  <si>
    <t xml:space="preserve">Report 7 model</t>
  </si>
  <si>
    <t xml:space="preserve">ATL-T45</t>
  </si>
  <si>
    <t xml:space="preserve">Report 7: Capex line by line: A · 20 MW Tier III colo</t>
  </si>
  <si>
    <t xml:space="preserve">ATL-T46</t>
  </si>
  <si>
    <t xml:space="preserve">Report 7: Capex line by line: B · 50 MW hyperscale BTS</t>
  </si>
  <si>
    <t xml:space="preserve">ATL-T47</t>
  </si>
  <si>
    <t xml:space="preserve">Report 7: Capex line by line: C · 100 MW AI campus</t>
  </si>
  <si>
    <t xml:space="preserve">ATL-T48</t>
  </si>
  <si>
    <t xml:space="preserve">Report 7: Colocation opex, Case A (₹ crore a year)</t>
  </si>
  <si>
    <t xml:space="preserve">ATL-T49</t>
  </si>
  <si>
    <t xml:space="preserve">Report 7: What moves the colo LCOD (₹ per IT-kWh; base 29.7)</t>
  </si>
  <si>
    <t xml:space="preserve">ATL-T50</t>
  </si>
  <si>
    <t xml:space="preserve">Report 7: GPU-hour market prices, H100-class (Oct 2026)</t>
  </si>
  <si>
    <t xml:space="preserve">IndiaAI; provider price pages; OCPI index</t>
  </si>
  <si>
    <t xml:space="preserve">ATL-T51</t>
  </si>
  <si>
    <t xml:space="preserve">Report 7: Returns by business model</t>
  </si>
  <si>
    <t xml:space="preserve">ATL-T52</t>
  </si>
  <si>
    <t xml:space="preserve">Report 7: India vs US vs Singapore</t>
  </si>
  <si>
    <t xml:space="preserve">C&amp;W, CBRE, JLL, Turner &amp; Townsend</t>
  </si>
  <si>
    <t xml:space="preserve">ATL-T53</t>
  </si>
  <si>
    <t xml:space="preserve">Report 7: Land and power by hub</t>
  </si>
  <si>
    <t xml:space="preserve">Market reports; state tariff orders</t>
  </si>
  <si>
    <t xml:space="preserve">ATL-T54</t>
  </si>
  <si>
    <t xml:space="preserve">Report 7: GPU cost model inputs</t>
  </si>
  <si>
    <t xml:space="preserve">Report 7 assumptions</t>
  </si>
  <si>
    <t xml:space="preserve">ATL-T55</t>
  </si>
  <si>
    <t xml:space="preserve">Report 8: Abatement cost by measure, 20 MW Bengaluru colo (₹/tCO₂)</t>
  </si>
  <si>
    <t xml:space="preserve">Report 8 model</t>
  </si>
  <si>
    <t xml:space="preserve">Shown in atlas Ch 8 Green (chart, table or calculator data built from the report).</t>
  </si>
  <si>
    <t xml:space="preserve">ATL-T56</t>
  </si>
  <si>
    <t xml:space="preserve">Report 8: PUE thresholds around the world</t>
  </si>
  <si>
    <t xml:space="preserve">EU, Germany EnEfG, Karnataka, China, Singapore IMDA, MeitY, Uptime</t>
  </si>
  <si>
    <t xml:space="preserve">ATL-T57</t>
  </si>
  <si>
    <t xml:space="preserve">Report 8: Green upgrade case, 20 MW Bengaluru colo</t>
  </si>
  <si>
    <t xml:space="preserve">ATL-T58</t>
  </si>
  <si>
    <t xml:space="preserve">Report 8: Twelve dimensions of a green data centre</t>
  </si>
  <si>
    <t xml:space="preserve">Report 8 framework</t>
  </si>
  <si>
    <t xml:space="preserve">ATL-T59</t>
  </si>
  <si>
    <t xml:space="preserve">Report 8: Spotting greenwashing</t>
  </si>
  <si>
    <t xml:space="preserve">Atlas Ch 8 (from Report 8)</t>
  </si>
  <si>
    <t xml:space="preserve">ATL-T60</t>
  </si>
  <si>
    <t xml:space="preserve">Report 8: Buying clean power in India</t>
  </si>
  <si>
    <t xml:space="preserve">Atlas Ch 8 (from Report 8); SECI; KERC</t>
  </si>
  <si>
    <t xml:space="preserve">ATL-T61</t>
  </si>
  <si>
    <t xml:space="preserve">Report 8: Green rules elsewhere</t>
  </si>
  <si>
    <t xml:space="preserve">EU, Germany, Singapore, China, India</t>
  </si>
  <si>
    <t xml:space="preserve">ATL-T62</t>
  </si>
  <si>
    <t xml:space="preserve">Report 8: Indian operators' green disclosures</t>
  </si>
  <si>
    <t xml:space="preserve">Company reports</t>
  </si>
  <si>
    <t xml:space="preserve">ATL-T63</t>
  </si>
  <si>
    <t xml:space="preserve">Report 9: State data-centre policy register</t>
  </si>
  <si>
    <t xml:space="preserve">State policy documents and GRs (Report 9)</t>
  </si>
  <si>
    <t xml:space="preserve">Shown in atlas Ch 9 State policies (chart, table or calculator data built from the report).</t>
  </si>
  <si>
    <t xml:space="preserve">ATL-T64</t>
  </si>
  <si>
    <t xml:space="preserve">Report 9: State attractiveness factor scores (0–10) and index</t>
  </si>
  <si>
    <t xml:space="preserve">Report 9 judgement; index uses report weights 25/15/15/15/10/10/10</t>
  </si>
  <si>
    <t xml:space="preserve">ATL-T65</t>
  </si>
  <si>
    <t xml:space="preserve">Report 9: Policy validity periods</t>
  </si>
  <si>
    <t xml:space="preserve">State policies (Report 9)</t>
  </si>
  <si>
    <t xml:space="preserve">ATL-T66</t>
  </si>
  <si>
    <t xml:space="preserve">Report 9: Electricity-duty holiday by state (years)</t>
  </si>
  <si>
    <t xml:space="preserve">State policies</t>
  </si>
  <si>
    <t xml:space="preserve">ATL-T67</t>
  </si>
  <si>
    <t xml:space="preserve">Report 9: The central framework</t>
  </si>
  <si>
    <t xml:space="preserve">Atlas Ch 9 (from Report 9)</t>
  </si>
  <si>
    <t xml:space="preserve">Simulator inputs (Reports 3–9)</t>
  </si>
  <si>
    <t xml:space="preserve">SIM-T01</t>
  </si>
  <si>
    <t xml:space="preserve">Simulator assumptions and evidence</t>
  </si>
  <si>
    <t xml:space="preserve">Atlas simulator (Reports 3–7)</t>
  </si>
  <si>
    <t xml:space="preserve">Simulator</t>
  </si>
  <si>
    <t xml:space="preserve">Simulator "Assumptions behind the simulator" table; feeds every simulator output.</t>
  </si>
  <si>
    <t xml:space="preserve">Capex, cost per IT-kWh, energy, water, CO₂, MVA and incentives for any design.</t>
  </si>
  <si>
    <t xml:space="preserve">SIM-T02</t>
  </si>
  <si>
    <t xml:space="preserve">Simulator city parameters</t>
  </si>
  <si>
    <t xml:space="preserve">Simulator model inputs.</t>
  </si>
  <si>
    <t xml:space="preserve">Capex, PUE, WUE and costs for each city and workload in the simulator.</t>
  </si>
  <si>
    <t xml:space="preserve">SIM-T03</t>
  </si>
  <si>
    <t xml:space="preserve">Simulator workload parameters</t>
  </si>
  <si>
    <t xml:space="preserve">Atlas simulator (Report 7)</t>
  </si>
  <si>
    <t xml:space="preserve">SIM-T04</t>
  </si>
  <si>
    <t xml:space="preserve">State incentives modelled in the simulator</t>
  </si>
  <si>
    <t xml:space="preserve">Simulator incentive line and policy panel.</t>
  </si>
  <si>
    <t xml:space="preserve">Incentive value per year and per IT-kWh.</t>
  </si>
  <si>
    <t xml:space="preserve">Key numbers (all reports)</t>
  </si>
  <si>
    <t xml:space="preserve">KEY-T01</t>
  </si>
  <si>
    <t xml:space="preserve">Key numbers cheat sheet</t>
  </si>
  <si>
    <t xml:space="preserve">Atlas Key numbers (all reports)</t>
  </si>
  <si>
    <t xml:space="preserve">Key numbers</t>
  </si>
  <si>
    <t xml:space="preserve">Key numbers cheat sheet (searchable list) at the end of the atlas.</t>
  </si>
  <si>
    <t xml:space="preserve">Quick reference for the most-used figures; each row names its source.</t>
  </si>
  <si>
    <t xml:space="preserve">Tables per report</t>
  </si>
  <si>
    <t xml:space="preserve">Total</t>
  </si>
  <si>
    <t xml:space="preserve">How these tables feed the atlas</t>
  </si>
  <si>
    <t xml:space="preserve">Every table carries three lines under its title: data basis, how it is used in the atlas, and what it is used to derive. The Index repeats them as filterable columns.</t>
  </si>
  <si>
    <t xml:space="preserve">Category</t>
  </si>
  <si>
    <t xml:space="preserve">Meaning</t>
  </si>
  <si>
    <t xml:space="preserve">How to treat it</t>
  </si>
  <si>
    <t xml:space="preserve">Figures checked against the primary document during the research (Report 12 labelled these one by one).</t>
  </si>
  <si>
    <t xml:space="preserve">Safe to cite; still note the date.</t>
  </si>
  <si>
    <t xml:space="preserve">Figures taken from a named source (consultancy, regulator, company, IEA, etc.) as cited in the report, without a check against the original.</t>
  </si>
  <si>
    <t xml:space="preserve">Cite with the source; confirm against the original before decisions.</t>
  </si>
  <si>
    <t xml:space="preserve">A table combining reported numbers with analyst estimates or ranges (for example EHV distances or design temperatures alongside tariffs).</t>
  </si>
  <si>
    <t xml:space="preserve">Use the sourced columns as data and the estimated ones as placeholders.</t>
  </si>
  <si>
    <t xml:space="preserve">Engineering ranges, analogues, typical values or assumptions standing in for missing Indian data.</t>
  </si>
  <si>
    <t xml:space="preserve">Indicative only; replace with measured or official data when available.</t>
  </si>
  <si>
    <t xml:space="preserve">Scorecards, indices, weights, maturity levels, thresholds and recommendations created by the research series.</t>
  </si>
  <si>
    <t xml:space="preserve">A method, not data; change the weights or scores to suit your view.</t>
  </si>
  <si>
    <t xml:space="preserve">Results of the series' formulas (worked examples, capex stacks, LCOD, forecasts, rankings, water balances).</t>
  </si>
  <si>
    <t xml:space="preserve">Only as good as the inputs; rerun when inputs change.</t>
  </si>
  <si>
    <t xml:space="preserve">Count of tables by report and basis (live)</t>
  </si>
  <si>
    <t xml:space="preserve">Report → atlas chapter → what the atlas derives</t>
  </si>
  <si>
    <t xml:space="preserve">Atlas chapter and tools</t>
  </si>
  <si>
    <t xml:space="preserve">Main things the atlas derives from it</t>
  </si>
  <si>
    <t xml:space="preserve">Report 1 · Types</t>
  </si>
  <si>
    <t xml:space="preserve">Ch 1: type explorer, type finder, Tier clock, capacity-share and India-by-city charts</t>
  </si>
  <si>
    <t xml:space="preserve">Which type to build; downtime per Tier; India in global context</t>
  </si>
  <si>
    <t xml:space="preserve">Ch 2: energy split chart, rack inspector, density chart, workload table, comparison tables</t>
  </si>
  <si>
    <t xml:space="preserve">Rack power consequences; AI vs conventional design differences</t>
  </si>
  <si>
    <t xml:space="preserve">Ch 3: cooling chain, warm-water explorer, cooling selector, heat-rejection and liquid tables; simulator PUE/WUE functions</t>
  </si>
  <si>
    <t xml:space="preserve">Cooling design per city and density; PUE and WUE inputs</t>
  </si>
  <si>
    <t xml:space="preserve">Report 4 · Bengaluru</t>
  </si>
  <si>
    <t xml:space="preserve">Ch 4: campus calculator, water comparisons, 1 GW scaling, 24-hour day</t>
  </si>
  <si>
    <t xml:space="preserve">Energy, MVA, water and share of Karnataka resources per campus</t>
  </si>
  <si>
    <t xml:space="preserve">Ch 5: TWh-seven-ways chart, Karnataka hourly curve, load-shift calculator, five-factor scorecard</t>
  </si>
  <si>
    <t xml:space="preserve">Carbon and water per TWh by source, time and place</t>
  </si>
  <si>
    <t xml:space="preserve">Ch 6: tower water balance, seasonal chart, scarcity footprint, impact scorecard, water you can picture</t>
  </si>
  <si>
    <t xml:space="preserve">Withdrawal vs consumption; scarcity-weighted impact; thresholds</t>
  </si>
  <si>
    <t xml:space="preserve">Ch 7: build-cost chart, capex stacks, LCOD calculator, tornado, GPU-hour calculator; simulator costs</t>
  </si>
  <si>
    <t xml:space="preserve">Capex/MW, LCOD, break-even rent, GPU-hour cost, returns</t>
  </si>
  <si>
    <t xml:space="preserve">Report 8 · Green</t>
  </si>
  <si>
    <t xml:space="preserve">Ch 8: twelve dimensions, green upgrade calculator, abatement chart, PUE thresholds, maturity radar</t>
  </si>
  <si>
    <t xml:space="preserve">Payback and abatement cost of going green</t>
  </si>
  <si>
    <t xml:space="preserve">Ch 9: policy table, India map, attractiveness index, validity and incentive charts; simulator incentives</t>
  </si>
  <si>
    <t xml:space="preserve">State ranking and incentive value</t>
  </si>
  <si>
    <t xml:space="preserve">Ch 10: ranking engine (filters, min–max, weights, Monte Carlo), map and city table; worked-example workbook</t>
  </si>
  <si>
    <t xml:space="preserve">City scores, tiers and stability by use case</t>
  </si>
  <si>
    <t xml:space="preserve">Report 11 · Forecast</t>
  </si>
  <si>
    <t xml:space="preserve">Ch 11: forecast engine (CAGR, S-curve, pipeline), electricity, carbon, cost, GPU, water and city outputs</t>
  </si>
  <si>
    <t xml:space="preserve">Capacity and impacts to 2035 with uncertainty band</t>
  </si>
  <si>
    <t xml:space="preserve">Report 12 · Water &amp; energy</t>
  </si>
  <si>
    <t xml:space="preserve">Ch 12: power-vs-water chart, hourly day, 8,760-hour histogram, grid water, cost-vs-water, peaks, tower and site calculators</t>
  </si>
  <si>
    <t xml:space="preserve">Direct vs indirect water, peaks, landed power cost by procurement route</t>
  </si>
  <si>
    <t xml:space="preserve">7 tables. Source line under each title; "Note" gives the context sentence from the report.</t>
  </si>
  <si>
    <t xml:space="preserve">R1-T01  Data-centre types by ownership and business model</t>
  </si>
  <si>
    <t xml:space="preserve">Source: Report 1 (full research report) · 1. Types of Data Centre › 1.1 Deep analysis of the types: what exists, what dominates globally, and why</t>
  </si>
  <si>
    <t xml:space="preserve">Data basis: Mixed: sourced figures plus estimates</t>
  </si>
  <si>
    <t xml:space="preserve">Used in atlas: Ch 1 "Type explorer" cards (how it works, cost, strengths, users) and the Type finder rules.</t>
  </si>
  <si>
    <t xml:space="preserve">Used to derive: Which business model fits a project size and workload.</t>
  </si>
  <si>
    <t xml:space="preserve">Type</t>
  </si>
  <si>
    <t xml:space="preserve">How it works</t>
  </si>
  <si>
    <t xml:space="preserve">Typical scale / density</t>
  </si>
  <si>
    <t xml:space="preserve">Cost structure</t>
  </si>
  <si>
    <t xml:space="preserve">Advantages</t>
  </si>
  <si>
    <t xml:space="preserve">Disadvantages</t>
  </si>
  <si>
    <t xml:space="preserve">Typical users</t>
  </si>
  <si>
    <t xml:space="preserve">Enterprise / on-premises</t>
  </si>
  <si>
    <t xml:space="preserve">Organisation owns and runs its own facility (server room up to a corporate campus)</t>
  </si>
  <si>
    <t xml:space="preserve">Under 1 MW to about 20 MW; modal rack about 7.5 kW (Uptime 2025)</t>
  </si>
  <si>
    <t xml:space="preserve">All capex borne by the owner; opex for power, staff and maintenance; low utilisation is common</t>
  </si>
  <si>
    <t xml:space="preserve">Full control, data sovereignty, custom compliance</t>
  </si>
  <si>
    <t xml:space="preserve">Poor economies of scale, older and less efficient plant, hard to upgrade for AI density</t>
  </si>
  <si>
    <t xml:space="preserve">Banks, government, defence, large manufacturers, hospitals</t>
  </si>
  <si>
    <t xml:space="preserve">Retail colocation</t>
  </si>
  <si>
    <t xml:space="preserve">Operator leases racks, cages or suites with power, cooling and security; tenant brings servers</t>
  </si>
  <si>
    <t xml:space="preserve">Facilities of 5–50 MW; customers take 1 rack to under 1 MW</t>
  </si>
  <si>
    <t xml:space="preserve">Tenant pays monthly rent per rack/kW plus interconnection; operator carries building capex</t>
  </si>
  <si>
    <t xml:space="preserve">Converts capex to opex, carrier-neutral interconnection, fast deployment</t>
  </si>
  <si>
    <t xml:space="preserve">Higher per-kW price, less control, contract lock-in</t>
  </si>
  <si>
    <t xml:space="preserve">Enterprises, BFSI, network operators, SaaS firms</t>
  </si>
  <si>
    <t xml:space="preserve">Wholesale colocation / build-to-suit</t>
  </si>
  <si>
    <t xml:space="preserve">Operator leases whole halls or buildings, often to a single hyperscaler on long leases</t>
  </si>
  <si>
    <t xml:space="preserve">10–100+ MW per building, campuses of hundreds of MW to GW</t>
  </si>
  <si>
    <t xml:space="preserve">Operator funds the build (often project-financed against an anchor lease); tenant often pays power at cost plus rent</t>
  </si>
  <si>
    <t xml:space="preserve">Speed to market for hyperscalers, bankable long-term cash flows</t>
  </si>
  <si>
    <t xml:space="preserve">Concentrated tenant risk, thin margins, power-procurement exposure</t>
  </si>
  <si>
    <t xml:space="preserve">AWS, Microsoft, Google, Meta, Oracle, AI labs, neoclouds</t>
  </si>
  <si>
    <t xml:space="preserve">Hyperscale (self-built)</t>
  </si>
  <si>
    <t xml:space="preserve">Cloud/internet giants design, own and operate their own campuses</t>
  </si>
  <si>
    <t xml:space="preserve">Single buildings of 30–100+ MW; campuses of 1 GW+; AI halls at 50–130+ kW/rack</t>
  </si>
  <si>
    <t xml:space="preserve">Huge capex funded from balance sheet; lowest unit cost thanks to scale</t>
  </si>
  <si>
    <t xml:space="preserve">Lowest cost per MW, custom hardware, best PUE (larger sites average about 1.44, per Uptime 2025)</t>
  </si>
  <si>
    <t xml:space="preserve">Very concentrated power and water demand, local opposition, long grid queues</t>
  </si>
  <si>
    <t xml:space="preserve">AWS, Microsoft, Google, Meta, Alibaba, Tencent, Oracle</t>
  </si>
  <si>
    <t xml:space="preserve">Managed services / cloud</t>
  </si>
  <si>
    <t xml:space="preserve">Provider runs the infrastructure and sells compute or storage "as a service" (IaaS/PaaS, managed hosting, GPU-as-a-Service)</t>
  </si>
  <si>
    <t xml:space="preserve">Sits on top of hyperscale or colocation capacity</t>
  </si>
  <si>
    <t xml:space="preserve">Customer pays per use; provider absorbs capex</t>
  </si>
  <si>
    <t xml:space="preserve">Elastic, no hardware ownership, fast access to GPUs</t>
  </si>
  <si>
    <t xml:space="preserve">Egress costs, vendor lock-in, data-residency questions</t>
  </si>
  <si>
    <t xml:space="preserve">Start-ups, digital natives, enterprises moving to hybrid</t>
  </si>
  <si>
    <t xml:space="preserve">Edge / micro</t>
  </si>
  <si>
    <t xml:space="preserve">Small facilities close to users or devices (telecom central offices, towers, factory floors, cities)</t>
  </si>
  <si>
    <t xml:space="preserve">50 kW to about 5 MW; micro/containerised units at single-rack scale</t>
  </si>
  <si>
    <t xml:space="preserve">Low capex per site but high cost per kW; many sites to manage</t>
  </si>
  <si>
    <t xml:space="preserve">Low latency, data reduction, local resilience</t>
  </si>
  <si>
    <t xml:space="preserve">Hard to operate at scale, uneven demand, limited GPU density</t>
  </si>
  <si>
    <t xml:space="preserve">Telcos (5G/MEC), CDNs/OTT, retail, payments, industrial IoT</t>
  </si>
  <si>
    <t xml:space="preserve">R1-T02  Uptime Tiers: redundancy, availability and downtime</t>
  </si>
  <si>
    <t xml:space="preserve">Data basis: Source-derived (reported, not re-verified)</t>
  </si>
  <si>
    <t xml:space="preserve">Used in atlas: Ch 1 "What a Tier buys you" downtime clock.</t>
  </si>
  <si>
    <t xml:space="preserve">Used to derive: Downtime hours a year = (1 − availability) × 8,760 per Tier.</t>
  </si>
  <si>
    <t xml:space="preserve">Uptime Tier</t>
  </si>
  <si>
    <t xml:space="preserve">Redundancy</t>
  </si>
  <si>
    <t xml:space="preserve">Concurrently maintainable?</t>
  </si>
  <si>
    <t xml:space="preserve">Fault tolerant?</t>
  </si>
  <si>
    <t xml:space="preserve">Design-intent availability</t>
  </si>
  <si>
    <t xml:space="preserve">Approx. annual downtime</t>
  </si>
  <si>
    <t xml:space="preserve">Typical use</t>
  </si>
  <si>
    <t xml:space="preserve">Tier I – Basic capacity</t>
  </si>
  <si>
    <t xml:space="preserve">N, single path</t>
  </si>
  <si>
    <t xml:space="preserve">No</t>
  </si>
  <si>
    <t xml:space="preserve">99.671%</t>
  </si>
  <si>
    <t xml:space="preserve">~28.8 hours</t>
  </si>
  <si>
    <t xml:space="preserve">Small business, dev/test</t>
  </si>
  <si>
    <t xml:space="preserve">Tier II – Redundant components</t>
  </si>
  <si>
    <t xml:space="preserve">N+1 components, single path</t>
  </si>
  <si>
    <t xml:space="preserve">99.741%</t>
  </si>
  <si>
    <t xml:space="preserve">~22 hours</t>
  </si>
  <si>
    <t xml:space="preserve">Non-critical enterprise</t>
  </si>
  <si>
    <t xml:space="preserve">Tier III – Concurrently maintainable</t>
  </si>
  <si>
    <t xml:space="preserve">N+1, multiple paths (one active)</t>
  </si>
  <si>
    <t xml:space="preserve">Yes</t>
  </si>
  <si>
    <t xml:space="preserve">99.982%</t>
  </si>
  <si>
    <t xml:space="preserve">~1.6 hours</t>
  </si>
  <si>
    <t xml:space="preserve">Colocation baseline, cloud, BFSI production</t>
  </si>
  <si>
    <t xml:space="preserve">Tier IV – Fault tolerant</t>
  </si>
  <si>
    <t xml:space="preserve">2N / 2(N+1), multiple active paths</t>
  </si>
  <si>
    <t xml:space="preserve">99.995%</t>
  </si>
  <si>
    <t xml:space="preserve">~26 minutes</t>
  </si>
  <si>
    <t xml:space="preserve">Trading, critical health, national systems</t>
  </si>
  <si>
    <t xml:space="preserve">R1-T03  Cooling approaches: density, efficiency and water</t>
  </si>
  <si>
    <t xml:space="preserve">Used in atlas: Ch 3 cooling comparison text; density limits used in the Rack inspector bands.</t>
  </si>
  <si>
    <t xml:space="preserve">Used to derive: Practical rack-density ceiling per cooling method.</t>
  </si>
  <si>
    <t xml:space="preserve">Cooling approach</t>
  </si>
  <si>
    <t xml:space="preserve">Practical rack density</t>
  </si>
  <si>
    <t xml:space="preserve">Efficiency</t>
  </si>
  <si>
    <t xml:space="preserve">Water use</t>
  </si>
  <si>
    <t xml:space="preserve">Status</t>
  </si>
  <si>
    <t xml:space="preserve">Air (CRAC/CRAH, hot/cold aisle, economisers)</t>
  </si>
  <si>
    <t xml:space="preserve">Chilled or outside air moved through racks</t>
  </si>
  <si>
    <t xml:space="preserve">Up to about 15–20 kW/rack (SBI notes air nears its limits beyond about 15 kW)</t>
  </si>
  <si>
    <t xml:space="preserve">Fleet average PUE 1.54 (Uptime 2025); new sites about 1.48</t>
  </si>
  <si>
    <t xml:space="preserve">High if evaporative towers are used; low with dry coolers</t>
  </si>
  <si>
    <t xml:space="preserve">Still most of the installed base: about 75% use perimeter air (Uptime 2025)</t>
  </si>
  <si>
    <t xml:space="preserve">Rear-door heat exchangers / hybrid</t>
  </si>
  <si>
    <t xml:space="preserve">Liquid-cooled coil on the rack door removes heat from the exhaust air</t>
  </si>
  <si>
    <t xml:space="preserve">About 20–50 kW</t>
  </si>
  <si>
    <t xml:space="preserve">Better than room air</t>
  </si>
  <si>
    <t xml:space="preserve">Moderate</t>
  </si>
  <si>
    <t xml:space="preserve">Most common "first step" into liquid</t>
  </si>
  <si>
    <t xml:space="preserve">Direct-to-chip (DLC)</t>
  </si>
  <si>
    <t xml:space="preserve">Cold plates on CPUs/GPUs; coolant loop to a CDU; residual air cooling</t>
  </si>
  <si>
    <t xml:space="preserve">30–130+ kW</t>
  </si>
  <si>
    <t xml:space="preserve">PUE about 1.1–1.25 achievable</t>
  </si>
  <si>
    <t xml:space="preserve">Low with closed loops and dry coolers</t>
  </si>
  <si>
    <t xml:space="preserve">Becoming the standard for AI; about 22% of operators used direct liquid cooling in 2025 (Uptime)</t>
  </si>
  <si>
    <t xml:space="preserve">Single-phase immersion</t>
  </si>
  <si>
    <t xml:space="preserve">Servers submerged in a dielectric fluid</t>
  </si>
  <si>
    <t xml:space="preserve">50–150+ kW</t>
  </si>
  <si>
    <t xml:space="preserve">Very low cooling overhead</t>
  </si>
  <si>
    <t xml:space="preserve">Very low</t>
  </si>
  <si>
    <t xml:space="preserve">Niche; suits edge, crypto and HPC</t>
  </si>
  <si>
    <t xml:space="preserve">Two-phase immersion</t>
  </si>
  <si>
    <t xml:space="preserve">Fluid boils at the chip and condenses</t>
  </si>
  <si>
    <t xml:space="preserve">100–250+ kW</t>
  </si>
  <si>
    <t xml:space="preserve">Lowest overhead</t>
  </si>
  <si>
    <t xml:space="preserve">Early stage; fluid cost and environmental concerns</t>
  </si>
  <si>
    <t xml:space="preserve">R1-T04  Global market share and installed capacity by type (2024–2026)</t>
  </si>
  <si>
    <t xml:space="preserve">Used in atlas: Ch 1 headline numbers and "Who owns the world's capacity" chart; Key numbers.</t>
  </si>
  <si>
    <t xml:space="preserve">Used to derive: Global growth and hyperscale share trend to set India in context.</t>
  </si>
  <si>
    <t xml:space="preserve">Metric</t>
  </si>
  <si>
    <t xml:space="preserve">Value</t>
  </si>
  <si>
    <t xml:space="preserve">Source and date</t>
  </si>
  <si>
    <t xml:space="preserve">Global data centre capacity</t>
  </si>
  <si>
    <t xml:space="preserve">~103 GW (2025) → ~200 GW (2030), 14% CAGR; ~100 GW added 2026–30</t>
  </si>
  <si>
    <t xml:space="preserve">JLL 2026 Global Data Center Outlook (Jan 2026)</t>
  </si>
  <si>
    <t xml:space="preserve">Hyperscale share of capacity</t>
  </si>
  <si>
    <t xml:space="preserve">41% (2024) → 44% (Q1 2025) → nearly half, about 48% (early 2026) → 67% projected by 2031</t>
  </si>
  <si>
    <t xml:space="preserve">Synergy Research (2024; Jun 2025; Apr 2026)</t>
  </si>
  <si>
    <t xml:space="preserve">Non-hyperscale colocation share</t>
  </si>
  <si>
    <t xml:space="preserve">22% (2024–25) → 20% (2026); absolute capacity still growing</t>
  </si>
  <si>
    <t xml:space="preserve">Synergy Research</t>
  </si>
  <si>
    <t xml:space="preserve">Enterprise on-premises share</t>
  </si>
  <si>
    <t xml:space="preserve">56% (2018) → 34% (Q1 2025) → 32% (2026) → 19% by 2031; absolute capacity stable and slightly boosted by on-prem GPUs</t>
  </si>
  <si>
    <t xml:space="preserve">Number of hyperscale data centres</t>
  </si>
  <si>
    <t xml:space="preserve">1,189 (Q1 2025); about 800 more in the known pipeline (2026)</t>
  </si>
  <si>
    <t xml:space="preserve">Concentration</t>
  </si>
  <si>
    <t xml:space="preserve">20 metro/state markets hold 60% of hyperscale capacity; Northern Virginia 11%, Beijing 6%</t>
  </si>
  <si>
    <t xml:space="preserve">Synergy Research (Aug 2026)</t>
  </si>
  <si>
    <t xml:space="preserve">Big three cloud providers' share of hyperscale capacity</t>
  </si>
  <si>
    <t xml:space="preserve">58%</t>
  </si>
  <si>
    <t xml:space="preserve">Synergy Research (Q3 2025)</t>
  </si>
  <si>
    <t xml:space="preserve">Hyperscale quarterly capex</t>
  </si>
  <si>
    <t xml:space="preserve">~$142 bn in Q3 2025</t>
  </si>
  <si>
    <t xml:space="preserve">Synergy Research via The Register (Dec 2025)</t>
  </si>
  <si>
    <t xml:space="preserve">Global occupancy</t>
  </si>
  <si>
    <t xml:space="preserve">~97%; 77% of capacity under construction pre-leased</t>
  </si>
  <si>
    <t xml:space="preserve">JLL (Jan 2026)</t>
  </si>
  <si>
    <t xml:space="preserve">APAC capacity</t>
  </si>
  <si>
    <t xml:space="preserve">32 GW → 57 GW by 2030; colocation growing ~19% CAGR; on-prem declining 6%</t>
  </si>
  <si>
    <t xml:space="preserve">Liquid-cooling adoption</t>
  </si>
  <si>
    <t xml:space="preserve">~22% of operators use direct liquid cooling; ~75% perimeter air</t>
  </si>
  <si>
    <t xml:space="preserve">Uptime Institute 2025 survey</t>
  </si>
  <si>
    <t xml:space="preserve">R1-T05  India vs global capacity</t>
  </si>
  <si>
    <t xml:space="preserve">Source: Report 1 (full research report) · 1. Types of Data Centre › 1.2 Indian perspective: which types to build, why, and how</t>
  </si>
  <si>
    <t xml:space="preserve">Note: India vs. global capacity</t>
  </si>
  <si>
    <t xml:space="preserve">Used in atlas: Ch 1 and Overview context; Key numbers (India operational capacity, pipeline).</t>
  </si>
  <si>
    <t xml:space="preserve">Used to derive: India's share of global capacity; range of Indian capacity estimates.</t>
  </si>
  <si>
    <t xml:space="preserve">India</t>
  </si>
  <si>
    <t xml:space="preserve">Global</t>
  </si>
  <si>
    <t xml:space="preserve">Operational capacity</t>
  </si>
  <si>
    <t xml:space="preserve">~1.5 GW (MeitY/PIB, 2025); 1,123 MW (JLL, H1 2025); ~1.7 GW (CBRE, end-2025); 1,789 MW in top seven markets (C&amp;W, H1 2026)</t>
  </si>
  <si>
    <t xml:space="preserve">~103 GW (2025)</t>
  </si>
  <si>
    <t xml:space="preserve">PIB 13 Mar 2026; JLL; CBRE Apr 2026; C&amp;W Sep 2026</t>
  </si>
  <si>
    <t xml:space="preserve">Growth</t>
  </si>
  <si>
    <t xml:space="preserve">375 MW (2020) → ~1.5 GW (2025); 440 MW added in 2025; ~500 MW expected in 2026</t>
  </si>
  <si>
    <t xml:space="preserve">14% CAGR to 2030</t>
  </si>
  <si>
    <t xml:space="preserve">PIB; CBRE</t>
  </si>
  <si>
    <t xml:space="preserve">2030 outlook</t>
  </si>
  <si>
    <t xml:space="preserve">3,860 MW pipeline (509 MW under construction, 3,351 MW planned) to 2030 (C&amp;W); total of ~4.5–6.5 GW (CEEW base cases), ~6.5 GW colocation (SBI), up to ~8 GW (Jefferies)</t>
  </si>
  <si>
    <t xml:space="preserve">~200 GW</t>
  </si>
  <si>
    <t xml:space="preserve">C&amp;W; CEEW; SBI; JLL</t>
  </si>
  <si>
    <t xml:space="preserve">Development capital needed</t>
  </si>
  <si>
    <t xml:space="preserve">US$29.9 bn through 2030</t>
  </si>
  <si>
    <t xml:space="preserve">Up to US$3 trn by 2030</t>
  </si>
  <si>
    <t xml:space="preserve">C&amp;W; JLL</t>
  </si>
  <si>
    <t xml:space="preserve">Share of national electricity</t>
  </si>
  <si>
    <t xml:space="preserve">~0.5–0.8% (2024) → ~2.6% (2030)</t>
  </si>
  <si>
    <t xml:space="preserve">~1.5% (2024) → under 3% (2030)</t>
  </si>
  <si>
    <t xml:space="preserve">CEEW; IEA</t>
  </si>
  <si>
    <t xml:space="preserve">Penetration</t>
  </si>
  <si>
    <t xml:space="preserve">~825,333 people per MW of capacity, among the lowest in APAC</t>
  </si>
  <si>
    <t xml:space="preserve">n/a</t>
  </si>
  <si>
    <t xml:space="preserve">C&amp;W (Sep 2026)</t>
  </si>
  <si>
    <t xml:space="preserve">Colocation vacancy</t>
  </si>
  <si>
    <t xml:space="preserve">14.9% (H1 2026)</t>
  </si>
  <si>
    <t xml:space="preserve">~3% (97% occupancy, per JLL)</t>
  </si>
  <si>
    <t xml:space="preserve">R1-T06  Key Indian hubs (Cushman &amp; Wakefield, H1 2026)</t>
  </si>
  <si>
    <t xml:space="preserve">Note: Key hubs (Cushman &amp; Wakefield, H1 2026)</t>
  </si>
  <si>
    <t xml:space="preserve">Used in atlas: Ch 1 "India by city" chart; Ch 9 map (live and pipeline MW); Ch 10 demand scores; Ch 11 starting point.</t>
  </si>
  <si>
    <t xml:space="preserve">Used to derive: City shares, pipeline-to-stock ratios, forecast anchor (1,789 MW).</t>
  </si>
  <si>
    <t xml:space="preserve">Hub</t>
  </si>
  <si>
    <t xml:space="preserve">Operational (MW)</t>
  </si>
  <si>
    <t xml:space="preserve">Share of 3,860 MW pipeline</t>
  </si>
  <si>
    <t xml:space="preserve">Why it is there</t>
  </si>
  <si>
    <t xml:space="preserve">Mumbai / Navi Mumbai</t>
  </si>
  <si>
    <t xml:space="preserve">890 (about 50%; expected to pass 1 GW by end-2026)</t>
  </si>
  <si>
    <t xml:space="preserve">45% (1,726 MW)</t>
  </si>
  <si>
    <t xml:space="preserve">Most subsea cables, BFSI demand, power availability</t>
  </si>
  <si>
    <t xml:space="preserve">Chennai</t>
  </si>
  <si>
    <t xml:space="preserve">9% (368 MW)</t>
  </si>
  <si>
    <t xml:space="preserve">Second subsea cable hub; Tamil Nadu policy</t>
  </si>
  <si>
    <t xml:space="preserve">Delhi NCR / Noida</t>
  </si>
  <si>
    <t xml:space="preserve">10% (387 MW)</t>
  </si>
  <si>
    <t xml:space="preserve">Northern demand centre, government, UP incentives</t>
  </si>
  <si>
    <t xml:space="preserve">Bengaluru</t>
  </si>
  <si>
    <t xml:space="preserve">3% (100 MW)</t>
  </si>
  <si>
    <t xml:space="preserve">IT/SaaS demand; constrained by water and land</t>
  </si>
  <si>
    <t xml:space="preserve">Hyderabad</t>
  </si>
  <si>
    <t xml:space="preserve">18% (710 MW)</t>
  </si>
  <si>
    <t xml:space="preserve">Inland, low seismic risk, Telangana power policy, Microsoft/AWS regions</t>
  </si>
  <si>
    <t xml:space="preserve">Pune</t>
  </si>
  <si>
    <t xml:space="preserve">7% (258 MW)</t>
  </si>
  <si>
    <t xml:space="preserve">Mumbai overflow, AWS/Microsoft presence</t>
  </si>
  <si>
    <t xml:space="preserve">Kolkata</t>
  </si>
  <si>
    <t xml:space="preserve">2%</t>
  </si>
  <si>
    <t xml:space="preserve">Eastern gateway; WB policy promotes edge</t>
  </si>
  <si>
    <t xml:space="preserve">Visakhapatnam (emerging)</t>
  </si>
  <si>
    <t xml:space="preserve">Small today</t>
  </si>
  <si>
    <t xml:space="preserve">Gigawatt-scale campuses announced</t>
  </si>
  <si>
    <t xml:space="preserve">New east-coast subsea gateway, Andhra Pradesh incentives</t>
  </si>
  <si>
    <t xml:space="preserve">R1-T07  State policies: key terms</t>
  </si>
  <si>
    <t xml:space="preserve">Note: State policies (key terms)</t>
  </si>
  <si>
    <t xml:space="preserve">Used in atlas: Superseded by Report 9 tables; feeds Ch 9 policy register.</t>
  </si>
  <si>
    <t xml:space="preserve">Used to derive: Early comparison of state incentives.</t>
  </si>
  <si>
    <t xml:space="preserve">State</t>
  </si>
  <si>
    <t xml:space="preserve">Policy</t>
  </si>
  <si>
    <t xml:space="preserve">Key incentives</t>
  </si>
  <si>
    <t xml:space="preserve">Notes</t>
  </si>
  <si>
    <t xml:space="preserve">Maharashtra</t>
  </si>
  <si>
    <t xml:space="preserve">IT/ITeS Policy 2023 (data centres treated as IT units, with essential-service status)</t>
  </si>
  <si>
    <t xml:space="preserve">100% stamp-duty exemption; electricity-duty exemption (described as permanent in 2023, while a June 2026 notification cites 20 years); ₹1/unit power subsidy for 5 years outside Zone I; renewable open access</t>
  </si>
  <si>
    <t xml:space="preserve">Hosts about 50% of capacity; green data centre parks policy reported</t>
  </si>
  <si>
    <t xml:space="preserve">Tamil Nadu</t>
  </si>
  <si>
    <t xml:space="preserve">Data Centre Policy 2021</t>
  </si>
  <si>
    <t xml:space="preserve">Eligibility above ₹500 crore and at least 30% renewables; 100% electricity-tax subsidy for 5 years; dual grid for 50 MW+; land and stamp-duty concessions</t>
  </si>
  <si>
    <t xml:space="preserve">Policy window ended March 2026; no extension notified as of April 2026</t>
  </si>
  <si>
    <t xml:space="preserve">Telangana</t>
  </si>
  <si>
    <t xml:space="preserve">Data Centres Policy 2016</t>
  </si>
  <si>
    <t xml:space="preserve">Power at cost of generation; dual grid; exemption from power cuts; renewable open access; building-fee and lease-rental rebates</t>
  </si>
  <si>
    <t xml:space="preserve">S&amp;P Global rates it India's most attractive data centre policy package</t>
  </si>
  <si>
    <t xml:space="preserve">Uttar Pradesh</t>
  </si>
  <si>
    <t xml:space="preserve">DC Policy 2021 → new policy approved 6 Jul 2026</t>
  </si>
  <si>
    <t xml:space="preserve">2021: capital and interest subsidies, 100% stamp duty, 10-year electricity-duty waiver, wheeling/transmission relief (about ₹21,343 crore of projects approved). 2026: targets 2 GW and more than ₹2 trillion, covers edge data centres, AI-compute and green incentives, 50% renewables target by 2030</t>
  </si>
  <si>
    <t xml:space="preserve">Noida is the main northern hub</t>
  </si>
  <si>
    <t xml:space="preserve">West Bengal</t>
  </si>
  <si>
    <t xml:space="preserve">DC Policy 2021</t>
  </si>
  <si>
    <t xml:space="preserve">100% stamp duty and registration; 5-year electricity-duty waiver; industrial tariff; dual grid; preferential incentives for edge data centres in IT/industrial parks</t>
  </si>
  <si>
    <t xml:space="preserve">5-year term ran to about September 2026</t>
  </si>
  <si>
    <t xml:space="preserve">Andhra Pradesh</t>
  </si>
  <si>
    <t xml:space="preserve">DC Policy 4.0 (2024–29)</t>
  </si>
  <si>
    <t xml:space="preserve">100% net SGST reimbursement or 10% capital subsidy; 100% stamp duty; industrial tariff; dual grid via PPP with VGF; custom packages for mega projects over 50 MW</t>
  </si>
  <si>
    <t xml:space="preserve">Target given as 200 MW in the G.O. and "up to 1 GW" in the annexure; Vizag is the anchor</t>
  </si>
  <si>
    <t xml:space="preserve">Gujarat</t>
  </si>
  <si>
    <t xml:space="preserve">IT/ITeS Policy 2022–27</t>
  </si>
  <si>
    <t xml:space="preserve">Capex support of 25% up to ₹150 crore for greenfield Tier III+ data centres; ₹1/unit power subsidy for 5 years; 100% electricity-duty reimbursement for 5 years</t>
  </si>
  <si>
    <t xml:space="preserve">Jamnagar mega-campus</t>
  </si>
  <si>
    <t xml:space="preserve">9 tables. Source line under each title; "Note" gives the context sentence from the report.</t>
  </si>
  <si>
    <t xml:space="preserve">R2-T01  Electricity split by subsystem and facility class</t>
  </si>
  <si>
    <t xml:space="preserve">Source: Report 2 (full research report) · Section 1: Anatomy of Data Centre Consumption › 1.1 Electricity breakdown by subsystem</t>
  </si>
  <si>
    <t xml:space="preserve">Note: Typical percentage splits by facility class. These are the author's synthesis, derived from PUE ranges and the IEA component shares. They are indicative, not measured.</t>
  </si>
  <si>
    <t xml:space="preserve">Data basis: Illustrative / framework / author judgement</t>
  </si>
  <si>
    <t xml:space="preserve">Used in atlas: Ch 2 "Where the power goes, by facility class" chart.</t>
  </si>
  <si>
    <t xml:space="preserve">Used to derive: Overhead share of energy by facility class; PUE build-up.</t>
  </si>
  <si>
    <t xml:space="preserve">Subsystem</t>
  </si>
  <si>
    <t xml:space="preserve">Legacy/small enterprise (PUE about 1.8–2.0)</t>
  </si>
  <si>
    <t xml:space="preserve">Typical enterprise/colo (PUE about 1.5–1.6)</t>
  </si>
  <si>
    <t xml:space="preserve">Hyperscale cloud (PUE about 1.1–1.2)</t>
  </si>
  <si>
    <t xml:space="preserve">AI liquid-cooled (PUE about 1.1–1.3)</t>
  </si>
  <si>
    <t xml:space="preserve">IT load (servers, storage, network)</t>
  </si>
  <si>
    <t xml:space="preserve">50–55%</t>
  </si>
  <si>
    <t xml:space="preserve">62–67%</t>
  </si>
  <si>
    <t xml:space="preserve">83–91%</t>
  </si>
  <si>
    <t xml:space="preserve">77–90%</t>
  </si>
  <si>
    <t xml:space="preserve">Cooling (chillers, CRAH/CRAC, pumps, towers, fans)</t>
  </si>
  <si>
    <t xml:space="preserve">30–40%</t>
  </si>
  <si>
    <t xml:space="preserve">25–30%</t>
  </si>
  <si>
    <t xml:space="preserve">5–10%</t>
  </si>
  <si>
    <t xml:space="preserve">7–15% (CDUs, pumps, dry coolers, residual air)</t>
  </si>
  <si>
    <t xml:space="preserve">Power conversion and distribution losses (UPS, transformers, PDUs)</t>
  </si>
  <si>
    <t xml:space="preserve">8–12%</t>
  </si>
  <si>
    <t xml:space="preserve">6–8%</t>
  </si>
  <si>
    <t xml:space="preserve">2–5%</t>
  </si>
  <si>
    <t xml:space="preserve">3–6%</t>
  </si>
  <si>
    <t xml:space="preserve">Lighting and other (security, offices, humidification)</t>
  </si>
  <si>
    <t xml:space="preserve">1–3%</t>
  </si>
  <si>
    <t xml:space="preserve">about 1%</t>
  </si>
  <si>
    <t xml:space="preserve">R2-T02  Server power split: conventional CPU vs AI accelerated</t>
  </si>
  <si>
    <t xml:space="preserve">Source: Report 2 (full research report) · Section 1: Anatomy of Data Centre Consumption › 1.2 Inside the IT load: CPUs, GPUs, memory, storage and networking</t>
  </si>
  <si>
    <t xml:space="preserve">Note: Applying the IEA shares to IT load alone, a typical facility's IT power splits about 85% servers, about 7% storage and about 7% networking. Within a server, the split depends on the class:</t>
  </si>
  <si>
    <t xml:space="preserve">Used in atlas: Ch 2 text on IT-load anatomy (reference).</t>
  </si>
  <si>
    <t xml:space="preserve">Used to derive: Share of rack power going to accelerators.</t>
  </si>
  <si>
    <t xml:space="preserve">Component</t>
  </si>
  <si>
    <t xml:space="preserve">Conventional CPU server (indicative)</t>
  </si>
  <si>
    <t xml:space="preserve">AI accelerated server/rack</t>
  </si>
  <si>
    <t xml:space="preserve">CPUs</t>
  </si>
  <si>
    <t xml:space="preserve">about 40–55% of server power</t>
  </si>
  <si>
    <t xml:space="preserve">about 10–15% (host CPUs, e.g. Grace)</t>
  </si>
  <si>
    <t xml:space="preserve">GPUs/accelerators</t>
  </si>
  <si>
    <t xml:space="preserve">0% (or a small inference card)</t>
  </si>
  <si>
    <t xml:space="preserve">about 60–75% (e.g. 72 × B200 at about 1.0–1.2 kW = about 72–86 kW of a 120 kW NVL72 rack)</t>
  </si>
  <si>
    <t xml:space="preserve">Memory (DRAM/HBM)</t>
  </si>
  <si>
    <t xml:space="preserve">about 15–25%</t>
  </si>
  <si>
    <t xml:space="preserve">HBM is counted in the GPU package; host DRAM is a few %</t>
  </si>
  <si>
    <t xml:space="preserve">Local storage (SSD/HDD)</t>
  </si>
  <si>
    <t xml:space="preserve">about 5–10%</t>
  </si>
  <si>
    <t xml:space="preserve">a few %</t>
  </si>
  <si>
    <t xml:space="preserve">Fans, PSU losses, NICs</t>
  </si>
  <si>
    <t xml:space="preserve">about 10–20%</t>
  </si>
  <si>
    <t xml:space="preserve">Switch trays (NVLink), NICs/DPUs and PSU losses about 10–15%; fans are minimal with liquid cooling</t>
  </si>
  <si>
    <t xml:space="preserve">R2-T03  Efficiency metrics: PUE, WUE, CUE and ERE</t>
  </si>
  <si>
    <t xml:space="preserve">Source: Report 2 (full research report) · Section 1: Anatomy of Data Centre Consumption › 1.3 Efficiency metrics: PUE, WUE, CUE and ERE</t>
  </si>
  <si>
    <t xml:space="preserve">Used in atlas: Ch 2 and Ch 8 metric definitions; Key numbers (PUE 1.54, Google 1.09, MeitY &lt;1.35).</t>
  </si>
  <si>
    <t xml:space="preserve">Used to derive: PUE and WUE benchmarks for calculators.</t>
  </si>
  <si>
    <t xml:space="preserve">Definition</t>
  </si>
  <si>
    <t xml:space="preserve">Benchmarks</t>
  </si>
  <si>
    <t xml:space="preserve">PUE (Power Usage Effectiveness)</t>
  </si>
  <si>
    <t xml:space="preserve">Total facility energy ÷ IT energy</t>
  </si>
  <si>
    <t xml:space="preserve">Uptime 2025 global weighted average 1.54 (1.58 in 2023, 1.56 in 2024). Facilities built in the last five years: 1.48. Sites over 20 MW: about 1.44. Many new high-latitude sites: 1.3 or better. Google fleet: 1.09 (2025). MeitY AI-cloud tenders in India require below 1.35.</t>
  </si>
  <si>
    <t xml:space="preserve">WUE (Water Usage Effectiveness)</t>
  </si>
  <si>
    <t xml:space="preserve">Site water (L) ÷ IT energy (kWh)</t>
  </si>
  <si>
    <t xml:space="preserve">Microsoft FY24: 0.30 L/kWh, down 39% from 0.49 in 2021. Microsoft's regional values range from about 1.52 (Arizona) to 0.02 (Singapore), as reported secondhand.</t>
  </si>
  <si>
    <t xml:space="preserve">CUE (Carbon Usage Effectiveness)</t>
  </si>
  <si>
    <t xml:space="preserve">kgCO₂e ÷ IT kWh</t>
  </si>
  <si>
    <t xml:space="preserve">Determined mainly by the grid mix and whether emissions are counted location-based or market-based</t>
  </si>
  <si>
    <t xml:space="preserve">ERE (Energy Reuse Effectiveness)</t>
  </si>
  <si>
    <t xml:space="preserve">(Total energy − reused energy) ÷ IT energy</t>
  </si>
  <si>
    <t xml:space="preserve">Can fall below 1.0 with district-heat export, which matters for liquid-cooled AI halls producing 40–60 °C return water</t>
  </si>
  <si>
    <t xml:space="preserve">R2-T04  Water per AI query: a contested range</t>
  </si>
  <si>
    <t xml:space="preserve">Source: Report 2 (full research report) · Section 1: Anatomy of Data Centre Consumption › 1.4 Water consumption: direct and indirect</t>
  </si>
  <si>
    <t xml:space="preserve">Note: Per-AI-query water: a contested range.</t>
  </si>
  <si>
    <t xml:space="preserve">Used in atlas: Ch 6 and Ch 12 "Water per AI prompt" charts.</t>
  </si>
  <si>
    <t xml:space="preserve">Used to derive: Water per prompt with different boundaries.</t>
  </si>
  <si>
    <t xml:space="preserve">Estimate</t>
  </si>
  <si>
    <t xml:space="preserve">Water per query</t>
  </si>
  <si>
    <t xml:space="preserve">Scope</t>
  </si>
  <si>
    <t xml:space="preserve">UC Riverside, "Making AI Less Thirsty" (Li, Yang, Islam, Ren)</t>
  </si>
  <si>
    <t xml:space="preserve">500 mL per about 10–50 medium GPT-3 responses (about 10–50 mL each); GPT-3 training about 5.4 million L total, of which 700,000 L on site</t>
  </si>
  <si>
    <t xml:space="preserve">Scope 1 + 2, GPT-3-era hardware, Microsoft US data centres</t>
  </si>
  <si>
    <t xml:space="preserve">Google Gemini (May 2025)</t>
  </si>
  <si>
    <t xml:space="preserve">0.26 mL (0.15 mL under a narrower method)</t>
  </si>
  <si>
    <t xml:space="preserve">On-site cooling only</t>
  </si>
  <si>
    <t xml:space="preserve">OpenAI (Altman, June 2025)</t>
  </si>
  <si>
    <t xml:space="preserve">about 0.32 mL</t>
  </si>
  <si>
    <t xml:space="preserve">Unspecified, likely on-site</t>
  </si>
  <si>
    <t xml:space="preserve">Mistral Le Chat LCA</t>
  </si>
  <si>
    <t xml:space="preserve">about 45 mL per 400-token response</t>
  </si>
  <si>
    <t xml:space="preserve">Full lifecycle</t>
  </si>
  <si>
    <t xml:space="preserve">R2-T05  US data-centre electricity (LBNL 2024)</t>
  </si>
  <si>
    <t xml:space="preserve">Source: Report 2 (full research report) · Section 1: Anatomy of Data Centre Consumption › 1.6 Global and regional electricity consumption</t>
  </si>
  <si>
    <t xml:space="preserve">Note: LBNL 2024 *United States Data Center Energy Usage Report* (December 2024):</t>
  </si>
  <si>
    <t xml:space="preserve">Used in atlas: Ch 2 context text (reference only).</t>
  </si>
  <si>
    <t xml:space="preserve">Used to derive: US growth path as a comparison for India.</t>
  </si>
  <si>
    <t xml:space="preserve">Year</t>
  </si>
  <si>
    <t xml:space="preserve">US data-centre electricity</t>
  </si>
  <si>
    <t xml:space="preserve">Share of US electricity</t>
  </si>
  <si>
    <t xml:space="preserve">58 TWh</t>
  </si>
  <si>
    <t xml:space="preserve">—</t>
  </si>
  <si>
    <t xml:space="preserve">76 TWh</t>
  </si>
  <si>
    <t xml:space="preserve">1.9%</t>
  </si>
  <si>
    <t xml:space="preserve">176 TWh</t>
  </si>
  <si>
    <t xml:space="preserve">4.4%</t>
  </si>
  <si>
    <t xml:space="preserve">2028 (scenarios)</t>
  </si>
  <si>
    <t xml:space="preserve">325–580 TWh</t>
  </si>
  <si>
    <t xml:space="preserve">6.7–12.0%</t>
  </si>
  <si>
    <t xml:space="preserve">R2-T06  Energy per workload</t>
  </si>
  <si>
    <t xml:space="preserve">Source: Report 2 (full research report) · Section 1: Anatomy of Data Centre Consumption › 1.7 Energy per workload</t>
  </si>
  <si>
    <t xml:space="preserve">Used in atlas: Ch 2 "Energy per workload" table.</t>
  </si>
  <si>
    <t xml:space="preserve">Used to derive: Energy per query/training run; continuous MW for inference.</t>
  </si>
  <si>
    <t xml:space="preserve">Workload</t>
  </si>
  <si>
    <t xml:space="preserve">Energy</t>
  </si>
  <si>
    <t xml:space="preserve">Source/notes</t>
  </si>
  <si>
    <t xml:space="preserve">Google web search</t>
  </si>
  <si>
    <t xml:space="preserve">about 0.3 Wh</t>
  </si>
  <si>
    <t xml:space="preserve">Google's oft-cited 2009 figure; likely lower today</t>
  </si>
  <si>
    <t xml:space="preserve">Median Gemini Apps text prompt</t>
  </si>
  <si>
    <t xml:space="preserve">0.24 Wh (0.10 Wh active-chip-only), 0.03 gCO₂e</t>
  </si>
  <si>
    <t xml:space="preserve">Google, May 2025; 33× lower energy and 44× lower carbon than May 2024. Not independently verified, and prompt length is undisclosed.</t>
  </si>
  <si>
    <t xml:space="preserve">ChatGPT average query</t>
  </si>
  <si>
    <t xml:space="preserve">about 0.34 Wh</t>
  </si>
  <si>
    <t xml:space="preserve">Sam Altman, June 2025; no methodology</t>
  </si>
  <si>
    <t xml:space="preserve">GPT-4o typical query (500 output tokens)</t>
  </si>
  <si>
    <t xml:space="preserve">Epoch AI, February 2025 (replacing the 2023 figure of about 3 Wh)</t>
  </si>
  <si>
    <t xml:space="preserve">Long-input query (10k / 100k tokens)</t>
  </si>
  <si>
    <t xml:space="preserve">about 2.5 Wh / about 40 Wh</t>
  </si>
  <si>
    <t xml:space="preserve">Epoch AI</t>
  </si>
  <si>
    <t xml:space="preserve">Reasoning/agentic queries</t>
  </si>
  <si>
    <t xml:space="preserve">several to tens of Wh</t>
  </si>
  <si>
    <t xml:space="preserve">Third-party benchmarks; high uncertainty</t>
  </si>
  <si>
    <t xml:space="preserve">R2-T07  Master comparison: AI vs conventional data centres</t>
  </si>
  <si>
    <t xml:space="preserve">Source: Report 2 (full research report) · Section 2: AI Data Centre vs Conventional Data Centre › 2.1 Master comparison table</t>
  </si>
  <si>
    <t xml:space="preserve">Used in atlas: Ch 2 "Conventional vs AI" comparison table.</t>
  </si>
  <si>
    <t xml:space="preserve">Used to derive: Design differences that drive cooling, power and capex choices.</t>
  </si>
  <si>
    <t xml:space="preserve">Attribute</t>
  </si>
  <si>
    <t xml:space="preserve">Conventional (enterprise/colo/cloud)</t>
  </si>
  <si>
    <t xml:space="preserve">AI data centre (training/inference)</t>
  </si>
  <si>
    <t xml:space="preserve">Primary workloads</t>
  </si>
  <si>
    <t xml:space="preserve">Web, databases, ERP, storage, virtualised and cloud VMs, streaming</t>
  </si>
  <si>
    <t xml:space="preserve">Large-model training (synchronous, weeks to months); inference (latency-sensitive, bursty); fine-tuning</t>
  </si>
  <si>
    <t xml:space="preserve">Compute</t>
  </si>
  <si>
    <t xml:space="preserve">x86/Arm CPU servers, about 300–1,000 W per server</t>
  </si>
  <si>
    <t xml:space="preserve">GPUs/TPUs/ASICs: H100 700 W; B200 1,000–1,200 W; B300 about 1.4 kW; 8-GPU HGX node about 5.6–10 kW</t>
  </si>
  <si>
    <t xml:space="preserve">Rack density</t>
  </si>
  <si>
    <t xml:space="preserve">about 5–15 kW (Uptime: few above 30 kW; average about 7–8 kW)</t>
  </si>
  <si>
    <t xml:space="preserve">about 40 kW (H100 air-cooled) → 120–132 kW (GB200 NVL72) → 135–142 kW (GB300) → about 190–230 kW (Vera Rubin, 2026) → about 600 kW to 1 MW (Kyber, from 2027)</t>
  </si>
  <si>
    <t xml:space="preserve">Cooling</t>
  </si>
  <si>
    <t xml:space="preserve">Air (CRAH/CRAC, hot/cold aisle containment), chillers, evaporative towers</t>
  </si>
  <si>
    <t xml:space="preserve">Direct-to-chip liquid (CDUs, facility water loops), rear-door heat exchangers, immersion; residual air about 10–15%</t>
  </si>
  <si>
    <t xml:space="preserve">Power distribution</t>
  </si>
  <si>
    <t xml:space="preserve">400/415 V AC to rack, 12 V server PSUs, centralised UPS</t>
  </si>
  <si>
    <t xml:space="preserve">415/480 V AC with 54 VDC busbars and power shelves now; 800 VDC from about 2027; BESS for smoothing; on-site gas generation and nuclear PPAs</t>
  </si>
  <si>
    <t xml:space="preserve">Networking</t>
  </si>
  <si>
    <t xml:space="preserve">North–south dominant; 10–100 GbE; leaf–spine</t>
  </si>
  <si>
    <t xml:space="preserve">East–west dominant; NVLink scale-up (72 → 576 GPUs); InfiniBand or Ultra Ethernet scale-out at 400–800G per GPU; optics-heavy; many times more fibre</t>
  </si>
  <si>
    <t xml:space="preserve">Facility</t>
  </si>
  <si>
    <t xml:space="preserve">1–50 MW (the IEA treats 25 MW as conventional); raised floors</t>
  </si>
  <si>
    <t xml:space="preserve">100 MW to multi-GW campuses; slab floors with rack positions over 1.3 t; taller halls for overhead busways and piping</t>
  </si>
  <si>
    <t xml:space="preserve">Siting</t>
  </si>
  <si>
    <t xml:space="preserve">Latency-first, close to users and internet exchanges</t>
  </si>
  <si>
    <t xml:space="preserve">Power-first for training (cheap, available GW); metro or edge for inference</t>
  </si>
  <si>
    <t xml:space="preserve">Capex per MW</t>
  </si>
  <si>
    <t xml:space="preserve">JLL shell and core about $11.3m/MW (2026 global average). India: INR 50–55 crore/MW (SBI)</t>
  </si>
  <si>
    <t xml:space="preserve">Plus up to $25m/MW tenant AI fit-out (JLL), before GPUs. India: up to INR 75 crore/MW (SBI)</t>
  </si>
  <si>
    <t xml:space="preserve">Reliability</t>
  </si>
  <si>
    <t xml:space="preserve">Tier III/IV, 2N power, concurrent maintainability</t>
  </si>
  <si>
    <t xml:space="preserve">Training: increasingly N+1 or Tier II/III-like, relying on checkpoints. Inference: Tier III+</t>
  </si>
  <si>
    <t xml:space="preserve">Load profile</t>
  </si>
  <si>
    <t xml:space="preserve">Flat, diurnal and variable; low utilisation</t>
  </si>
  <si>
    <t xml:space="preserve">Training: sustained near-peak with sub-second synchronised swings. Inference: bursty</t>
  </si>
  <si>
    <t xml:space="preserve">PUE</t>
  </si>
  <si>
    <t xml:space="preserve">1.5–1.6 average; 1.1–1.2 hyperscale</t>
  </si>
  <si>
    <t xml:space="preserve">1.1–1.3 achievable with liquid cooling; IT share about 75% or more</t>
  </si>
  <si>
    <t xml:space="preserve">Water</t>
  </si>
  <si>
    <t xml:space="preserve">Evaporative towers can mean WUE above 1 L/kWh</t>
  </si>
  <si>
    <t xml:space="preserve">Closed-loop liquid cooling can reach near-zero WUE but may raise PUE; indirect water rises with load</t>
  </si>
  <si>
    <t xml:space="preserve">Obsolescence</t>
  </si>
  <si>
    <t xml:space="preserve">Hardware refreshed every 5–7 years; shell lasts 15–20+ years</t>
  </si>
  <si>
    <t xml:space="preserve">GPU generations every year; economic life about 3–6 years (contested); shells risk stranding on density</t>
  </si>
  <si>
    <t xml:space="preserve">Grid and regulatory exposure</t>
  </si>
  <si>
    <t xml:space="preserve">High: NERC Level 3 alert, large-load tariffs, interconnection queues, local opposition</t>
  </si>
  <si>
    <t xml:space="preserve">R2-T08  Compute hardware and power</t>
  </si>
  <si>
    <t xml:space="preserve">Source: Report 2 (full research report) · Section 2: AI Data Centre vs Conventional Data Centre › 2.3 Compute hardware and power</t>
  </si>
  <si>
    <t xml:space="preserve">Used in atlas: Ch 2 "Rack density and chip power" chart and Rack inspector.</t>
  </si>
  <si>
    <t xml:space="preserve">Used to derive: kW per rack and per GPU used in sizing.</t>
  </si>
  <si>
    <t xml:space="preserve">Platform</t>
  </si>
  <si>
    <t xml:space="preserve">Power</t>
  </si>
  <si>
    <t xml:space="preserve">Nvidia H100 SXM</t>
  </si>
  <si>
    <t xml:space="preserve">700 W</t>
  </si>
  <si>
    <t xml:space="preserve">8-GPU node about 5.6 kW (GPUs) to about 10 kW (node); racks about 30–40 kW</t>
  </si>
  <si>
    <t xml:space="preserve">Nvidia B200</t>
  </si>
  <si>
    <t xml:space="preserve">1,000 W (HGX) to 1,200 W (NVL72)</t>
  </si>
  <si>
    <t xml:space="preserve">Air-cooled HGX B200 racks about 60 kW</t>
  </si>
  <si>
    <t xml:space="preserve">GB200 NVL72</t>
  </si>
  <si>
    <t xml:space="preserve">about 120 kW (Nvidia); 132 kW nominal (HPE: 115 kW liquid + 17 kW air); peak electrical design power about 192 kW</t>
  </si>
  <si>
    <t xml:space="preserve">72 GPUs + 36 Grace CPUs; about 1.36 t; eight 33 kW power shelves</t>
  </si>
  <si>
    <t xml:space="preserve">GB300 NVL72</t>
  </si>
  <si>
    <t xml:space="preserve">135 kW (Nvidia Mission Control); 142 kW (Nvidia/Vertiv reference)</t>
  </si>
  <si>
    <t xml:space="preserve">B300 at about 1.4 kW per GPU</t>
  </si>
  <si>
    <t xml:space="preserve">Vera Rubin NVL144 (2026)</t>
  </si>
  <si>
    <t xml:space="preserve">about 190–230 kW (industry reports)</t>
  </si>
  <si>
    <t xml:space="preserve">Transitional AC/54 VDC or 800 VDC input</t>
  </si>
  <si>
    <t xml:space="preserve">Rubin Ultra / Kyber (2027+)</t>
  </si>
  <si>
    <t xml:space="preserve">about 600 kW (GTC 2025), designed for up to 1 MW racks</t>
  </si>
  <si>
    <t xml:space="preserve">Kyber redesigned at GTC 2026; SemiAnalysis reports a possible slip to 2028</t>
  </si>
  <si>
    <t xml:space="preserve">Google TPU (Trillium, Ironwood); AWS Trainium</t>
  </si>
  <si>
    <t xml:space="preserve">Lower per chip than Nvidia's flagships; liquid-cooled pods at scale</t>
  </si>
  <si>
    <t xml:space="preserve">Google says Ironwood is 30× more efficient than its first TPU</t>
  </si>
  <si>
    <t xml:space="preserve">Conventional CPU server</t>
  </si>
  <si>
    <t xml:space="preserve">about 300–1,000 W</t>
  </si>
  <si>
    <t xml:space="preserve">2-socket x86; 5–15 kW per rack</t>
  </si>
  <si>
    <t xml:space="preserve">R2-T09  Training vs inference data centres</t>
  </si>
  <si>
    <t xml:space="preserve">Source: Report 2 (full research report) · Section 2: AI Data Centre vs Conventional Data Centre › 2.15 Inference versus training data centres</t>
  </si>
  <si>
    <t xml:space="preserve">Used in atlas: Ch 2 "Training vs inference sites" table.</t>
  </si>
  <si>
    <t xml:space="preserve">Used to derive: Siting rule: train near power, serve inference near users.</t>
  </si>
  <si>
    <t xml:space="preserve">Training DC</t>
  </si>
  <si>
    <t xml:space="preserve">Inference DC</t>
  </si>
  <si>
    <t xml:space="preserve">Location</t>
  </si>
  <si>
    <t xml:space="preserve">Power-rich, remote, cheap land</t>
  </si>
  <si>
    <t xml:space="preserve">Metro or edge, near users (latency of tens of ms)</t>
  </si>
  <si>
    <t xml:space="preserve">Size</t>
  </si>
  <si>
    <t xml:space="preserve">300 MW to 5 GW single campus</t>
  </si>
  <si>
    <t xml:space="preserve">10–200 MW, distributed</t>
  </si>
  <si>
    <t xml:space="preserve">Network</t>
  </si>
  <si>
    <t xml:space="preserve">Massive internal fabric; little external</t>
  </si>
  <si>
    <t xml:space="preserve">Strong external connectivity and peering</t>
  </si>
  <si>
    <t xml:space="preserve">Lower (checkpointing)</t>
  </si>
  <si>
    <t xml:space="preserve">Higher (Tier III+)</t>
  </si>
  <si>
    <t xml:space="preserve">Hardware</t>
  </si>
  <si>
    <t xml:space="preserve">Newest flagship GPUs</t>
  </si>
  <si>
    <t xml:space="preserve">Mix, including older GPUs, inference ASICs and L40S-class cards</t>
  </si>
  <si>
    <t xml:space="preserve">Trend</t>
  </si>
  <si>
    <t xml:space="preserve">Fewer, larger campuses</t>
  </si>
  <si>
    <t xml:space="preserve">Growth of metro or edge AI zones and retrofitted colocation</t>
  </si>
  <si>
    <t xml:space="preserve">15 tables. Source line under each title; "Note" gives the context sentence from the report.</t>
  </si>
  <si>
    <t xml:space="preserve">R3-T01  Accelerator power trend per GPU</t>
  </si>
  <si>
    <t xml:space="preserve">Source: Report 3 (full research report) · 1. Fundamentals › 1.1 Why cooling is needed</t>
  </si>
  <si>
    <t xml:space="preserve">Note: Accelerator power trend (per GPU):</t>
  </si>
  <si>
    <t xml:space="preserve">Used in atlas: Ch 3 cooling chain and GPU power figures.</t>
  </si>
  <si>
    <t xml:space="preserve">Used to derive: Why air cooling stops working as GPUs pass ~1 kW.</t>
  </si>
  <si>
    <t xml:space="preserve">GPU</t>
  </si>
  <si>
    <t xml:space="preserve">Max TDP</t>
  </si>
  <si>
    <t xml:space="preserve">Cooling implication</t>
  </si>
  <si>
    <t xml:space="preserve">2022–23</t>
  </si>
  <si>
    <t xml:space="preserve">Air-coolable (HGX); DLC optional</t>
  </si>
  <si>
    <t xml:space="preserve">2024–25</t>
  </si>
  <si>
    <t xml:space="preserve">1,000 W (up to ~1,200 W in GB200 configurations)</t>
  </si>
  <si>
    <t xml:space="preserve">Air HGX options exist; GB200 NVL72 rack is liquid</t>
  </si>
  <si>
    <t xml:space="preserve">Nvidia B300 (Blackwell Ultra)</t>
  </si>
  <si>
    <t xml:space="preserve">H2 2025</t>
  </si>
  <si>
    <t xml:space="preserve">1,400 W (liquid bin); 1,100 W air bin</t>
  </si>
  <si>
    <t xml:space="preserve">GB300 NVL72 requires DLC; DGX B300 has an air-cooled 14.5 kW variant</t>
  </si>
  <si>
    <t xml:space="preserve">Nvidia Rubin (Vera Rubin NVL72/NVL144)</t>
  </si>
  <si>
    <t xml:space="preserve">H2 2026</t>
  </si>
  <si>
    <t xml:space="preserve">~1,800–2,300 W (industry estimates; not formally confirmed)</t>
  </si>
  <si>
    <t xml:space="preserve">100% liquid; 45°C inlet water</t>
  </si>
  <si>
    <t xml:space="preserve">Rubin Ultra (Kyber NVL576)</t>
  </si>
  <si>
    <t xml:space="preserve">H2 2027</t>
  </si>
  <si>
    <t xml:space="preserve">~600 kW per rack, 100% liquid, no fans, 800 VDC</t>
  </si>
  <si>
    <t xml:space="preserve">Leading GPUs (Dell'Oro projection)</t>
  </si>
  <si>
    <t xml:space="preserve">&gt;4,000 W</t>
  </si>
  <si>
    <t xml:space="preserve">Two-phase or embedded cooling likely needed</t>
  </si>
  <si>
    <t xml:space="preserve">R3-T02  Heat transfer properties of cooling fluids</t>
  </si>
  <si>
    <t xml:space="preserve">Source: Report 3 (full research report) · 1. Fundamentals › 1.2 Heat transfer properties: why liquid wins</t>
  </si>
  <si>
    <t xml:space="preserve">Note: Heat removed is Q = ṁ·cp·ΔT. What matters is how much heat a given volume of fluid can carry per degree of temperature rise. The values below are standard engineering values at about 25°C.</t>
  </si>
  <si>
    <t xml:space="preserve">Used in atlas: Ch 3 "Why liquid wins" chart.</t>
  </si>
  <si>
    <t xml:space="preserve">Used to derive: Flow needed to move heat with air vs water.</t>
  </si>
  <si>
    <t xml:space="preserve">Fluid</t>
  </si>
  <si>
    <t xml:space="preserve">Specific heat (kJ/kg·K)</t>
  </si>
  <si>
    <t xml:space="preserve">Density (kg/m³)</t>
  </si>
  <si>
    <t xml:space="preserve">Volumetric heat capacity (kJ/m³·K)</t>
  </si>
  <si>
    <t xml:space="preserve">Relative to air</t>
  </si>
  <si>
    <t xml:space="preserve">Air</t>
  </si>
  <si>
    <t xml:space="preserve">~1.0</t>
  </si>
  <si>
    <t xml:space="preserve">~1.2</t>
  </si>
  <si>
    <t xml:space="preserve">1×</t>
  </si>
  <si>
    <t xml:space="preserve">Low thermal conductivity (~0.026 W/m·K)</t>
  </si>
  <si>
    <t xml:space="preserve">~4.18</t>
  </si>
  <si>
    <t xml:space="preserve">~1,000</t>
  </si>
  <si>
    <t xml:space="preserve">~4,180</t>
  </si>
  <si>
    <t xml:space="preserve">~3,500×</t>
  </si>
  <si>
    <t xml:space="preserve">Conductivity ~0.6 W/m·K; conductive and corrosive, so loops must be sealed and treated</t>
  </si>
  <si>
    <t xml:space="preserve">PG25 (25% propylene glycol)</t>
  </si>
  <si>
    <t xml:space="preserve">~3.9</t>
  </si>
  <si>
    <t xml:space="preserve">~1,020</t>
  </si>
  <si>
    <t xml:space="preserve">~4,000</t>
  </si>
  <si>
    <t xml:space="preserve">~3,300×</t>
  </si>
  <si>
    <t xml:space="preserve">Standard technology cooling system (TCS) fluid for cold plates; biocide and freeze protection</t>
  </si>
  <si>
    <t xml:space="preserve">Synthetic or hydrocarbon dielectric oil (single-phase immersion)</t>
  </si>
  <si>
    <t xml:space="preserve">~1.9–2.3</t>
  </si>
  <si>
    <t xml:space="preserve">~800–850</t>
  </si>
  <si>
    <t xml:space="preserve">~1,600–1,900</t>
  </si>
  <si>
    <t xml:space="preserve">~1,400×</t>
  </si>
  <si>
    <t xml:space="preserve">Higher viscosity means slower convection</t>
  </si>
  <si>
    <t xml:space="preserve">Fluorocarbon or HFO dielectric (two-phase)</t>
  </si>
  <si>
    <t xml:space="preserve">~1.1–1.3</t>
  </si>
  <si>
    <t xml:space="preserve">~1,400–1,700</t>
  </si>
  <si>
    <t xml:space="preserve">~1,700–2,000 (sensible)</t>
  </si>
  <si>
    <t xml:space="preserve">Boiling absorbs latent heat (~90–140 kJ/kg); heat transfer coefficient 5–10× single-phase</t>
  </si>
  <si>
    <t xml:space="preserve">R3-T03  ASHRAE air-cooled classes (IT inlet air)</t>
  </si>
  <si>
    <t xml:space="preserve">Source: Report 3 (full research report) · 1. Fundamentals › 1.3 ASHRAE TC 9.9 thermal guidelines (5th edition, 2021)</t>
  </si>
  <si>
    <t xml:space="preserve">Note: Air-cooled classes (IT inlet air):</t>
  </si>
  <si>
    <t xml:space="preserve">Used in atlas: Ch 3 reference (ASHRAE classes).</t>
  </si>
  <si>
    <t xml:space="preserve">Used to derive: Allowable inlet temperatures; economiser hours.</t>
  </si>
  <si>
    <t xml:space="preserve">Class</t>
  </si>
  <si>
    <t xml:space="preserve">Recommended</t>
  </si>
  <si>
    <t xml:space="preserve">Allowable dry-bulb</t>
  </si>
  <si>
    <t xml:space="preserve">A1</t>
  </si>
  <si>
    <t xml:space="preserve">18–27°C</t>
  </si>
  <si>
    <t xml:space="preserve">15–32°C</t>
  </si>
  <si>
    <t xml:space="preserve">Enterprise and mission-critical</t>
  </si>
  <si>
    <t xml:space="preserve">A2</t>
  </si>
  <si>
    <t xml:space="preserve">10–35°C</t>
  </si>
  <si>
    <t xml:space="preserve">Volume servers</t>
  </si>
  <si>
    <t xml:space="preserve">A3</t>
  </si>
  <si>
    <t xml:space="preserve">5–40°C</t>
  </si>
  <si>
    <t xml:space="preserve">Extended-range, chillerless designs</t>
  </si>
  <si>
    <t xml:space="preserve">A4</t>
  </si>
  <si>
    <t xml:space="preserve">5–45°C</t>
  </si>
  <si>
    <t xml:space="preserve">Extreme economisation</t>
  </si>
  <si>
    <t xml:space="preserve">H1 (high-density)</t>
  </si>
  <si>
    <t xml:space="preserve">18–22°C</t>
  </si>
  <si>
    <t xml:space="preserve">15–25°C</t>
  </si>
  <si>
    <t xml:space="preserve">Tightly integrated, high-power air-cooled systems that cannot meet A2</t>
  </si>
  <si>
    <t xml:space="preserve">R3-T04  ASHRAE liquid-cooling W classes</t>
  </si>
  <si>
    <t xml:space="preserve">Note: Liquid-cooling W classes (facility water supply temperature): the 5th edition renamed W1–W5 by their upper temperature limit. All classes share a 2°C lower bound.</t>
  </si>
  <si>
    <t xml:space="preserve">Used in atlas: Ch 3 "Warm-water explorer" (W32–W45 setpoints).</t>
  </si>
  <si>
    <t xml:space="preserve">Used to derive: Which heat rejection works at a given facility water temperature.</t>
  </si>
  <si>
    <t xml:space="preserve">Class (old name)</t>
  </si>
  <si>
    <t xml:space="preserve">Facility water supply</t>
  </si>
  <si>
    <t xml:space="preserve">Typical heat rejection</t>
  </si>
  <si>
    <t xml:space="preserve">W17 (W1)</t>
  </si>
  <si>
    <t xml:space="preserve">2–17°C</t>
  </si>
  <si>
    <t xml:space="preserve">Chillers, with economiser assist</t>
  </si>
  <si>
    <t xml:space="preserve">W27 (W2)</t>
  </si>
  <si>
    <t xml:space="preserve">2–27°C</t>
  </si>
  <si>
    <t xml:space="preserve">Chillers with large economiser share</t>
  </si>
  <si>
    <t xml:space="preserve">W32 (W3)</t>
  </si>
  <si>
    <t xml:space="preserve">2–32°C</t>
  </si>
  <si>
    <t xml:space="preserve">Cooling towers or dry coolers; chillers for trim</t>
  </si>
  <si>
    <t xml:space="preserve">W40 (new)</t>
  </si>
  <si>
    <t xml:space="preserve">2–40°C</t>
  </si>
  <si>
    <t xml:space="preserve">Mostly chiller-free</t>
  </si>
  <si>
    <t xml:space="preserve">W45 (W4)</t>
  </si>
  <si>
    <t xml:space="preserve">2–45°C</t>
  </si>
  <si>
    <t xml:space="preserve">"Typically operated without chillers": dry coolers year-round in most climates</t>
  </si>
  <si>
    <t xml:space="preserve">W+ (W5)</t>
  </si>
  <si>
    <t xml:space="preserve">&gt;45°C</t>
  </si>
  <si>
    <t xml:space="preserve">Heat reuse and district heating</t>
  </si>
  <si>
    <t xml:space="preserve">R3-T05  Key cooling metrics</t>
  </si>
  <si>
    <t xml:space="preserve">Source: Report 3 (full research report) · 1. Fundamentals › 1.5 Key metrics</t>
  </si>
  <si>
    <t xml:space="preserve">Used in atlas: Ch 3 and simulator PUE/WUE reasoning (reference).</t>
  </si>
  <si>
    <t xml:space="preserve">Used to derive: Typical PUE/WUE ranges for calculators.</t>
  </si>
  <si>
    <t xml:space="preserve">Typical values / notes</t>
  </si>
  <si>
    <t xml:space="preserve">Legacy air: 1.5–1.8; good modern air with economisers: 1.2–1.4; DLC: 1.05–1.2; immersion: ~1.03–1.08 (vendor-reported). The SBI report says cooling "can account for up to 40 percent of total energy usage" in Indian facilities.</t>
  </si>
  <si>
    <t xml:space="preserve">pPUE (partial PUE)</t>
  </si>
  <si>
    <t xml:space="preserve">(IT + subsystem energy) ÷ IT energy for one subsystem</t>
  </si>
  <si>
    <t xml:space="preserve">A cooling pPUE of 1.05–1.15 is excellent</t>
  </si>
  <si>
    <t xml:space="preserve">WUE</t>
  </si>
  <si>
    <t xml:space="preserve">Annual site water (L) ÷ IT energy (kWh)</t>
  </si>
  <si>
    <t xml:space="preserve">0 (dry) to more than 2 L/kWh (fully evaporative); US average 1.8 L/kWh (LBNL, Shehabi et al., 2016)</t>
  </si>
  <si>
    <t xml:space="preserve">kW per rack</t>
  </si>
  <si>
    <t xml:space="preserve">Cooling capacity delivered per rack</t>
  </si>
  <si>
    <t xml:space="preserve">Uptime 2025: average modal density ~9 kW (up from 8.3 kW); AI racks 40–230 kW, heading to 600 kW+</t>
  </si>
  <si>
    <t xml:space="preserve">ΔT</t>
  </si>
  <si>
    <t xml:space="preserve">Temperature rise across a coil, server or loop</t>
  </si>
  <si>
    <t xml:space="preserve">Air: 10–20 K; TCS: ~10 K. Bigger ΔT means less flow and less pump or fan energy.</t>
  </si>
  <si>
    <t xml:space="preserve">Approach temperature</t>
  </si>
  <si>
    <t xml:space="preserve">Gap between leaving fluid and its heat sink</t>
  </si>
  <si>
    <t xml:space="preserve">Towers: 3–5 K over wet-bulb; dry coolers: 5–10 K over dry-bulb; CDU HX: 2–4 K</t>
  </si>
  <si>
    <t xml:space="preserve">Chiller COP / kW per ton</t>
  </si>
  <si>
    <t xml:space="preserve">Cooling output ÷ electrical input; 1 ton = 3.517 kW</t>
  </si>
  <si>
    <t xml:space="preserve">Water-cooled centrifugal: ~0.5–0.6 kW/ton (COP ~6–7); air-cooled screw: ~1.0–1.2 kW/ton (COP ~3)</t>
  </si>
  <si>
    <t xml:space="preserve">IPLV / NPLV</t>
  </si>
  <si>
    <t xml:space="preserve">Weighted part-load efficiency (100/75/50/25% load)</t>
  </si>
  <si>
    <t xml:space="preserve">Matters because data centre chillers rarely run at full load. India's ECBC data-centre guidance cites, for example, centrifugal chillers ≥1,580 kWr at COP 6.3 and IPLV 7.0.</t>
  </si>
  <si>
    <t xml:space="preserve">R3-T06  Chiller types</t>
  </si>
  <si>
    <t xml:space="preserve">Source: Report 3 (full research report) · 3. Chilled-water plants and heat rejection › 3.1 Chiller types</t>
  </si>
  <si>
    <t xml:space="preserve">Used in atlas: Reference only (chiller choice in Ch 3 text).</t>
  </si>
  <si>
    <t xml:space="preserve">Used to derive: Chiller efficiency assumptions.</t>
  </si>
  <si>
    <t xml:space="preserve">Compressor</t>
  </si>
  <si>
    <t xml:space="preserve">Size range</t>
  </si>
  <si>
    <t xml:space="preserve">Typical full-load efficiency</t>
  </si>
  <si>
    <t xml:space="preserve">Air-cooled scroll</t>
  </si>
  <si>
    <t xml:space="preserve">Scroll</t>
  </si>
  <si>
    <t xml:space="preserve">50–500 kW</t>
  </si>
  <si>
    <t xml:space="preserve">~1.1–1.3 kW/ton</t>
  </si>
  <si>
    <t xml:space="preserve">Small sites, edge</t>
  </si>
  <si>
    <t xml:space="preserve">Air-cooled screw</t>
  </si>
  <si>
    <t xml:space="preserve">Screw</t>
  </si>
  <si>
    <t xml:space="preserve">300–2,000 kW</t>
  </si>
  <si>
    <t xml:space="preserve">~1.0–1.2 kW/ton</t>
  </si>
  <si>
    <t xml:space="preserve">No tower water; often with integrated free-cooling coils</t>
  </si>
  <si>
    <t xml:space="preserve">Water-cooled screw</t>
  </si>
  <si>
    <t xml:space="preserve">500–3,500 kW</t>
  </si>
  <si>
    <t xml:space="preserve">~0.6–0.7 kW/ton</t>
  </si>
  <si>
    <t xml:space="preserve">Needs towers</t>
  </si>
  <si>
    <t xml:space="preserve">Water-cooled centrifugal</t>
  </si>
  <si>
    <t xml:space="preserve">Centrifugal</t>
  </si>
  <si>
    <t xml:space="preserve">1,000–10,000+ kW</t>
  </si>
  <si>
    <t xml:space="preserve">~0.5–0.6 kW/ton</t>
  </si>
  <si>
    <t xml:space="preserve">Best at scale</t>
  </si>
  <si>
    <t xml:space="preserve">Magnetic-bearing centrifugal (e.g., Danfoss Turbocor compressors)</t>
  </si>
  <si>
    <t xml:space="preserve">Oil-free, variable speed</t>
  </si>
  <si>
    <t xml:space="preserve">300–5,000 kW</t>
  </si>
  <si>
    <t xml:space="preserve">Full load ~0.55; IPLV can approach ~0.3–0.35 kW/ton</t>
  </si>
  <si>
    <t xml:space="preserve">Excellent part-load efficiency and low maintenance</t>
  </si>
  <si>
    <t xml:space="preserve">Free-cooling chillers</t>
  </si>
  <si>
    <t xml:space="preserve">Any, plus integrated dry coils</t>
  </si>
  <si>
    <t xml:space="preserve">Compressors off when ambient is ~8–10 K below return water</t>
  </si>
  <si>
    <t xml:space="preserve">Very effective at higher water temperatures</t>
  </si>
  <si>
    <t xml:space="preserve">R3-T07  Liquid cooling comparison</t>
  </si>
  <si>
    <t xml:space="preserve">Source: Report 3 (full research report) · 4. Liquid cooling types › 4.7 Liquid cooling comparison</t>
  </si>
  <si>
    <t xml:space="preserve">Used in atlas: Ch 3 "Liquid cooling compared" table.</t>
  </si>
  <si>
    <t xml:space="preserve">Used to derive: Density, PUE and maturity per liquid technology.</t>
  </si>
  <si>
    <t xml:space="preserve">Single-phase DLC</t>
  </si>
  <si>
    <t xml:space="preserve">Two-phase DLC</t>
  </si>
  <si>
    <t xml:space="preserve">RDHx (active)</t>
  </si>
  <si>
    <t xml:space="preserve">50–250 kW+ (with air assist)</t>
  </si>
  <si>
    <t xml:space="preserve">100–300 kW+</t>
  </si>
  <si>
    <t xml:space="preserve">100–250 kW per tank</t>
  </si>
  <si>
    <t xml:space="preserve">200 kW+ per tank</t>
  </si>
  <si>
    <t xml:space="preserve">40–75 kW</t>
  </si>
  <si>
    <t xml:space="preserve">Heat to liquid</t>
  </si>
  <si>
    <t xml:space="preserve">70–98%</t>
  </si>
  <si>
    <t xml:space="preserve">70–95%</t>
  </si>
  <si>
    <t xml:space="preserve">~100%</t>
  </si>
  <si>
    <t xml:space="preserve">100% at the door (air-side)</t>
  </si>
  <si>
    <t xml:space="preserve">Facility water class</t>
  </si>
  <si>
    <t xml:space="preserve">W32–W45</t>
  </si>
  <si>
    <t xml:space="preserve">W17–W27 (needs colder water)</t>
  </si>
  <si>
    <t xml:space="preserve">PUE (reported range)</t>
  </si>
  <si>
    <t xml:space="preserve">1.05–1.20</t>
  </si>
  <si>
    <t xml:space="preserve">1.04–1.15</t>
  </si>
  <si>
    <t xml:space="preserve">1.03–1.08</t>
  </si>
  <si>
    <t xml:space="preserve">1.01–1.05</t>
  </si>
  <si>
    <t xml:space="preserve">1.15–1.35</t>
  </si>
  <si>
    <t xml:space="preserve">PG25 / water (cheap)</t>
  </si>
  <si>
    <t xml:space="preserve">Dielectric refrigerant ($$)</t>
  </si>
  <si>
    <t xml:space="preserve">Hydrocarbon or synthetic oil ($–$$)</t>
  </si>
  <si>
    <t xml:space="preserve">Fluorocarbon or HFO ($$$)</t>
  </si>
  <si>
    <t xml:space="preserve">Serviceability</t>
  </si>
  <si>
    <t xml:space="preserve">Server-like; QDs</t>
  </si>
  <si>
    <t xml:space="preserve">Server-like; pressurised</t>
  </si>
  <si>
    <t xml:space="preserve">Lift-out, drain</t>
  </si>
  <si>
    <t xml:space="preserve">Sealed tank</t>
  </si>
  <si>
    <t xml:space="preserve">Easy</t>
  </si>
  <si>
    <t xml:space="preserve">Weight / floor</t>
  </si>
  <si>
    <t xml:space="preserve">Heavy racks (1.5–3 t)</t>
  </si>
  <si>
    <t xml:space="preserve">Heavy racks</t>
  </si>
  <si>
    <t xml:space="preserve">Heavy tanks, low floor density</t>
  </si>
  <si>
    <t xml:space="preserve">Heavy tanks</t>
  </si>
  <si>
    <t xml:space="preserve">OEM support / warranty</t>
  </si>
  <si>
    <t xml:space="preserve">Mainstream (Nvidia reference)</t>
  </si>
  <si>
    <t xml:space="preserve">Emerging</t>
  </si>
  <si>
    <t xml:space="preserve">Improving; check per OEM</t>
  </si>
  <si>
    <t xml:space="preserve">Limited</t>
  </si>
  <si>
    <t xml:space="preserve">Mainstream</t>
  </si>
  <si>
    <t xml:space="preserve">Maturity (2026)</t>
  </si>
  <si>
    <t xml:space="preserve">Mainstream for AI</t>
  </si>
  <si>
    <t xml:space="preserve">Early commercial</t>
  </si>
  <si>
    <t xml:space="preserve">Niche but proven</t>
  </si>
  <si>
    <t xml:space="preserve">Niche; PFAS risk</t>
  </si>
  <si>
    <t xml:space="preserve">Mature</t>
  </si>
  <si>
    <t xml:space="preserve">OCP / standards</t>
  </si>
  <si>
    <t xml:space="preserve">OCP ACS cold plate, CDU, UQD specs; ORv3</t>
  </si>
  <si>
    <t xml:space="preserve">OCP ACS two-phase workstream</t>
  </si>
  <si>
    <t xml:space="preserve">OCP ACS immersion specs</t>
  </si>
  <si>
    <t xml:space="preserve">OCP ACS immersion</t>
  </si>
  <si>
    <t xml:space="preserve">OCP Door HX workstream</t>
  </si>
  <si>
    <t xml:space="preserve">R3-T08  Natural and alternative cooling</t>
  </si>
  <si>
    <t xml:space="preserve">Source: Report 3 (full research report) · 5. Natural and alternative cooling</t>
  </si>
  <si>
    <t xml:space="preserve">Used in atlas: Ch 3 text on natural cooling; Ch 12 seawater option.</t>
  </si>
  <si>
    <t xml:space="preserve">Used to derive: Relevance of seawater and free cooling for India.</t>
  </si>
  <si>
    <t xml:space="preserve">Approach</t>
  </si>
  <si>
    <t xml:space="preserve">Flagship examples</t>
  </si>
  <si>
    <t xml:space="preserve">Relevance to India</t>
  </si>
  <si>
    <t xml:space="preserve">Climate free cooling</t>
  </si>
  <si>
    <t xml:space="preserve">Nordic sites (Meta Luleå, many in Finland, Norway, Iceland)</t>
  </si>
  <si>
    <t xml:space="preserve">Cool, dry ambient air: indirect or direct economisers for most of the year. Cool-climate adiabatic sites "may rely on free cooling for 90% to 95% of the year."</t>
  </si>
  <si>
    <t xml:space="preserve">Limited. Only hill or high-altitude sites and winter months.</t>
  </si>
  <si>
    <t xml:space="preserve">Seawater cooling</t>
  </si>
  <si>
    <t xml:space="preserve">Google Hamina, Finland (former paper mill using Baltic seawater)</t>
  </si>
  <si>
    <t xml:space="preserve">Cold seawater through titanium HX to the facility loop</t>
  </si>
  <si>
    <t xml:space="preserve">Tropical surface seawater is ~27–31°C, too warm for chilled water but usable for heat rejection at W32–W45. Andhra Pradesh's data-centre policy proposes seawater cooling. Indian coastal thermal plants (NTPC Simhadri, Hinduja Vizag) already use seawater for condenser cooling.</t>
  </si>
  <si>
    <t xml:space="preserve">Deep lake / deep water</t>
  </si>
  <si>
    <t xml:space="preserve">Enwave Deep Lake Water Cooling, Toronto (Lake Ontario at ~4°C)</t>
  </si>
  <si>
    <t xml:space="preserve">Cold deep water through district cooling</t>
  </si>
  <si>
    <t xml:space="preserve">No equivalent cold deep lakes near Indian metros</t>
  </si>
  <si>
    <t xml:space="preserve">Groundwater / geothermal</t>
  </si>
  <si>
    <t xml:space="preserve">Various European aquifer thermal energy storage sites</t>
  </si>
  <si>
    <t xml:space="preserve">Aquifer as heat sink or seasonal storage</t>
  </si>
  <si>
    <t xml:space="preserve">Restricted. Indian groundwater is overdrawn.</t>
  </si>
  <si>
    <t xml:space="preserve">Underwater</t>
  </si>
  <si>
    <t xml:space="preserve">Microsoft Project Natick (Orkney, 2018–2020); China's commercial underwater data centre off Hainan and a reported offshore-wind-linked project near Shanghai</t>
  </si>
  <si>
    <t xml:space="preserve">Sealed pressure vessel cooled by surrounding seawater</t>
  </si>
  <si>
    <t xml:space="preserve">Microsoft says the Natick servers "showed a failure rate of 1/8th that of our land-based control group" (vessel retrieved July 2020), but Microsoft confirmed in 2024 that the project is no longer active. China's projects are reported commercial pilots, not independently verified here. A curiosity for India.</t>
  </si>
  <si>
    <t xml:space="preserve">Heat reuse / district heating</t>
  </si>
  <si>
    <t xml:space="preserve">Stockholm Data Parks; Meta Odense (Denmark)</t>
  </si>
  <si>
    <t xml:space="preserve">Heat pumps lift 25–45°C waste heat to 60–80°C district heating</t>
  </si>
  <si>
    <t xml:space="preserve">Low heating demand in India. Better candidates are absorption chillers, desalination pre-heat, or industrial process heat.</t>
  </si>
  <si>
    <t xml:space="preserve">R3-T09  Liquid-cooling market size and forecasts</t>
  </si>
  <si>
    <t xml:space="preserve">Source: Report 3 (full research report) · 6. Market and adoption › 6.1 Market size and forecasts (2024–2031)</t>
  </si>
  <si>
    <t xml:space="preserve">Used in atlas: Ch 3 "Liquid-cooling market" chart; Ch 11 Bass diffusion analogue.</t>
  </si>
  <si>
    <t xml:space="preserve">Used to derive: Adoption speed for liquid cooling.</t>
  </si>
  <si>
    <t xml:space="preserve">Source (date)</t>
  </si>
  <si>
    <t xml:space="preserve">Figure</t>
  </si>
  <si>
    <t xml:space="preserve">Dell'Oro (Jan 2026)</t>
  </si>
  <si>
    <t xml:space="preserve">Global DC liquid cooling, manufacturer revenue</t>
  </si>
  <si>
    <t xml:space="preserve">~$3 billion in 2025 (≈2× 2024), ~$7 billion by 2029</t>
  </si>
  <si>
    <t xml:space="preserve">Dell'Oro (Aug 2025)</t>
  </si>
  <si>
    <t xml:space="preserve">Direct liquid cooling</t>
  </si>
  <si>
    <t xml:space="preserve">$1.1 billion (2024) to $5.8 billion (2029); DLC grew 156% year on year in 2Q 2025</t>
  </si>
  <si>
    <t xml:space="preserve">Dell'Oro (2026)</t>
  </si>
  <si>
    <t xml:space="preserve">DLC 2030</t>
  </si>
  <si>
    <t xml:space="preserve">~$8 billion by 2030</t>
  </si>
  <si>
    <t xml:space="preserve">Dell'Oro (Aug 2025, 2026 update)</t>
  </si>
  <si>
    <t xml:space="preserve">Data centre physical infrastructure (DCPI)</t>
  </si>
  <si>
    <t xml:space="preserve">$63.1 billion by 2029 (15% CAGR); &gt;$80 billion by 2030. Thermal management CAGR 19–20%.</t>
  </si>
  <si>
    <t xml:space="preserve">MarketsandMarkets</t>
  </si>
  <si>
    <t xml:space="preserve">India DC liquid cooling</t>
  </si>
  <si>
    <t xml:space="preserve">$113.0 million (2026) to $789.9 million (2031), ~32% CAGR</t>
  </si>
  <si>
    <t xml:space="preserve">Other analyst estimates (secondary)</t>
  </si>
  <si>
    <t xml:space="preserve">Global "liquid cooling" (broader definitions)</t>
  </si>
  <si>
    <t xml:space="preserve">~$5.5 billion (2025) to ~$15.8 billion (2030)</t>
  </si>
  <si>
    <t xml:space="preserve">R3-T10  Cooling vendor landscape and consolidation</t>
  </si>
  <si>
    <t xml:space="preserve">Source: Report 3 (full research report) · 6. Market and adoption › 6.4 Vendor landscape and consolidation (2024–2026)</t>
  </si>
  <si>
    <t xml:space="preserve">Used in atlas: Ch 3 "Who bought whom" bars.</t>
  </si>
  <si>
    <t xml:space="preserve">Used to derive: Supply-chain concentration risk.</t>
  </si>
  <si>
    <t xml:space="preserve">Company</t>
  </si>
  <si>
    <t xml:space="preserve">Position / recent moves</t>
  </si>
  <si>
    <t xml:space="preserve">Vertiv</t>
  </si>
  <si>
    <t xml:space="preserve">Dell'Oro names it the liquid cooling market leader. Acquired CoolTera (CDUs, UK, announced Dec 2023) and agreed to buy PurgeRite (~$1 billion, Nov 2025; fluid services). Vertiv did not buy CoolIT.</t>
  </si>
  <si>
    <t xml:space="preserve">Ecolab to buy CoolIT</t>
  </si>
  <si>
    <t xml:space="preserve">Announced 20 Mar 2026: ~$4.75 billion cash from KKR and Mubadala, about 29× next-12-month EBITDA; CoolIT expected to generate ~$550 million in sales. Closing reported in early July 2026.</t>
  </si>
  <si>
    <t xml:space="preserve">Eaton to buy Boyd Thermal</t>
  </si>
  <si>
    <t xml:space="preserve">$9.5 billion (Nov 2025; 22.5× 2026E EBITDA). Boyd forecast $1.7 billion of 2026 sales, $1.5 billion of it liquid cooling. Closing reported in March 2026.</t>
  </si>
  <si>
    <t xml:space="preserve">Schneider Electric to buy Motivair</t>
  </si>
  <si>
    <t xml:space="preserve">$850 million for a controlling stake (2024). Motivair liquid cooling factory opened in Bengaluru (~March 2026), its third globally.</t>
  </si>
  <si>
    <t xml:space="preserve">Trane Technologies to buy LiquidStack</t>
  </si>
  <si>
    <t xml:space="preserve">Announced 10 Feb 2026, closed 3 Mar 2026. Brings DLC CDUs and single- and two-phase immersion.</t>
  </si>
  <si>
    <t xml:space="preserve">nVent, CoolIT, Boyd</t>
  </si>
  <si>
    <t xml:space="preserve">Named by Dell'Oro as holding strong DLC share</t>
  </si>
  <si>
    <t xml:space="preserve">Others</t>
  </si>
  <si>
    <t xml:space="preserve">Asetek, Submer, GRC, Iceotope, Stulz, Rittal, Carrier, Johnson Controls (Silent-Aire), Daikin, Danfoss, Munters, Airedale, Delta, and Taiwanese cold-plate makers</t>
  </si>
  <si>
    <t xml:space="preserve">Indian players</t>
  </si>
  <si>
    <t xml:space="preserve">Mostly integrators and assemblers: Blue Star, Voltas and Kirloskar (chillers), plus local system integrators. Global vendors manufacture locally (Section 9.5).</t>
  </si>
  <si>
    <t xml:space="preserve">R3-T11  Water–energy trade-off by heat-rejection type</t>
  </si>
  <si>
    <t xml:space="preserve">Source: Report 3 (full research report) · 7. Water–energy trade-offs › 7.1 The core trade</t>
  </si>
  <si>
    <t xml:space="preserve">Note: Evaporating 1 kg of water absorbs ~2,400 kJ, so towers can reject heat close to the wet-bulb temperature. Dry systems can only approach the dry-bulb temperature, which is often 8–15 K higher in hot-dry climates.</t>
  </si>
  <si>
    <t xml:space="preserve">Used in atlas: Ch 3 heat-rejection table; simulator WUE functions; Ch 12 power-vs-water chart.</t>
  </si>
  <si>
    <t xml:space="preserve">Used to derive: Water vs energy trade-off per design.</t>
  </si>
  <si>
    <t xml:space="preserve">Heat rejection</t>
  </si>
  <si>
    <t xml:space="preserve">On-site WUE (L/kWh IT)</t>
  </si>
  <si>
    <t xml:space="preserve">Energy effect</t>
  </si>
  <si>
    <t xml:space="preserve">Best climate</t>
  </si>
  <si>
    <t xml:space="preserve">Open cooling tower + water-cooled chiller</t>
  </si>
  <si>
    <t xml:space="preserve">~1.4–2.5 typical; 2–4 for traditional evaporative systems</t>
  </si>
  <si>
    <t xml:space="preserve">Lowest chiller energy; evaporative cooling "reduces the peak cooling power demand by 25–35% in the summer compared with dry cooling"</t>
  </si>
  <si>
    <t xml:space="preserve">Hot-dry with ample (ideally non-potable) water</t>
  </si>
  <si>
    <t xml:space="preserve">Direct / indirect evaporative air cooling</t>
  </si>
  <si>
    <t xml:space="preserve">~0.2–1.5 (seasonal)</t>
  </si>
  <si>
    <t xml:space="preserve">Very low energy when humidity is low</t>
  </si>
  <si>
    <t xml:space="preserve">Hot-dry (Delhi and Hyderabad pre-monsoon, Bengaluru dry season)</t>
  </si>
  <si>
    <t xml:space="preserve">Adiabatic dry cooler</t>
  </si>
  <si>
    <t xml:space="preserve">~0.1–0.5</t>
  </si>
  <si>
    <t xml:space="preserve">Wets coils only on peak days</t>
  </si>
  <si>
    <t xml:space="preserve">Most climates; India's best compromise</t>
  </si>
  <si>
    <t xml:space="preserve">Hybrid / thermosyphon</t>
  </si>
  <si>
    <t xml:space="preserve">~0.5–0.7 (NREL: 1.27 to 0.70)</t>
  </si>
  <si>
    <t xml:space="preserve">Near-evaporative energy, about half the water</t>
  </si>
  <si>
    <t xml:space="preserve">Mixed</t>
  </si>
  <si>
    <t xml:space="preserve">Dry cooler + air-cooled chiller</t>
  </si>
  <si>
    <t xml:space="preserve">~0</t>
  </si>
  <si>
    <t xml:space="preserve">Cooling energy 5–15% higher than evaporative (more in hot climates); air-cooled chillers can use 2–3× the electricity of evaporative-cooled ones at peak</t>
  </si>
  <si>
    <t xml:space="preserve">Water-scarce sites</t>
  </si>
  <si>
    <t xml:space="preserve">DLC at W40–W45 + dry cooler</t>
  </si>
  <si>
    <t xml:space="preserve">~0 to &lt;0.1</t>
  </si>
  <si>
    <t xml:space="preserve">Small penalty, since 45°C water can be dry-cooled even at 35–40°C ambient</t>
  </si>
  <si>
    <t xml:space="preserve">Almost anywhere, including India</t>
  </si>
  <si>
    <t xml:space="preserve">Seawater once-through</t>
  </si>
  <si>
    <t xml:space="preserve">~0 freshwater</t>
  </si>
  <si>
    <t xml:space="preserve">Pumping energy only; marine permitting and thermal discharge limits</t>
  </si>
  <si>
    <t xml:space="preserve">Coastal</t>
  </si>
  <si>
    <t xml:space="preserve">R3-T12  Cooling capex by approach (indicative)</t>
  </si>
  <si>
    <t xml:space="preserve">Source: Report 3 (full research report) · 8. Cost › 8.1 Capex by cooling approach (indicative, 2025–26)</t>
  </si>
  <si>
    <t xml:space="preserve">Data basis: Proxy / estimate</t>
  </si>
  <si>
    <t xml:space="preserve">Used in atlas: Simulator cooling capex adder (₹0–3 cr/MW).</t>
  </si>
  <si>
    <t xml:space="preserve">Used to derive: Capex premium for liquid cooling.</t>
  </si>
  <si>
    <t xml:space="preserve">Cooling-system capex</t>
  </si>
  <si>
    <t xml:space="preserve">Traditional air (CRAH + chillers + containment)</t>
  </si>
  <si>
    <t xml:space="preserve">~$1.5–2 million per MW of IT</t>
  </si>
  <si>
    <t xml:space="preserve">Cannot serve 100 kW+ racks</t>
  </si>
  <si>
    <t xml:space="preserve">Advanced air with RDHx</t>
  </si>
  <si>
    <t xml:space="preserve">~$1,800–3,200 per kW</t>
  </si>
  <si>
    <t xml:space="preserve">Bridge for 30–60 kW racks</t>
  </si>
  <si>
    <t xml:space="preserve">Single-phase DLC (CDU, manifolds, piping, plus heat rejection)</t>
  </si>
  <si>
    <t xml:space="preserve">~$3–4 million per MW all-in cooling (some sources: $3,500–5,000 per kW). The CDU, manifold and cold-plate subset is ~$300–650 per kW.</t>
  </si>
  <si>
    <t xml:space="preserve">CDUs ~$75,000–150,000 per 500 kW; cold plates and manifolds ~$5,000–10,000 per server; ~$50,000 per NVL72 rack</t>
  </si>
  <si>
    <t xml:space="preserve">~$1 million per MW for tanks and fluid systems (versus ~$650,000 for comparable DLC hardware); $2.5–3.5 million per MW all-in (vendor-adjacent estimates)</t>
  </si>
  <si>
    <t xml:space="preserve">Some vendor-sponsored TCO studies claim lower total capex than air at high density; treat with caution</t>
  </si>
  <si>
    <t xml:space="preserve">Retrofit an air hall to liquid</t>
  </si>
  <si>
    <t xml:space="preserve">~$2–3 million per MW of cooling capacity</t>
  </si>
  <si>
    <t xml:space="preserve">12–18-month lead times for raised-floor facilities</t>
  </si>
  <si>
    <t xml:space="preserve">R3-T13  Indian city climates and free-cooling outlook</t>
  </si>
  <si>
    <t xml:space="preserve">Source: Report 3 (full research report) · 9. The Indian perspective › 9.1 Climate challenge</t>
  </si>
  <si>
    <t xml:space="preserve">Note: India's problem is heat plus humidity. High wet-bulb temperatures limit evaporative cooling, high dry-bulb temperatures limit dry coolers, and dust, pollution and monsoon humidity largely rule out direct fresh-air cooling.</t>
  </si>
  <si>
    <t xml:space="preserve">Used in atlas: Ch 3 city cards; simulator design temperatures; Ch 4 day model.</t>
  </si>
  <si>
    <t xml:space="preserve">Used to derive: Free-cooling potential and PUE by city.</t>
  </si>
  <si>
    <t xml:space="preserve">City</t>
  </si>
  <si>
    <t xml:space="preserve">Climate character</t>
  </si>
  <si>
    <t xml:space="preserve">Free-cooling outlook</t>
  </si>
  <si>
    <t xml:space="preserve">Indicative peak wet-bulb*</t>
  </si>
  <si>
    <t xml:space="preserve">Hot-humid coastal, monsoon</t>
  </si>
  <si>
    <t xml:space="preserve">Poor for air-side; one estimate gives ~28% economiser hours at conventional setpoints</t>
  </si>
  <si>
    <t xml:space="preserve">~28°C design; monsoon peaks reportedly 30–32°C</t>
  </si>
  <si>
    <t xml:space="preserve">Hot-humid coastal, severe water stress</t>
  </si>
  <si>
    <t xml:space="preserve">Poor for air-side; good for W40–W45 dry cooling</t>
  </si>
  <si>
    <t xml:space="preserve">~28–29°C</t>
  </si>
  <si>
    <t xml:space="preserve">Composite: very hot-dry summer (&gt;45°C dry-bulb), humid monsoon, cool winter</t>
  </si>
  <si>
    <t xml:space="preserve">Good winter economisation (Dec wet-bulb 3–8°C); summer is the worst case for dry coolers</t>
  </si>
  <si>
    <t xml:space="preserve">~29°C</t>
  </si>
  <si>
    <t xml:space="preserve">Moderate, elevated (~900 m)</t>
  </si>
  <si>
    <t xml:space="preserve">Best in India; one estimate gives ~71% free-cooling hours at a 35°C dry-cooler setpoint</t>
  </si>
  <si>
    <t xml:space="preserve">~23°C</t>
  </si>
  <si>
    <t xml:space="preserve">Hot semi-arid</t>
  </si>
  <si>
    <t xml:space="preserve">Good for indirect evaporative cooling much of the year; hot April–May</t>
  </si>
  <si>
    <t xml:space="preserve">~25–26°C</t>
  </si>
  <si>
    <t xml:space="preserve">Visakhapatnam</t>
  </si>
  <si>
    <t xml:space="preserve">Hot-humid coastal</t>
  </si>
  <si>
    <t xml:space="preserve">Seawater heat rejection possible; water-stress controversy</t>
  </si>
  <si>
    <t xml:space="preserve">~28°C</t>
  </si>
  <si>
    <t xml:space="preserve">R3-T14  Indian operators: liquid-cooling deployments</t>
  </si>
  <si>
    <t xml:space="preserve">Source: Report 3 (full research report) · 9. The Indian perspective › 9.2 Indian operators and liquid cooling deployments</t>
  </si>
  <si>
    <t xml:space="preserve">Used in atlas: Ch 3 "Indian deployments" list.</t>
  </si>
  <si>
    <t xml:space="preserve">Used to derive: State of liquid cooling in India.</t>
  </si>
  <si>
    <t xml:space="preserve">Operator</t>
  </si>
  <si>
    <t xml:space="preserve">Liquid cooling status (sourced)</t>
  </si>
  <si>
    <t xml:space="preserve">Sify</t>
  </si>
  <si>
    <t xml:space="preserve">First in India to be certified for liquid cooling under Nvidia's DGX-Ready programme (Rabale, Navi Mumbai; Sept 2024), specified "to support 130 KW/rack." Chennai 02 (Siruseri) and Noida 02 certified for "up to 200 KW/rack" (May 2025).</t>
  </si>
  <si>
    <t xml:space="preserve">Yotta</t>
  </si>
  <si>
    <t xml:space="preserve">NM1 (Navi Mumbai) hosted ~16,000 H100/GH200 GPUs by mid-2025 (secondary source). Yotta says RDHx supports "50–60 kW" and DLC "up to 80 kW per rack." It has announced plans for 40,000 Vera Rubin GPUs at D4 Greater Noida (120 MW) and GB300 at NM2. These are plans, not commissioned capacity.</t>
  </si>
  <si>
    <t xml:space="preserve">CtrlS</t>
  </si>
  <si>
    <t xml:space="preserve">Marketing claims of AI racks up to 70 kW (RDHx, DLC, immersion) and immersion "up to 250kW per rack." Plans for more than 4 GW of AI-ready capacity. No independently verified rack-level DLC deployment details were found.</t>
  </si>
  <si>
    <t xml:space="preserve">NTT DATA India</t>
  </si>
  <si>
    <t xml:space="preserve">NAV1 Mahape: 4.8 MW of immersion plus direct contact liquid cooling (2023).</t>
  </si>
  <si>
    <t xml:space="preserve">Nxtra (Airtel)</t>
  </si>
  <si>
    <t xml:space="preserve">~300 MW capacity (March 2026); reported "high-density racks of up to 130 kW using air and liquid cooling" (secondary).</t>
  </si>
  <si>
    <t xml:space="preserve">STT GDC India</t>
  </si>
  <si>
    <t xml:space="preserve">Expanding AI-ready capacity; no published liquid-cooling rack density found.</t>
  </si>
  <si>
    <t xml:space="preserve">Google / AdaniConneX / Nxtra (Vizag)</t>
  </si>
  <si>
    <t xml:space="preserve">1 GW AI hub; Google says air-cooled (dry) heat rejection; under legal and community challenge over water.</t>
  </si>
  <si>
    <t xml:space="preserve">R3-T15  Recommended cooling for India by use case</t>
  </si>
  <si>
    <t xml:space="preserve">Source: Report 3 (full research report) · 9. The Indian perspective › 9.6 Recommendations for India: what to use where</t>
  </si>
  <si>
    <t xml:space="preserve">Used in atlas: Ch 3 "What to use where in India" table.</t>
  </si>
  <si>
    <t xml:space="preserve">Used to derive: Recommended design per use case and city.</t>
  </si>
  <si>
    <t xml:space="preserve">Use case</t>
  </si>
  <si>
    <t xml:space="preserve">Recommended cooling</t>
  </si>
  <si>
    <t xml:space="preserve">Target PUE / WUE</t>
  </si>
  <si>
    <t xml:space="preserve">AI training / inference (≥40 kW per rack), any city</t>
  </si>
  <si>
    <t xml:space="preserve">Single-phase DLC (W32–W45), with RDHx or fan-wall for the residual 10–25%</t>
  </si>
  <si>
    <t xml:space="preserve">Dry coolers with adiabatic assist on peak days; magnetic-bearing chillers only for trim and resilience</t>
  </si>
  <si>
    <t xml:space="preserve">PUE 1.15–1.25; WUE &lt;0.2</t>
  </si>
  <si>
    <t xml:space="preserve">AI halls in coastal Mumbai, Chennai, Vizag (hyperscale)</t>
  </si>
  <si>
    <t xml:space="preserve">DLC as above</t>
  </si>
  <si>
    <t xml:space="preserve">Seawater or treated-sewage-water heat rejection where permitted; otherwise adiabatic dry coolers</t>
  </si>
  <si>
    <t xml:space="preserve">PUE ~1.2; freshwater WUE ~0</t>
  </si>
  <si>
    <t xml:space="preserve">Cloud / enterprise (8–20 kW per rack), Bengaluru, Hyderabad, Pune</t>
  </si>
  <si>
    <t xml:space="preserve">Hot aisle containment, fan walls or CRAH</t>
  </si>
  <si>
    <t xml:space="preserve">Indirect evaporative coolers or air-cooled free-cooling chillers; recycled water if evaporative</t>
  </si>
  <si>
    <t xml:space="preserve">PUE 1.3–1.4; WUE 0.2–0.8</t>
  </si>
  <si>
    <t xml:space="preserve">Cloud / enterprise in Mumbai and Chennai</t>
  </si>
  <si>
    <t xml:space="preserve">Hot aisle containment, CRAH, higher chilled-water setpoints (18–20°C)</t>
  </si>
  <si>
    <t xml:space="preserve">Water-cooled magnetic-bearing chillers on recycled water, or air-cooled free-cooling chillers in water-stressed zones</t>
  </si>
  <si>
    <t xml:space="preserve">PUE 1.35–1.5</t>
  </si>
  <si>
    <t xml:space="preserve">Delhi NCR</t>
  </si>
  <si>
    <t xml:space="preserve">Hot aisle containment plus economiser for winter; DLC for AI</t>
  </si>
  <si>
    <t xml:space="preserve">Hybrid: dry/adiabatic in winter and monsoon, evaporative trim in May–June using recycled water</t>
  </si>
  <si>
    <t xml:space="preserve">PUE 1.25–1.4</t>
  </si>
  <si>
    <t xml:space="preserve">Edge / telecom / dusty sites</t>
  </si>
  <si>
    <t xml:space="preserve">Sealed DX (R-32 / low-GWP) or single-phase immersion micro-pods</t>
  </si>
  <si>
    <t xml:space="preserve">Dry</t>
  </si>
  <si>
    <t xml:space="preserve">Retrofits of existing Indian air halls for GPUs</t>
  </si>
  <si>
    <t xml:space="preserve">L2A CDUs (AWS IRHX / Meta AALC style) or active RDHx up to ~50–70 kW; full L2L DLC needs facility water risers</t>
  </si>
  <si>
    <t xml:space="preserve">Existing chilled water</t>
  </si>
  <si>
    <t xml:space="preserve">8 tables. Source line under each title; "Note" gives the context sentence from the report.</t>
  </si>
  <si>
    <t xml:space="preserve">R4-T01  Assumptions for the three Bengaluru cases</t>
  </si>
  <si>
    <t xml:space="preserve">Source: Report 4 (full research report) · 1. Assumptions</t>
  </si>
  <si>
    <t xml:space="preserve">Used in atlas: Ch 4 campus calculator presets; simulator defaults.</t>
  </si>
  <si>
    <t xml:space="preserve">Used to derive: Input assumptions for the three Bengaluru cases.</t>
  </si>
  <si>
    <t xml:space="preserve">Parameter</t>
  </si>
  <si>
    <t xml:space="preserve">Case A: Colo/enterprise</t>
  </si>
  <si>
    <t xml:space="preserve">Case B: Hyperscale/cloud</t>
  </si>
  <si>
    <t xml:space="preserve">Case C: AI campus</t>
  </si>
  <si>
    <t xml:space="preserve">Design IT load</t>
  </si>
  <si>
    <t xml:space="preserve">20 MW</t>
  </si>
  <si>
    <t xml:space="preserve">50 MW</t>
  </si>
  <si>
    <t xml:space="preserve">100 MW</t>
  </si>
  <si>
    <t xml:space="preserve">Water-cooled chillers + cooling towers (with water-side economiser)</t>
  </si>
  <si>
    <t xml:space="preserve">B1: chillers + cooling towers; B2: adiabatic/hybrid dry coolers</t>
  </si>
  <si>
    <t xml:space="preserve">DLC (~80% to liquid) + dry coolers with adiabatic assist</t>
  </si>
  <si>
    <t xml:space="preserve">Annual PUE (central / range)</t>
  </si>
  <si>
    <t xml:space="preserve">1.45 / 1.30–1.60</t>
  </si>
  <si>
    <t xml:space="preserve">1.35 / 1.25–1.45</t>
  </si>
  <si>
    <t xml:space="preserve">1.20 / 1.15–1.25</t>
  </si>
  <si>
    <t xml:space="preserve">Average utilisation of design IT</t>
  </si>
  <si>
    <t xml:space="preserve">70% / 60–85%</t>
  </si>
  <si>
    <t xml:space="preserve">75% / 65–85%</t>
  </si>
  <si>
    <t xml:space="preserve">80% / 70–90%</t>
  </si>
  <si>
    <t xml:space="preserve">Design-day PUE (for contract demand)</t>
  </si>
  <si>
    <t xml:space="preserve">1.8 / 1.5–2.0</t>
  </si>
  <si>
    <t xml:space="preserve">B1: 1.6; B2: 0.4</t>
  </si>
  <si>
    <t xml:space="preserve">Dry 0.05; adiabatic 0.2; (evaporative alt. 1.6)</t>
  </si>
  <si>
    <t xml:space="preserve">Staff on site</t>
  </si>
  <si>
    <t xml:space="preserve">~150</t>
  </si>
  <si>
    <t xml:space="preserve">~300</t>
  </si>
  <si>
    <t xml:space="preserve">Grid water intensity</t>
  </si>
  <si>
    <t xml:space="preserve">1.5 L/kWh (range 1.0–2.5)</t>
  </si>
  <si>
    <t xml:space="preserve">same</t>
  </si>
  <si>
    <t xml:space="preserve">R4-T02  Power calculations by case</t>
  </si>
  <si>
    <t xml:space="preserve">Source: Report 4 (full research report) · 2. Power calculations</t>
  </si>
  <si>
    <t xml:space="preserve">Note: Contract demand (MVA) ≈ Design IT × design-day PUE ÷ power factor (0.95), plus ~3–5% for offices and losses</t>
  </si>
  <si>
    <t xml:space="preserve">Data basis: Calculated (model output)</t>
  </si>
  <si>
    <t xml:space="preserve">Used in atlas: Ch 4 calculator outputs (MU, MVA, homes, % of state demand); Key numbers (841 MU, 140 MVA).</t>
  </si>
  <si>
    <t xml:space="preserve">Used to derive: Energy, contract demand and share of Karnataka demand per case.</t>
  </si>
  <si>
    <t xml:space="preserve">Case A (20 MW)</t>
  </si>
  <si>
    <t xml:space="preserve">Case B (50 MW)</t>
  </si>
  <si>
    <t xml:space="preserve">Case C (100 MW)</t>
  </si>
  <si>
    <t xml:space="preserve">IT energy</t>
  </si>
  <si>
    <t xml:space="preserve">20×0.70×8,760 = 122.6 GWh</t>
  </si>
  <si>
    <t xml:space="preserve">50×0.75×8,760 = 328.5 GWh</t>
  </si>
  <si>
    <t xml:space="preserve">100×0.80×8,760 = 700.8 GWh</t>
  </si>
  <si>
    <t xml:space="preserve">Facility energy (central)</t>
  </si>
  <si>
    <t xml:space="preserve">122.6×1.45 = 177.8 MU</t>
  </si>
  <si>
    <t xml:space="preserve">328.5×1.35 = 443.5 MU</t>
  </si>
  <si>
    <t xml:space="preserve">700.8×1.20 = 841.0 MU</t>
  </si>
  <si>
    <t xml:space="preserve">Sensitivity range</t>
  </si>
  <si>
    <t xml:space="preserve">136.7–238.3 MU</t>
  </si>
  <si>
    <t xml:space="preserve">355.9–539.8 MU</t>
  </si>
  <si>
    <t xml:space="preserve">705.2–985.5 MU</t>
  </si>
  <si>
    <t xml:space="preserve">Average draw</t>
  </si>
  <si>
    <t xml:space="preserve">20.3 MW</t>
  </si>
  <si>
    <t xml:space="preserve">50.6 MW</t>
  </si>
  <si>
    <t xml:space="preserve">96.0 MW</t>
  </si>
  <si>
    <t xml:space="preserve">Design peak</t>
  </si>
  <si>
    <t xml:space="preserve">32 MW</t>
  </si>
  <si>
    <t xml:space="preserve">75 MW</t>
  </si>
  <si>
    <t xml:space="preserve">130 MW</t>
  </si>
  <si>
    <t xml:space="preserve">Contract demand</t>
  </si>
  <si>
    <t xml:space="preserve">~34–35 MVA</t>
  </si>
  <si>
    <t xml:space="preserve">~80 MVA</t>
  </si>
  <si>
    <t xml:space="preserve">~140 MVA</t>
  </si>
  <si>
    <t xml:space="preserve">Supply voltage (KERC norms)</t>
  </si>
  <si>
    <t xml:space="preserve">110 kV</t>
  </si>
  <si>
    <t xml:space="preserve">220 kV</t>
  </si>
  <si>
    <t xml:space="preserve">220 kV, dedicated substation, dual feed</t>
  </si>
  <si>
    <t xml:space="preserve">Installed transformer capacity (2N)</t>
  </si>
  <si>
    <t xml:space="preserve">~70 MVA</t>
  </si>
  <si>
    <t xml:space="preserve">~160 MVA</t>
  </si>
  <si>
    <t xml:space="preserve">~280 MVA</t>
  </si>
  <si>
    <t xml:space="preserve">Bengaluru household equivalent (1,800 kWh/yr)</t>
  </si>
  <si>
    <t xml:space="preserve">~98,800</t>
  </si>
  <si>
    <t xml:space="preserve">~246,400</t>
  </si>
  <si>
    <t xml:space="preserve">~467,200</t>
  </si>
  <si>
    <t xml:space="preserve">Share of Karnataka energy (92,550 MU, FY25)</t>
  </si>
  <si>
    <t xml:space="preserve">0.19%</t>
  </si>
  <si>
    <t xml:space="preserve">0.48%</t>
  </si>
  <si>
    <t xml:space="preserve">0.91%</t>
  </si>
  <si>
    <t xml:space="preserve">Share of BESCOM sales (~37,000 MU, est.)</t>
  </si>
  <si>
    <t xml:space="preserve">1.2%</t>
  </si>
  <si>
    <t xml:space="preserve">2.3%</t>
  </si>
  <si>
    <t xml:space="preserve">Share of state household use (16,089 MU)</t>
  </si>
  <si>
    <t xml:space="preserve">1.1%</t>
  </si>
  <si>
    <t xml:space="preserve">2.8%</t>
  </si>
  <si>
    <t xml:space="preserve">5.2%</t>
  </si>
  <si>
    <t xml:space="preserve">Share of 2026 state peak (20,094 MW)</t>
  </si>
  <si>
    <t xml:space="preserve">0.17%</t>
  </si>
  <si>
    <t xml:space="preserve">0.40%</t>
  </si>
  <si>
    <t xml:space="preserve">0.67%</t>
  </si>
  <si>
    <t xml:space="preserve">Energy bill at HT-2a (Rs 6.70/kWh + Rs 365/kVA/month)</t>
  </si>
  <si>
    <t xml:space="preserve">~Rs 134 cr/yr</t>
  </si>
  <si>
    <t xml:space="preserve">~Rs 332 cr/yr</t>
  </si>
  <si>
    <t xml:space="preserve">~Rs 625 cr/yr</t>
  </si>
  <si>
    <t xml:space="preserve">R4-T03  On-site water by case</t>
  </si>
  <si>
    <t xml:space="preserve">Source: Report 4 (full research report) · 3. Water calculations › 3.2 On-site water by case</t>
  </si>
  <si>
    <t xml:space="preserve">Note: Formula: annual on-site water (L) = IT energy (kWh) × WUE + staff × 45 L × 365 + landscaping. MLD = annual ML ÷ 365. Population equivalent = MLD × 10⁶ ÷ 135.</t>
  </si>
  <si>
    <t xml:space="preserve">Used in atlas: Ch 4 water bars and "Water you can picture" (Ch 6).</t>
  </si>
  <si>
    <t xml:space="preserve">Used to derive: On-site MLD and people-equivalent per case.</t>
  </si>
  <si>
    <t xml:space="preserve">Case / cooling</t>
  </si>
  <si>
    <t xml:space="preserve">Cooling water</t>
  </si>
  <si>
    <t xml:space="preserve">Domestic + landscaping</t>
  </si>
  <si>
    <t xml:space="preserve">Total on-site</t>
  </si>
  <si>
    <t xml:space="preserve">Range</t>
  </si>
  <si>
    <t xml:space="preserve">People at 135 LPCD</t>
  </si>
  <si>
    <t xml:space="preserve">A (WUE 1.8)</t>
  </si>
  <si>
    <t xml:space="preserve">122.6 GWh×1.8 = 220.8 ML/yr = 0.605 MLD</t>
  </si>
  <si>
    <t xml:space="preserve">~0.02 MLD</t>
  </si>
  <si>
    <t xml:space="preserve">~0.62 MLD (226 ML/yr)</t>
  </si>
  <si>
    <t xml:space="preserve">0.43–0.82 MLD</t>
  </si>
  <si>
    <t xml:space="preserve">~4,600</t>
  </si>
  <si>
    <t xml:space="preserve">B1 evaporative (1.6)</t>
  </si>
  <si>
    <t xml:space="preserve">525.6 ML/yr = 1.44 MLD</t>
  </si>
  <si>
    <t xml:space="preserve">~0.03 MLD</t>
  </si>
  <si>
    <t xml:space="preserve">~1.47 MLD</t>
  </si>
  <si>
    <t xml:space="preserve">1.1–1.9 MLD</t>
  </si>
  <si>
    <t xml:space="preserve">~10,900</t>
  </si>
  <si>
    <t xml:space="preserve">B2 adiabatic (0.4)</t>
  </si>
  <si>
    <t xml:space="preserve">131.4 ML/yr = 0.36 MLD</t>
  </si>
  <si>
    <t xml:space="preserve">~0.39 MLD</t>
  </si>
  <si>
    <t xml:space="preserve">0.2–0.6 MLD</t>
  </si>
  <si>
    <t xml:space="preserve">~2,900</t>
  </si>
  <si>
    <t xml:space="preserve">C dry/closed-loop (0.05)</t>
  </si>
  <si>
    <t xml:space="preserve">35.0 ML/yr = 0.096 MLD</t>
  </si>
  <si>
    <t xml:space="preserve">~0.13 MLD</t>
  </si>
  <si>
    <t xml:space="preserve">0.06–0.2 MLD</t>
  </si>
  <si>
    <t xml:space="preserve">~930</t>
  </si>
  <si>
    <t xml:space="preserve">C adiabatic assist (0.2)</t>
  </si>
  <si>
    <t xml:space="preserve">140.2 ML/yr = 0.38 MLD</t>
  </si>
  <si>
    <t xml:space="preserve">~0.41 MLD</t>
  </si>
  <si>
    <t xml:space="preserve">0.3–0.6 MLD</t>
  </si>
  <si>
    <t xml:space="preserve">~3,050</t>
  </si>
  <si>
    <t xml:space="preserve">C if built with cooling towers (1.6)</t>
  </si>
  <si>
    <t xml:space="preserve">1,121 ML/yr = 3.07 MLD</t>
  </si>
  <si>
    <t xml:space="preserve">~3.10 MLD</t>
  </si>
  <si>
    <t xml:space="preserve">2.6–3.6 MLD</t>
  </si>
  <si>
    <t xml:space="preserve">~23,000</t>
  </si>
  <si>
    <t xml:space="preserve">R4-T04  Indirect water embedded in grid electricity</t>
  </si>
  <si>
    <t xml:space="preserve">Source: Report 4 (full research report) · 3. Water calculations › 3.3 Indirect water embedded in grid electricity</t>
  </si>
  <si>
    <t xml:space="preserve">Note: Using Raichur's reported actual of ~4.9 m³/MWh would push this towards 2.5. Raichur sits on the Krishna and has been shut during water shortages.</t>
  </si>
  <si>
    <t xml:space="preserve">Used in atlas: Ch 4 power-station water bar; simulator grid water (KA 1.5 L/kWh).</t>
  </si>
  <si>
    <t xml:space="preserve">Used to derive: Indirect water per case.</t>
  </si>
  <si>
    <t xml:space="preserve">Case A</t>
  </si>
  <si>
    <t xml:space="preserve">Case B</t>
  </si>
  <si>
    <t xml:space="preserve">Case C</t>
  </si>
  <si>
    <t xml:space="preserve">Indirect water (1.5 L/kWh)</t>
  </si>
  <si>
    <t xml:space="preserve">177.8 GWh → 267 ML/yr = 0.73 MLD</t>
  </si>
  <si>
    <t xml:space="preserve">443.5 GWh → 665 ML/yr = 1.82 MLD</t>
  </si>
  <si>
    <t xml:space="preserve">841 GWh → 1,262 ML/yr = 3.46 MLD</t>
  </si>
  <si>
    <t xml:space="preserve">Total footprint (on-site + indirect)</t>
  </si>
  <si>
    <t xml:space="preserve">~1.35 MLD</t>
  </si>
  <si>
    <t xml:space="preserve">B1 ~3.3 / B2 ~2.2 MLD</t>
  </si>
  <si>
    <t xml:space="preserve">dry ~3.6 / adiabatic ~3.9 MLD</t>
  </si>
  <si>
    <t xml:space="preserve">With 100% solar/wind supply</t>
  </si>
  <si>
    <t xml:space="preserve">~0.62 MLD</t>
  </si>
  <si>
    <t xml:space="preserve">B1 1.47 / B2 0.39</t>
  </si>
  <si>
    <t xml:space="preserve">0.13–0.41</t>
  </si>
  <si>
    <t xml:space="preserve">R4-T05  Comparison with other Bengaluru and Karnataka water users</t>
  </si>
  <si>
    <t xml:space="preserve">Source: Report 4 (full research report) · 4. Comparison with other Bengaluru and Karnataka users</t>
  </si>
  <si>
    <t xml:space="preserve">Used in atlas: Ch 4 "Compared with other users" chart.</t>
  </si>
  <si>
    <t xml:space="preserve">Used to derive: Data-centre water in context of other users.</t>
  </si>
  <si>
    <t xml:space="preserve">User (illustrative scale)</t>
  </si>
  <si>
    <t xml:space="preserve">Water (MLD)</t>
  </si>
  <si>
    <t xml:space="preserve">Per-unit norm</t>
  </si>
  <si>
    <t xml:space="preserve">Power (MU/yr)</t>
  </si>
  <si>
    <t xml:space="preserve">Source / status</t>
  </si>
  <si>
    <t xml:space="preserve">Case A, 20 MW colo</t>
  </si>
  <si>
    <t xml:space="preserve">1.8 L/kWh IT</t>
  </si>
  <si>
    <t xml:space="preserve">This model</t>
  </si>
  <si>
    <t xml:space="preserve">Case B1, 50 MW evaporative</t>
  </si>
  <si>
    <t xml:space="preserve">1.6 L/kWh IT</t>
  </si>
  <si>
    <t xml:space="preserve">Case C, 100 MW DLC</t>
  </si>
  <si>
    <t xml:space="preserve">0.05–0.2 L/kWh IT</t>
  </si>
  <si>
    <t xml:space="preserve">IT campus, 10 million sq ft (Manyata/ITPL scale, ~100,000 staff)</t>
  </si>
  <si>
    <t xml:space="preserve">~5.5–6.5 (4.5 domestic at 45 LPCD + HVAC towers)</t>
  </si>
  <si>
    <t xml:space="preserve">45 LPCD/employee</t>
  </si>
  <si>
    <t xml:space="preserve">~185 (≈200 kWh/m²/yr)</t>
  </si>
  <si>
    <t xml:space="preserve">Estimate from norms</t>
  </si>
  <si>
    <t xml:space="preserve">Apartment complex, 1,000 flats</t>
  </si>
  <si>
    <t xml:space="preserve">~0.61</t>
  </si>
  <si>
    <t xml:space="preserve">135 LPCD × 4.5 persons</t>
  </si>
  <si>
    <t xml:space="preserve">~18</t>
  </si>
  <si>
    <t xml:space="preserve">Norm-based</t>
  </si>
  <si>
    <t xml:space="preserve">500-bed hospital</t>
  </si>
  <si>
    <t xml:space="preserve">~0.23</t>
  </si>
  <si>
    <t xml:space="preserve">~450 L/bed/day (NBC)</t>
  </si>
  <si>
    <t xml:space="preserve">~15–25</t>
  </si>
  <si>
    <t xml:space="preserve">Norm-based estimate</t>
  </si>
  <si>
    <t xml:space="preserve">300-room luxury hotel</t>
  </si>
  <si>
    <t xml:space="preserve">~0.3</t>
  </si>
  <si>
    <t xml:space="preserve">~1,000 L/room/day</t>
  </si>
  <si>
    <t xml:space="preserve">~10–15</t>
  </si>
  <si>
    <t xml:space="preserve">Industry-typical estimate</t>
  </si>
  <si>
    <t xml:space="preserve">Large mall, ~1 million sq ft</t>
  </si>
  <si>
    <t xml:space="preserve">~0.3–0.5</t>
  </si>
  <si>
    <t xml:space="preserve">~25–35</t>
  </si>
  <si>
    <t xml:space="preserve">Brewery, 2 million hl/yr</t>
  </si>
  <si>
    <t xml:space="preserve">~1.7</t>
  </si>
  <si>
    <t xml:space="preserve">UBL: 2.93 kL/kL (FY24), 3.10 kL/kL (FY25)</t>
  </si>
  <si>
    <t xml:space="preserve">~15–20</t>
  </si>
  <si>
    <t xml:space="preserve">UBL reports; plant size illustrative</t>
  </si>
  <si>
    <t xml:space="preserve">Soft-drink bottler, 1 million kL/yr</t>
  </si>
  <si>
    <t xml:space="preserve">~4–6</t>
  </si>
  <si>
    <t xml:space="preserve">~1.5–2.2 L/L industry-typical</t>
  </si>
  <si>
    <t xml:space="preserve">~20–30</t>
  </si>
  <si>
    <t xml:space="preserve">Toyota Kirloskar, Bidadi (capacity ~342,000 vehicles)</t>
  </si>
  <si>
    <t xml:space="preserve">~4.7 total (1.73 million m³/yr), ~89–90% recycled or rainwater</t>
  </si>
  <si>
    <t xml:space="preserve">2.94 m³/vehicle (2016-17)</t>
  </si>
  <si>
    <t xml:space="preserve">100% renewable since FY2021</t>
  </si>
  <si>
    <t xml:space="preserve">TKM disclosures</t>
  </si>
  <si>
    <t xml:space="preserve">BEL (Bengaluru)</t>
  </si>
  <si>
    <t xml:space="preserve">~2 MLD of BWSSB treated water</t>
  </si>
  <si>
    <t xml:space="preserve">Deccan Herald via BWSSB</t>
  </si>
  <si>
    <t xml:space="preserve">18-hole golf course (dry season)</t>
  </si>
  <si>
    <t xml:space="preserve">~1.5–2.5</t>
  </si>
  <si>
    <t xml:space="preserve">~5 mm/day on ~40–50 ha</t>
  </si>
  <si>
    <t xml:space="preserve">&lt;5</t>
  </si>
  <si>
    <t xml:space="preserve">Garment factory (cut-make-trim), 2,000 workers</t>
  </si>
  <si>
    <t xml:space="preserve">~0.1</t>
  </si>
  <si>
    <t xml:space="preserve">Domestic-type use; wet processing 100–200 L/kg elsewhere</t>
  </si>
  <si>
    <t xml:space="preserve">~5–10</t>
  </si>
  <si>
    <t xml:space="preserve">BMRCL Namma Metro (96 km)</t>
  </si>
  <si>
    <t xml:space="preserve">Small (stations, depot washing)</t>
  </si>
  <si>
    <t xml:space="preserve">~65 lakh units/month in 2018-19 (~78 MU/yr); now plausibly ~200 MU; Blue Line alone projected at 152 GWh</t>
  </si>
  <si>
    <t xml:space="preserve">BMRCL (2019), IISc–BMRCL study</t>
  </si>
  <si>
    <t xml:space="preserve">JSW Steel Vijayanagar (12–17.5 MTPA)</t>
  </si>
  <si>
    <t xml:space="preserve">330 MLD allocated (Tungabhadra 32 MGD + Almatti 40 MGD)</t>
  </si>
  <si>
    <t xml:space="preserve">~10 m³/t on allocation basis</t>
  </si>
  <si>
    <t xml:space="preserve">Captive ~860 MW plants</t>
  </si>
  <si>
    <t xml:space="preserve">JSW environmental clearance filing</t>
  </si>
  <si>
    <t xml:space="preserve">Raichur TPS (1,720 MW)</t>
  </si>
  <si>
    <t xml:space="preserve">~110–150 at 3.5–4.9 m³/MWh</t>
  </si>
  <si>
    <t xml:space="preserve">MoEFCC norm 3.5</t>
  </si>
  <si>
    <t xml:space="preserve">Generator</t>
  </si>
  <si>
    <t xml:space="preserve">CPCB / reported data</t>
  </si>
  <si>
    <t xml:space="preserve">Pharma/biotech (Biocon), HAL</t>
  </si>
  <si>
    <t xml:space="preserve">Not publicly disaggregated</t>
  </si>
  <si>
    <t xml:space="preserve">Data gap</t>
  </si>
  <si>
    <t xml:space="preserve">R4-T06  Where Bengaluru data centres get water today</t>
  </si>
  <si>
    <t xml:space="preserve">Source: Report 4 (full research report) · 5. Where Bengaluru data centres get water today</t>
  </si>
  <si>
    <t xml:space="preserve">Used in atlas: Ch 4 "The city's water" table.</t>
  </si>
  <si>
    <t xml:space="preserve">Used to derive: Sources and prices of water in Bengaluru.</t>
  </si>
  <si>
    <t xml:space="preserve">Status for data centres</t>
  </si>
  <si>
    <t xml:space="preserve">Key facts</t>
  </si>
  <si>
    <t xml:space="preserve">BWSSB Cauvery (Stages I–V)</t>
  </si>
  <si>
    <t xml:space="preserve">Used for a few; poorly metered</t>
  </si>
  <si>
    <t xml:space="preserve">Stages I–IV ~1,450 MLD; Stage V adds 775 MLD (commissioned Oct 2024), but connection uptake is slow (&lt;1.2 lakh of 4 lakh targeted connections after 18 months). Cauvery allocation is capped. BWSSB industrial tariff Rs 99/kL. Five data centres receive ~129 kL/month in BWSSB records.</t>
  </si>
  <si>
    <t xml:space="preserve">Groundwater/borewells</t>
  </si>
  <si>
    <t xml:space="preserve">Likely the dominant source (WELL Labs view)</t>
  </si>
  <si>
    <t xml:space="preserve">All Bengaluru Urban and Rural assessment units are over-exploited. Bangalore East is at 378.85% (Karnataka Dynamic Ground Water Resources report; 395.0% in IN-GRES 2025-26 data), Devanahalli at 169%, with "no net groundwater available for future use". The whole area is notified under the Karnataka Ground Water Act 2011, so every borewell needs a KGWA/BWSSB permit.</t>
  </si>
  <si>
    <t xml:space="preserve">Private tankers</t>
  </si>
  <si>
    <t xml:space="preserve">Back-up; unregulated</t>
  </si>
  <si>
    <t xml:space="preserve">Tanker water is mostly borewell water from peri-urban villages, which moves the depletion elsewhere.</t>
  </si>
  <si>
    <t xml:space="preserve">Treated wastewater (STP/tertiary)</t>
  </si>
  <si>
    <t xml:space="preserve">Under-used; no mandate</t>
  </si>
  <si>
    <t xml:space="preserve">BWSSB STP capacity ~1,348.5 MLD. Reuse ~825 MLD environmental and ~30 MLD commercial. K&amp;C Valley sends 440 MLD and H-N Valley 210 MLD (secondary treated) to Kolar and Chikkaballapur. Treated water sells at Rs 10–15/kL. Apartment STPs may sell 50% of their output. BWSSB's chair has said there is no mandate for data centres to use recycled water.</t>
  </si>
  <si>
    <t xml:space="preserve">Rainwater harvesting / on-site STP</t>
  </si>
  <si>
    <t xml:space="preserve">Supplementary</t>
  </si>
  <si>
    <t xml:space="preserve">Useful for domestic use and landscaping. Too small and seasonal for evaporative cooling.</t>
  </si>
  <si>
    <t xml:space="preserve">R4-T07  Scenarios: added IT capacity vs water (75% utilisation)</t>
  </si>
  <si>
    <t xml:space="preserve">Source: Report 4 (full research report) · 6. Will data centre water cause scarcity? › 6.2 Scenarios (75% utilisation; IT energy = 18,000 kWh/day per MW)</t>
  </si>
  <si>
    <t xml:space="preserve">Used in atlas: Ch 4 "Scaling to 1 GW" chart; Key numbers (~32 MLD).</t>
  </si>
  <si>
    <t xml:space="preserve">Used to derive: City-wide water impact of the 1 GW target.</t>
  </si>
  <si>
    <t xml:space="preserve">Added IT capacity</t>
  </si>
  <si>
    <t xml:space="preserve">Evaporative, WUE 1.8</t>
  </si>
  <si>
    <t xml:space="preserve">Adiabatic, WUE 0.4</t>
  </si>
  <si>
    <t xml:space="preserve">Dry/DLC, WUE 0.05</t>
  </si>
  <si>
    <t xml:space="preserve">Indirect (PUE 1.3, 1.5 L/kWh), outside city</t>
  </si>
  <si>
    <t xml:space="preserve">3.2 MLD (0.11%)</t>
  </si>
  <si>
    <t xml:space="preserve">0.7 MLD (0.02%)</t>
  </si>
  <si>
    <t xml:space="preserve">0.09 MLD</t>
  </si>
  <si>
    <t xml:space="preserve">3.5 MLD</t>
  </si>
  <si>
    <t xml:space="preserve">500 MW</t>
  </si>
  <si>
    <t xml:space="preserve">16.2 MLD (0.54%)</t>
  </si>
  <si>
    <t xml:space="preserve">3.6 MLD (0.12%)</t>
  </si>
  <si>
    <t xml:space="preserve">0.45 MLD</t>
  </si>
  <si>
    <t xml:space="preserve">17.6 MLD</t>
  </si>
  <si>
    <t xml:space="preserve">1 GW</t>
  </si>
  <si>
    <t xml:space="preserve">32.4 MLD (1.1%)</t>
  </si>
  <si>
    <t xml:space="preserve">7.2 MLD (0.24%)</t>
  </si>
  <si>
    <t xml:space="preserve">0.9 MLD</t>
  </si>
  <si>
    <t xml:space="preserve">35.1 MLD</t>
  </si>
  <si>
    <t xml:space="preserve">People equivalent, 1 GW</t>
  </si>
  <si>
    <t xml:space="preserve">~240,000</t>
  </si>
  <si>
    <t xml:space="preserve">~53,000</t>
  </si>
  <si>
    <t xml:space="preserve">~6,700</t>
  </si>
  <si>
    <t xml:space="preserve">~260,000</t>
  </si>
  <si>
    <t xml:space="preserve">1 GW as share of BWSSB STP capacity (1,348.5 MLD)</t>
  </si>
  <si>
    <t xml:space="preserve">2.4% (≈43 MLD RO feed)</t>
  </si>
  <si>
    <t xml:space="preserve">0.5%</t>
  </si>
  <si>
    <t xml:space="preserve">R4-T08  Phased roadmap for Karnataka</t>
  </si>
  <si>
    <t xml:space="preserve">Source: Report 4 (full research report) · Recommendations › Phased roadmap</t>
  </si>
  <si>
    <t xml:space="preserve">Used in atlas: Ch 4 "Recommended roadmap" table.</t>
  </si>
  <si>
    <t xml:space="preserve">Used to derive: Policy sequence for Karnataka.</t>
  </si>
  <si>
    <t xml:space="preserve">Phase</t>
  </si>
  <si>
    <t xml:space="preserve">Timing</t>
  </si>
  <si>
    <t xml:space="preserve">Actions</t>
  </si>
  <si>
    <t xml:space="preserve">Q4 2026–2027</t>
  </si>
  <si>
    <t xml:space="preserve">Operational guidelines for the 2026–31 policy. Mandatory metering and disclosure. Groundwater-for-cooling ban in over-exploited taluks. Data centre water tariff. Publish hosting-capacity map.</t>
  </si>
  <si>
    <t xml:space="preserve">2027–2028</t>
  </si>
  <si>
    <t xml:space="preserve">WUE ≤0.4 and PUE ≤1.3 written into consent conditions for new builds. Treated-water pipelines to Hoskote and Whitefield clusters. ≥70% renewable rule for &gt;50 MW. BESS and demand-response contracts.</t>
  </si>
  <si>
    <t xml:space="preserve">2029–2031</t>
  </si>
  <si>
    <t xml:space="preserve">Existing-fleet WUE ≤1.0 and PUE ≤1.45. Hourly renewable matching. Independent audits. Review the 1 GW target against grid and water heat-map outcomes.</t>
  </si>
  <si>
    <t xml:space="preserve">R5-T01  Lifecycle carbon intensity by technology</t>
  </si>
  <si>
    <t xml:space="preserve">Source: Report 5 (full research report) · 1. SOURCE — What Generates the Electron › 1.1 Lifecycle carbon intensity by technology</t>
  </si>
  <si>
    <t xml:space="preserve">Used in atlas: Ch 5 "Lifecycle carbon by source" bars.</t>
  </si>
  <si>
    <t xml:space="preserve">Used to derive: Carbon of procurement options.</t>
  </si>
  <si>
    <t xml:space="preserve">IPCC AR5 lifecycle median (min–max), gCO₂e/kWh</t>
  </si>
  <si>
    <t xml:space="preserve">UNECE 2021 range, gCO₂e/kWh</t>
  </si>
  <si>
    <t xml:space="preserve">Direct (combustion) share</t>
  </si>
  <si>
    <t xml:space="preserve">India-specific note</t>
  </si>
  <si>
    <t xml:space="preserve">Coal (pulverised)</t>
  </si>
  <si>
    <t xml:space="preserve">820 (740–910)</t>
  </si>
  <si>
    <t xml:space="preserve">751 (IGCC, US) – 1,095 (PC, China)</t>
  </si>
  <si>
    <t xml:space="preserve">Direct 760 (670–870)</t>
  </si>
  <si>
    <t xml:space="preserve">Indian subcritical units on high-ash coal: about 0.9–1.1 tCO₂/MWh at the busbar; UNECE notes a plant-by-plant global study at about 1,130 g</t>
  </si>
  <si>
    <t xml:space="preserve">Oil</t>
  </si>
  <si>
    <t xml:space="preserve">~720 (secondary compilations)</t>
  </si>
  <si>
    <t xml:space="preserve">Mostly direct</t>
  </si>
  <si>
    <t xml:space="preserve">Negligible in Indian grid</t>
  </si>
  <si>
    <t xml:space="preserve">Gas CCGT</t>
  </si>
  <si>
    <t xml:space="preserve">490 (410–650)</t>
  </si>
  <si>
    <t xml:space="preserve">403–513 (92–220 with CCS)</t>
  </si>
  <si>
    <t xml:space="preserve">Direct 370 (350–490)</t>
  </si>
  <si>
    <t xml:space="preserve">Indian gas fleet runs at low PLF; mostly peaking/balancing</t>
  </si>
  <si>
    <t xml:space="preserve">Biomass (dedicated)</t>
  </si>
  <si>
    <t xml:space="preserve">230 (130–420)</t>
  </si>
  <si>
    <t xml:space="preserve">Biogenic accounting contested</t>
  </si>
  <si>
    <t xml:space="preserve">Bagasse co-gen in Karnataka/Maharashtra</t>
  </si>
  <si>
    <t xml:space="preserve">Solar PV (utility)</t>
  </si>
  <si>
    <t xml:space="preserve">48 (18–180)</t>
  </si>
  <si>
    <t xml:space="preserve">8–83</t>
  </si>
  <si>
    <t xml:space="preserve">0 direct</t>
  </si>
  <si>
    <t xml:space="preserve">Upstream manufacturing mostly on coal-heavy Chinese grid</t>
  </si>
  <si>
    <t xml:space="preserve">CSP</t>
  </si>
  <si>
    <t xml:space="preserve">27 (AR5)</t>
  </si>
  <si>
    <t xml:space="preserve">27–122</t>
  </si>
  <si>
    <t xml:space="preserve">Marginal in India</t>
  </si>
  <si>
    <t xml:space="preserve">Geothermal</t>
  </si>
  <si>
    <t xml:space="preserve">38 (6–79)</t>
  </si>
  <si>
    <t xml:space="preserve">Some CO₂ from geofluid</t>
  </si>
  <si>
    <t xml:space="preserve">Not deployed</t>
  </si>
  <si>
    <t xml:space="preserve">Hydropower</t>
  </si>
  <si>
    <t xml:space="preserve">24 (1–2,200)</t>
  </si>
  <si>
    <t xml:space="preserve">6–147</t>
  </si>
  <si>
    <t xml:space="preserve">Tropical reservoirs can emit large biogenic CH₄; upper tail is real for shallow, warm reservoirs</t>
  </si>
  <si>
    <t xml:space="preserve">Wind onshore / offshore</t>
  </si>
  <si>
    <t xml:space="preserve">11 / 12</t>
  </si>
  <si>
    <t xml:space="preserve">7.8–16 / 12–23</t>
  </si>
  <si>
    <t xml:space="preserve">Karnataka and Tamil Nadu are major onshore wind states</t>
  </si>
  <si>
    <t xml:space="preserve">Nuclear</t>
  </si>
  <si>
    <t xml:space="preserve">12 (3.7–110)</t>
  </si>
  <si>
    <t xml:space="preserve">5.1–6.4</t>
  </si>
  <si>
    <t xml:space="preserve">NPCIL fleet incl. Kaiga (Karnataka)</t>
  </si>
  <si>
    <t xml:space="preserve">R5-T02  Water withdrawal vs consumption by generation source</t>
  </si>
  <si>
    <t xml:space="preserve">Source: Report 5 (full research report) · 1. SOURCE — What Generates the Electron › 1.2 Water: withdrawal vs consumption by source</t>
  </si>
  <si>
    <t xml:space="preserve">Note: Once-through cooling withdraws a great deal but consumes relatively little. Cooling towers withdraw less but evaporate more.</t>
  </si>
  <si>
    <t xml:space="preserve">Used in atlas: Ch 5 "Water consumed by source" bars; grid water in calculators.</t>
  </si>
  <si>
    <t xml:space="preserve">Used to derive: Indirect water per kWh by source.</t>
  </si>
  <si>
    <t xml:space="preserve">Technology / cooling</t>
  </si>
  <si>
    <t xml:space="preserve">Consumption, L/MWh (approx., NREL Macknick et al. 2012 medians, converted from gal/MWh)</t>
  </si>
  <si>
    <t xml:space="preserve">Withdrawal, L/MWh</t>
  </si>
  <si>
    <t xml:space="preserve">Comment</t>
  </si>
  <si>
    <t xml:space="preserve">Coal, cooling tower</t>
  </si>
  <si>
    <t xml:space="preserve">~1,800–2,600 (US); 2,800–4,000+ actual in India</t>
  </si>
  <si>
    <t xml:space="preserve">~2,500–4,000 (US); ~4,000 India</t>
  </si>
  <si>
    <t xml:space="preserve">NREL notes tower-cooled plants sit near the ~1,000 gal/MWh (~3,800 L) upper bound</t>
  </si>
  <si>
    <t xml:space="preserve">Coal, once-through</t>
  </si>
  <si>
    <t xml:space="preserve">~400–1,000</t>
  </si>
  <si>
    <t xml:space="preserve">70,000–200,000 (CSE, India)</t>
  </si>
  <si>
    <t xml:space="preserve">High thermal-pollution and intake impacts</t>
  </si>
  <si>
    <t xml:space="preserve">Coal/gas, dry cooling</t>
  </si>
  <si>
    <t xml:space="preserve">~0–450 (India dry-cooled coal: 450–650 L/MWh)</t>
  </si>
  <si>
    <t xml:space="preserve">Low</t>
  </si>
  <si>
    <t xml:space="preserve">Efficiency penalty (higher CO₂/MWh)</t>
  </si>
  <si>
    <t xml:space="preserve">Nuclear, cooling tower</t>
  </si>
  <si>
    <t xml:space="preserve">~2,500–2,700</t>
  </si>
  <si>
    <t xml:space="preserve">~4,000–5,000</t>
  </si>
  <si>
    <t xml:space="preserve">Lowest carbon, among highest water</t>
  </si>
  <si>
    <t xml:space="preserve">Nuclear, once-through / seawater</t>
  </si>
  <si>
    <t xml:space="preserve">~1,000 (largely seawater)</t>
  </si>
  <si>
    <t xml:space="preserve">~100,000–170,000</t>
  </si>
  <si>
    <t xml:space="preserve">Coastal sites (Kudankulam, Tarapur) avoid freshwater stress</t>
  </si>
  <si>
    <t xml:space="preserve">Gas CCGT, cooling tower</t>
  </si>
  <si>
    <t xml:space="preserve">~700–1,000</t>
  </si>
  <si>
    <t xml:space="preserve">Only the steam cycle (about one-third of output) needs cooling</t>
  </si>
  <si>
    <t xml:space="preserve">Gas CCGT, dry</t>
  </si>
  <si>
    <t xml:space="preserve">~10</t>
  </si>
  <si>
    <t xml:space="preserve">Solar PV</t>
  </si>
  <si>
    <t xml:space="preserve">~20–100 (panel cleaning; higher in dusty Indian conditions)</t>
  </si>
  <si>
    <t xml:space="preserve">Robotic dry cleaning cuts this further</t>
  </si>
  <si>
    <t xml:space="preserve">Wind</t>
  </si>
  <si>
    <t xml:space="preserve">~0–5</t>
  </si>
  <si>
    <t xml:space="preserve">CSP (trough, wet tower)</t>
  </si>
  <si>
    <t xml:space="preserve">~3,000–3,500</t>
  </si>
  <si>
    <t xml:space="preserve">~3,500</t>
  </si>
  <si>
    <t xml:space="preserve">Wettest renewable</t>
  </si>
  <si>
    <t xml:space="preserve">Biopower (steam, tower)</t>
  </si>
  <si>
    <t xml:space="preserve">~2,000 (operations; crop irrigation can add orders of magnitude)</t>
  </si>
  <si>
    <t xml:space="preserve">Hydro (reservoir evaporation)</t>
  </si>
  <si>
    <t xml:space="preserve">~13,000 (China avg) to ~245,000 (Mekonnen &amp; Hoekstra 35-plant avg); global mean ~79,000</t>
  </si>
  <si>
    <t xml:space="preserve">Not meaningful</t>
  </si>
  <si>
    <t xml:space="preserve">Highly contested (see below)</t>
  </si>
  <si>
    <t xml:space="preserve">R5-T03  Country grid carbon intensity</t>
  </si>
  <si>
    <t xml:space="preserve">Source: Report 5 (full research report) · 3. LOCATION — Which Grid, Which Margin, Which Basin › 3.1 Country grids (operational, annual average)</t>
  </si>
  <si>
    <t xml:space="preserve">Used in atlas: Ch 5 "1 TWh, seven ways" chart.</t>
  </si>
  <si>
    <t xml:space="preserve">Used to derive: Carbon of the same TWh on different grids.</t>
  </si>
  <si>
    <t xml:space="preserve">Grid</t>
  </si>
  <si>
    <t xml:space="preserve">Approx. intensity, gCO₂(e)/kWh</t>
  </si>
  <si>
    <t xml:space="preserve">Source/year</t>
  </si>
  <si>
    <t xml:space="preserve">1 TWh ≈</t>
  </si>
  <si>
    <t xml:space="preserve">670 (2025); 708 (2024, CO₂-only)</t>
  </si>
  <si>
    <t xml:space="preserve">Ember GER 2026/2025</t>
  </si>
  <si>
    <t xml:space="preserve">0.67–0.71 MtCO₂</t>
  </si>
  <si>
    <t xml:space="preserve">China</t>
  </si>
  <si>
    <t xml:space="preserve">~550</t>
  </si>
  <si>
    <t xml:space="preserve">Ember (approx.)</t>
  </si>
  <si>
    <t xml:space="preserve">~0.55 Mt</t>
  </si>
  <si>
    <t xml:space="preserve">Asia average</t>
  </si>
  <si>
    <t xml:space="preserve">Ember 2025</t>
  </si>
  <si>
    <t xml:space="preserve">0.54 Mt</t>
  </si>
  <si>
    <t xml:space="preserve">World</t>
  </si>
  <si>
    <t xml:space="preserve">458 (2025); 473 (2024)</t>
  </si>
  <si>
    <t xml:space="preserve">Ember</t>
  </si>
  <si>
    <t xml:space="preserve">0.46 Mt</t>
  </si>
  <si>
    <t xml:space="preserve">United States</t>
  </si>
  <si>
    <t xml:space="preserve">~370</t>
  </si>
  <si>
    <t xml:space="preserve">~0.37 Mt</t>
  </si>
  <si>
    <t xml:space="preserve">EU-27</t>
  </si>
  <si>
    <t xml:space="preserve">~210–240</t>
  </si>
  <si>
    <t xml:space="preserve">~0.22 Mt</t>
  </si>
  <si>
    <t xml:space="preserve">France</t>
  </si>
  <si>
    <t xml:space="preserve">~30–60</t>
  </si>
  <si>
    <t xml:space="preserve">Ember/RTE (approx.)</t>
  </si>
  <si>
    <t xml:space="preserve">~0.03–0.06 Mt</t>
  </si>
  <si>
    <t xml:space="preserve">Norway</t>
  </si>
  <si>
    <t xml:space="preserve">(approx.)</t>
  </si>
  <si>
    <t xml:space="preserve">~0.02–0.03 Mt</t>
  </si>
  <si>
    <t xml:space="preserve">R5-T04  India emission-factor types: average vs marginal</t>
  </si>
  <si>
    <t xml:space="preserve">Source: Report 5 (full research report) · 3. LOCATION — Which Grid, Which Margin, Which Basin › 3.3 Average vs marginal; attributional vs consequential</t>
  </si>
  <si>
    <t xml:space="preserve">Used in atlas: Ch 5 text on average vs marginal factors.</t>
  </si>
  <si>
    <t xml:space="preserve">Used to derive: Which factor to use for reporting vs siting.</t>
  </si>
  <si>
    <t xml:space="preserve">Value (India)</t>
  </si>
  <si>
    <t xml:space="preserve">Use</t>
  </si>
  <si>
    <t xml:space="preserve">Weighted average (WAEF), FY24-25</t>
  </si>
  <si>
    <t xml:space="preserve">0.710 t/MWh</t>
  </si>
  <si>
    <t xml:space="preserve">Location-based Scope 2; CCTS</t>
  </si>
  <si>
    <t xml:space="preserve">Operating margin (OM), FY23-24</t>
  </si>
  <si>
    <t xml:space="preserve">~0.9+ t/MWh (fossil-only)</t>
  </si>
  <si>
    <t xml:space="preserve">Short-run displacement</t>
  </si>
  <si>
    <t xml:space="preserve">Build margin (BM), FY23-24</t>
  </si>
  <si>
    <t xml:space="preserve">0.552 t/MWh</t>
  </si>
  <si>
    <t xml:space="preserve">What new capacity looks like</t>
  </si>
  <si>
    <t xml:space="preserve">Combined margin (CM), FY23-24</t>
  </si>
  <si>
    <t xml:space="preserve">0.757 t/MWh</t>
  </si>
  <si>
    <t xml:space="preserve">Offset baselines</t>
  </si>
  <si>
    <t xml:space="preserve">Short-run marginal at evening peak</t>
  </si>
  <si>
    <t xml:space="preserve">~0.95–1.1 t/MWh (est.)</t>
  </si>
  <si>
    <t xml:space="preserve">Consequential impact of new load</t>
  </si>
  <si>
    <t xml:space="preserve">R5-T05  Hyperscaler Scope 2: location-based vs market-based</t>
  </si>
  <si>
    <t xml:space="preserve">Source: Report 5 (full research report) · 4. CARBON INTENSITY — Definitions, Trajectory and Data-Centre Metrics › 4.4 Hyperscaler disclosures: location-based vs market-based</t>
  </si>
  <si>
    <t xml:space="preserve">Used in atlas: Ch 5 Microsoft Scope 2 chart.</t>
  </si>
  <si>
    <t xml:space="preserve">Used to derive: Gap between location- and market-based claims.</t>
  </si>
  <si>
    <t xml:space="preserve">Disclosure</t>
  </si>
  <si>
    <t xml:space="preserve">Location-based</t>
  </si>
  <si>
    <t xml:space="preserve">Market-based</t>
  </si>
  <si>
    <t xml:space="preserve">Takeaway</t>
  </si>
  <si>
    <t xml:space="preserve">Microsoft (2025 report, FY24)</t>
  </si>
  <si>
    <t xml:space="preserve">Scope 2, tCO₂e</t>
  </si>
  <si>
    <t xml:space="preserve">4,328,916 (FY20) → 9,955,368 (FY24), +130%; +23% y/y</t>
  </si>
  <si>
    <t xml:space="preserve">456,119 → 259,090, −43%</t>
  </si>
  <si>
    <t xml:space="preserve">Electricity use 10.77 → 29.83 TWh. Market-based fell while location-based more than doubled. Asia location-based Scope 2 rose from 0.91 to 2.51 Mt</t>
  </si>
  <si>
    <t xml:space="preserve">Microsoft (2026 report, FY25)</t>
  </si>
  <si>
    <t xml:space="preserve">Scope 2</t>
  </si>
  <si>
    <t xml:space="preserve">Market-based jump reflects dropping unbundled RECs; not comparable with earlier years</t>
  </si>
  <si>
    <t xml:space="preserve">Google (2025 report, CY2024)</t>
  </si>
  <si>
    <t xml:space="preserve">Data-centre electricity +27% y/y</t>
  </si>
  <si>
    <t xml:space="preserve">(location-based rose with load)</t>
  </si>
  <si>
    <t xml:space="preserve">Data-centre energy emissions −12%</t>
  </si>
  <si>
    <t xml:space="preserve">66% hourly CFE; ~12% in APAC; &gt;25 clean projects (2.5 GW) came online</t>
  </si>
  <si>
    <t xml:space="preserve">R5-T06  Grid-average water intensity</t>
  </si>
  <si>
    <t xml:space="preserve">Source: Report 5 (full research report) · 5. WATER INTENSITY — The Grid's Hidden Water › 5.2 Grid-average water intensity</t>
  </si>
  <si>
    <t xml:space="preserve">Used in atlas: Grid water intensity used in Ch 4–6 and simulator (1.5–2.2 L/kWh).</t>
  </si>
  <si>
    <t xml:space="preserve">Used to derive: Indirect water per kWh.</t>
  </si>
  <si>
    <t xml:space="preserve">Consumption intensity</t>
  </si>
  <si>
    <t xml:space="preserve">Basis</t>
  </si>
  <si>
    <t xml:space="preserve">India, all thermal + non-hydro RE (2014)</t>
  </si>
  <si>
    <t xml:space="preserve">2.09 L/kWh (withdrawal 15.9 L/kWh)</t>
  </si>
  <si>
    <t xml:space="preserve">IRENA/WRI 2018; *excludes hydro*</t>
  </si>
  <si>
    <t xml:space="preserve">India 2027–2030 projections</t>
  </si>
  <si>
    <t xml:space="preserve">1.57–1.94 L/kWh</t>
  </si>
  <si>
    <t xml:space="preserve">IRENA/CEA scenarios</t>
  </si>
  <si>
    <t xml:space="preserve">India, freshwater thermal only (2018)</t>
  </si>
  <si>
    <t xml:space="preserve">~1.8 L/kWh</t>
  </si>
  <si>
    <t xml:space="preserve">Derived: 2.39 bn m³ ÷ ~1,300 TWh (estimate)</t>
  </si>
  <si>
    <t xml:space="preserve">India incl. hydro evaporation</t>
  </si>
  <si>
    <t xml:space="preserve">Several L/kWh, highly allocation-dependent</t>
  </si>
  <si>
    <t xml:space="preserve">One multi-model study says hydro is about one-third of Indian power-sector water consumption</t>
  </si>
  <si>
    <t xml:space="preserve">Karnataka mix (used in this series)</t>
  </si>
  <si>
    <t xml:space="preserve">~1.5 L/kWh (excl. hydro)</t>
  </si>
  <si>
    <t xml:space="preserve">Estimate: ~45–50% coal at ~3.3 L/kWh + small PV cleaning</t>
  </si>
  <si>
    <t xml:space="preserve">US data-centre-weighted indirect (2023)</t>
  </si>
  <si>
    <t xml:space="preserve">~4.5 L/kWh (incl. hydro evaporation)</t>
  </si>
  <si>
    <t xml:space="preserve">LBNL 2024 US Data Center Energy Usage Report, as widely cited</t>
  </si>
  <si>
    <t xml:space="preserve">R5-T07  Worked matrix: carbon and water per TWh by scenario</t>
  </si>
  <si>
    <t xml:space="preserve">Source: Report 5 (full research report) · SYNTHESIS — "Every TWh Is Not the Same": Worked Matrix</t>
  </si>
  <si>
    <t xml:space="preserve">Note: For grid cases, losses are 8% for HT supply. For on-site/adjacent supply, losses are about 3–4% (ignored below for simplicity).</t>
  </si>
  <si>
    <t xml:space="preserve">Used in atlas: Ch 5 "1 TWh of data-centre load, seven ways" chart (carbon and water).</t>
  </si>
  <si>
    <t xml:space="preserve">Used to derive: Carbon and water per TWh by supply scenario.</t>
  </si>
  <si>
    <t xml:space="preserve">Scenario</t>
  </si>
  <si>
    <t xml:space="preserve">EF used (t/MWh)</t>
  </si>
  <si>
    <t xml:space="preserve">CO₂ per TWh</t>
  </si>
  <si>
    <t xml:space="preserve">EWIF (L/kWh)</t>
  </si>
  <si>
    <t xml:space="preserve">Water consumed per TWh</t>
  </si>
  <si>
    <t xml:space="preserve">Stress weight (basin where water is lost)</t>
  </si>
  <si>
    <t xml:space="preserve">Scarcity-weighted (bn L-eq)</t>
  </si>
  <si>
    <t xml:space="preserve">a</t>
  </si>
  <si>
    <t xml:space="preserve">Indian grid average (CEA WAEF 0.710, +8% losses)</t>
  </si>
  <si>
    <t xml:space="preserve">~770,000 t</t>
  </si>
  <si>
    <t xml:space="preserve">~2.2 bn L</t>
  </si>
  <si>
    <t xml:space="preserve">4 (mixed; ~40% of thermal in high stress)</t>
  </si>
  <si>
    <t xml:space="preserve">~8.7</t>
  </si>
  <si>
    <t xml:space="preserve">b</t>
  </si>
  <si>
    <t xml:space="preserve">Karnataka consumption mix (est. 0.50, +8%)</t>
  </si>
  <si>
    <t xml:space="preserve">~540,000 t (range 430–600k)</t>
  </si>
  <si>
    <t xml:space="preserve">~1.6 bn L</t>
  </si>
  <si>
    <t xml:space="preserve">4–5 (Krishna/Raichur, Ballari)</t>
  </si>
  <si>
    <t xml:space="preserve">~6.5–8</t>
  </si>
  <si>
    <t xml:space="preserve">c</t>
  </si>
  <si>
    <t xml:space="preserve">Marginal coal, Indian evening peak (1.0 at part load, +8%)</t>
  </si>
  <si>
    <t xml:space="preserve">~1,090,000 t</t>
  </si>
  <si>
    <t xml:space="preserve">3.8–4.3 (3.5–4.0 at plant)</t>
  </si>
  <si>
    <t xml:space="preserve">~3.8–4.3 bn L</t>
  </si>
  <si>
    <t xml:space="preserve">4–5</t>
  </si>
  <si>
    <t xml:space="preserve">~15–21</t>
  </si>
  <si>
    <t xml:space="preserve">d</t>
  </si>
  <si>
    <t xml:space="preserve">Karnataka solar hours, grid — average basis (~0.25–0.30) / marginal basis (coal backing down, ~0.95)</t>
  </si>
  <si>
    <t xml:space="preserve">0.30 / 1.03</t>
  </si>
  <si>
    <t xml:space="preserve">~300,000 t (avg) / ~1,000,000 t (marginal); ~0 on curtailment days</t>
  </si>
  <si>
    <t xml:space="preserve">~0.8 (avg)</t>
  </si>
  <si>
    <t xml:space="preserve">~0.8 bn L (avg)</t>
  </si>
  <si>
    <t xml:space="preserve">~3–4</t>
  </si>
  <si>
    <t xml:space="preserve">e</t>
  </si>
  <si>
    <t xml:space="preserve">24/7 hybrid RE + BESS via group captive/open access (90% hourly CFE; lifecycle ~40 g for the RE part; 10% residual grid at 0.77)</t>
  </si>
  <si>
    <t xml:space="preserve">~0.11 lifecycle (~0.08 operational)</t>
  </si>
  <si>
    <t xml:space="preserve">~110,000 t lifecycle; 100% CFE → ~40,000 t</t>
  </si>
  <si>
    <t xml:space="preserve">0.09 RE + 0.22 residual</t>
  </si>
  <si>
    <t xml:space="preserve">~0.3 bn L</t>
  </si>
  <si>
    <t xml:space="preserve">4–5 (residual only)</t>
  </si>
  <si>
    <t xml:space="preserve">f1</t>
  </si>
  <si>
    <t xml:space="preserve">France (nuclear-dominant grid)</t>
  </si>
  <si>
    <t xml:space="preserve">0.03–0.06</t>
  </si>
  <si>
    <t xml:space="preserve">~30,000–60,000 t</t>
  </si>
  <si>
    <t xml:space="preserve">~1–2.5 (many plants on rivers/sea)</t>
  </si>
  <si>
    <t xml:space="preserve">~1–2.5 bn L</t>
  </si>
  <si>
    <t xml:space="preserve">2–3 (Rhône/Loire summer stress)</t>
  </si>
  <si>
    <t xml:space="preserve">~3–6</t>
  </si>
  <si>
    <t xml:space="preserve">f2</t>
  </si>
  <si>
    <t xml:space="preserve">Nordic hydro (Norway)</t>
  </si>
  <si>
    <t xml:space="preserve">0.02–0.03</t>
  </si>
  <si>
    <t xml:space="preserve">~20,000–30,000 t</t>
  </si>
  <si>
    <t xml:space="preserve">0 (run-of-river) to &gt;10 (gross-evaporation allocation)</t>
  </si>
  <si>
    <t xml:space="preserve">contested: ~0–10+ bn L</t>
  </si>
  <si>
    <t xml:space="preserve">~0–10</t>
  </si>
  <si>
    <t xml:space="preserve">g</t>
  </si>
  <si>
    <t xml:space="preserve">US PJM / Northern Virginia (~0.37–0.40)</t>
  </si>
  <si>
    <t xml:space="preserve">~380,000–420,000 t</t>
  </si>
  <si>
    <t xml:space="preserve">~2 (thermo-electric) to 4.5 (LBNL DC-weighted incl. hydro)</t>
  </si>
  <si>
    <t xml:space="preserve">~2–4.5 bn L</t>
  </si>
  <si>
    <t xml:space="preserve">~4–9</t>
  </si>
  <si>
    <t xml:space="preserve">h</t>
  </si>
  <si>
    <t xml:space="preserve">Gas CCGT (IPCC lifecycle 490; direct ~370)</t>
  </si>
  <si>
    <t xml:space="preserve">~490,000 t (direct ~370,000)</t>
  </si>
  <si>
    <t xml:space="preserve">0.75 (tower) / 0.01 (dry)</t>
  </si>
  <si>
    <t xml:space="preserve">~0.75 bn L (tower)</t>
  </si>
  <si>
    <t xml:space="preserve">site-specific (2–5)</t>
  </si>
  <si>
    <t xml:space="preserve">~1.5–3.8</t>
  </si>
  <si>
    <t xml:space="preserve">i</t>
  </si>
  <si>
    <t xml:space="preserve">Nuclear with cooling towers</t>
  </si>
  <si>
    <t xml:space="preserve">0.006–0.012</t>
  </si>
  <si>
    <t xml:space="preserve">~6,000–12,000 t</t>
  </si>
  <si>
    <t xml:space="preserve">2.5–2.7</t>
  </si>
  <si>
    <t xml:space="preserve">~2.5–2.7 bn L</t>
  </si>
  <si>
    <t xml:space="preserve">site-specific; inland Indian sites 4–5</t>
  </si>
  <si>
    <t xml:space="preserve">~10–13</t>
  </si>
  <si>
    <t xml:space="preserve">Wind only (reference)</t>
  </si>
  <si>
    <t xml:space="preserve">~11,000 t</t>
  </si>
  <si>
    <t xml:space="preserve">Solar PV only (reference)</t>
  </si>
  <si>
    <t xml:space="preserve">~48,000 t</t>
  </si>
  <si>
    <t xml:space="preserve">0.02–0.1</t>
  </si>
  <si>
    <t xml:space="preserve">~0.02–0.1 bn L</t>
  </si>
  <si>
    <t xml:space="preserve">R5-T08  Five-factor scorecard</t>
  </si>
  <si>
    <t xml:space="preserve">Source: Report 5 (full research report) · SYNTHESIS — "Every TWh Is Not the Same": Worked Matrix › Five-factor scorecard (for a site or procurement decision)</t>
  </si>
  <si>
    <t xml:space="preserve">Note: Score each factor 1 (worst) to 5 (best). Weight them by your priorities; a default is carbon 30%, water 25%, source 20%, timing 15%, location 10%.</t>
  </si>
  <si>
    <t xml:space="preserve">Used in atlas: Ch 5 five-factor scorecard calculator.</t>
  </si>
  <si>
    <t xml:space="preserve">Used to derive: Weighted score for a site or power contract.</t>
  </si>
  <si>
    <t xml:space="preserve">Factor</t>
  </si>
  <si>
    <t xml:space="preserve">Question</t>
  </si>
  <si>
    <t xml:space="preserve">1 (poor)</t>
  </si>
  <si>
    <t xml:space="preserve">3</t>
  </si>
  <si>
    <t xml:space="preserve">5 (best)</t>
  </si>
  <si>
    <t xml:space="preserve">Example: Bengaluru grid-only</t>
  </si>
  <si>
    <t xml:space="preserve">Example: Bengaluru + 24/7 group-captive hybrid + BESS + dry cooling</t>
  </si>
  <si>
    <t xml:space="preserve">What physically or contractually supplies each hour?</t>
  </si>
  <si>
    <t xml:space="preserve">Unbundled RECs / grid coal</t>
  </si>
  <si>
    <t xml:space="preserve">Annual-matched new PPA</t>
  </si>
  <si>
    <t xml:space="preserve">Additional, deliverable, hourly CFE</t>
  </si>
  <si>
    <t xml:space="preserve">What share of load is hourly matched? Is flexible load in solar hours?</t>
  </si>
  <si>
    <t xml:space="preserve">&lt;30% CFE, no flexibility</t>
  </si>
  <si>
    <t xml:space="preserve">50–70% CFE</t>
  </si>
  <si>
    <t xml:space="preserve">&gt;90% CFE + DR contracts</t>
  </si>
  <si>
    <t xml:space="preserve">Marginal factor of grid; consumption-based state mix; network losses</t>
  </si>
  <si>
    <t xml:space="preserve">Marginal coal, high losses</t>
  </si>
  <si>
    <t xml:space="preserve">Mixed grid</t>
  </si>
  <si>
    <t xml:space="preserve">Low-carbon margin / on-site</t>
  </si>
  <si>
    <t xml:space="preserve">2 (national coal margin)</t>
  </si>
  <si>
    <t xml:space="preserve">Carbon intensity</t>
  </si>
  <si>
    <t xml:space="preserve">Location-based and hourly market-based tCO₂/MWh</t>
  </si>
  <si>
    <t xml:space="preserve">&gt;0.7</t>
  </si>
  <si>
    <t xml:space="preserve">0.3–0.5</t>
  </si>
  <si>
    <t xml:space="preserve">&lt;0.1</t>
  </si>
  <si>
    <t xml:space="preserve">2 (0.54–0.77)</t>
  </si>
  <si>
    <t xml:space="preserve">5 (~0.08–0.11)</t>
  </si>
  <si>
    <t xml:space="preserve">Water intensity</t>
  </si>
  <si>
    <t xml:space="preserve">WUE_site + PUE × EWIF, scarcity-weighted</t>
  </si>
  <si>
    <t xml:space="preserve">&gt;4 L/kWh_IT in high-stress basin</t>
  </si>
  <si>
    <t xml:space="preserve">2–3 L/kWh_IT</t>
  </si>
  <si>
    <t xml:space="preserve">&lt;0.5 L/kWh_IT or non-stressed</t>
  </si>
  <si>
    <t xml:space="preserve">1–2 (4.05 L/kWh_IT, high stress)</t>
  </si>
  <si>
    <t xml:space="preserve">4–5 (~0.5 L/kWh_IT)</t>
  </si>
  <si>
    <t xml:space="preserve">Weighted score</t>
  </si>
  <si>
    <t xml:space="preserve">≈1.8 / 5</t>
  </si>
  <si>
    <t xml:space="preserve">≈4.6 / 5</t>
  </si>
  <si>
    <t xml:space="preserve">22 tables. Source line under each title; "Note" gives the context sentence from the report.</t>
  </si>
  <si>
    <t xml:space="preserve">R6-T01  Withdrawal vs consumption: definitions by framework</t>
  </si>
  <si>
    <t xml:space="preserve">Source: Report 6 (full research report) · 1. How much water? › 1.1 Withdrawal vs consumption: definitions and why both matter</t>
  </si>
  <si>
    <t xml:space="preserve">Used in atlas: Ch 6 framing (reference).</t>
  </si>
  <si>
    <t xml:space="preserve">Used to derive: Separate withdrawal, consumption, discharge.</t>
  </si>
  <si>
    <t xml:space="preserve">Framework</t>
  </si>
  <si>
    <t xml:space="preserve">Withdrawal</t>
  </si>
  <si>
    <t xml:space="preserve">Consumption</t>
  </si>
  <si>
    <t xml:space="preserve">Other key terms</t>
  </si>
  <si>
    <t xml:space="preserve">USGS</t>
  </si>
  <si>
    <t xml:space="preserve">Water removed from ground or surface sources</t>
  </si>
  <si>
    <t xml:space="preserve">Water evaporated, transpired, incorporated into products or otherwise removed from the immediate water environment</t>
  </si>
  <si>
    <t xml:space="preserve">Return flow</t>
  </si>
  <si>
    <t xml:space="preserve">GRI 303 (2018)</t>
  </si>
  <si>
    <t xml:space="preserve">303-3: all water drawn from all sources, split freshwater (≤1,000 mg/L TDS) and "other"</t>
  </si>
  <si>
    <t xml:space="preserve">303-5: withdrawal − discharge (± storage change)</t>
  </si>
  <si>
    <t xml:space="preserve">303-4 discharge by destination and treatment; all broken out for water-stressed areas</t>
  </si>
  <si>
    <t xml:space="preserve">ISO 14046 (2014)</t>
  </si>
  <si>
    <t xml:space="preserve">Water not returned to the drainage basin (evaporated, integrated, transferred)</t>
  </si>
  <si>
    <t xml:space="preserve">Water scarcity footprint</t>
  </si>
  <si>
    <t xml:space="preserve">Water Footprint Network</t>
  </si>
  <si>
    <t xml:space="preserve">Blue: surface or groundwater consumed. Green: soil rainwater. Grey: virtual dilution volume for pollutants</t>
  </si>
  <si>
    <t xml:space="preserve">R6-T02  Cooling water by system</t>
  </si>
  <si>
    <t xml:space="preserve">Source: Report 6 (full research report) · 1. How much water? › 1.2 Cooling water</t>
  </si>
  <si>
    <t xml:space="preserve">Used in atlas: Ch 6 water balance and simulator WUE values.</t>
  </si>
  <si>
    <t xml:space="preserve">Used to derive: Site WUE by cooling system.</t>
  </si>
  <si>
    <t xml:space="preserve">System</t>
  </si>
  <si>
    <t xml:space="preserve">Mechanism</t>
  </si>
  <si>
    <t xml:space="preserve">Site water (L/kWh of IT energy)</t>
  </si>
  <si>
    <t xml:space="preserve">Open cooling towers + water-cooled chillers</t>
  </si>
  <si>
    <t xml:space="preserve">Latent heat (about 2,400 kJ/kg → about 1.5 L per kWh of heat)</t>
  </si>
  <si>
    <t xml:space="preserve">1.4–2.5 withdrawal; 1.1–1.8 consumption</t>
  </si>
  <si>
    <t xml:space="preserve">Bengaluru's moderate wet-bulb suits towers; lowest PUE</t>
  </si>
  <si>
    <t xml:space="preserve">Direct / indirect evaporative air handlers</t>
  </si>
  <si>
    <t xml:space="preserve">Evaporation into air</t>
  </si>
  <si>
    <t xml:space="preserve">0.3–1.5</t>
  </si>
  <si>
    <t xml:space="preserve">Seasonal</t>
  </si>
  <si>
    <t xml:space="preserve">Adiabatic hybrid dry coolers</t>
  </si>
  <si>
    <t xml:space="preserve">Dry coils; sprays above about 28–32°C</t>
  </si>
  <si>
    <t xml:space="preserve">0.05–0.4</t>
  </si>
  <si>
    <t xml:space="preserve">Low average, high peaks</t>
  </si>
  <si>
    <t xml:space="preserve">Air-cooled chillers / dry coolers</t>
  </si>
  <si>
    <t xml:space="preserve">Sensible heat only</t>
  </si>
  <si>
    <t xml:space="preserve">≈0–0.05</t>
  </si>
  <si>
    <t xml:space="preserve">PUE higher by about 0.1–0.2</t>
  </si>
  <si>
    <t xml:space="preserve">Closed-loop DLC + dry coolers</t>
  </si>
  <si>
    <t xml:space="preserve">Warm water (35–45°C) to cold plates</t>
  </si>
  <si>
    <t xml:space="preserve">0.01–0.15</t>
  </si>
  <si>
    <t xml:space="preserve">One-time fill about 1.5–3 L/kW (often 25% propylene glycol)</t>
  </si>
  <si>
    <t xml:space="preserve">Chilled-water make-up</t>
  </si>
  <si>
    <t xml:space="preserve">Closed-loop losses</t>
  </si>
  <si>
    <t xml:space="preserve">&lt;0.01</t>
  </si>
  <si>
    <t xml:space="preserve">Quality matters more than volume</t>
  </si>
  <si>
    <t xml:space="preserve">R6-T03  Non-cooling water uses (50 MW campus)</t>
  </si>
  <si>
    <t xml:space="preserve">Source: Report 6 (full research report) · 1. How much water? › 1.3 Non-cooling water</t>
  </si>
  <si>
    <t xml:space="preserve">Used in atlas: Ch 6 water balance (non-cooling 14.6 ML/yr).</t>
  </si>
  <si>
    <t xml:space="preserve">Used to derive: Non-cooling water allowance.</t>
  </si>
  <si>
    <t xml:space="preserve">50 MW campus magnitude</t>
  </si>
  <si>
    <t xml:space="preserve">Domestic / staff (about 300 people at the 45 L per head per day office norm)</t>
  </si>
  <si>
    <t xml:space="preserve">≈13.5 m³/day</t>
  </si>
  <si>
    <t xml:space="preserve">About 80% returns as sewage; on-site STP reuse</t>
  </si>
  <si>
    <t xml:space="preserve">Cleaning, housekeeping</t>
  </si>
  <si>
    <t xml:space="preserve">3–10 m³/day</t>
  </si>
  <si>
    <t xml:space="preserve">Humidification</t>
  </si>
  <si>
    <t xml:space="preserve">0–20 m³/day, seasonal</t>
  </si>
  <si>
    <t xml:space="preserve">Dry months (January–March, relative humidity 25–40%) need humidification; the monsoon needs dehumidification, which yields recoverable condensate</t>
  </si>
  <si>
    <t xml:space="preserve">Landscaping</t>
  </si>
  <si>
    <t xml:space="preserve">5–20 m³/day</t>
  </si>
  <si>
    <t xml:space="preserve">Should use STP or rainwater</t>
  </si>
  <si>
    <t xml:space="preserve">Fire suppression</t>
  </si>
  <si>
    <t xml:space="preserve">Hundreds of m³ stored; 1–5 m³/week testing</t>
  </si>
  <si>
    <t xml:space="preserve">Storage, not consumption</t>
  </si>
  <si>
    <t xml:space="preserve">Diesel generator cooling</t>
  </si>
  <si>
    <t xml:space="preserve">Closed radiator loops; negligible</t>
  </si>
  <si>
    <t xml:space="preserve">RO reject</t>
  </si>
  <si>
    <t xml:space="preserve">20–35% of RO feed</t>
  </si>
  <si>
    <t xml:space="preserve">Raises withdrawal and discharge, not consumption</t>
  </si>
  <si>
    <t xml:space="preserve">Construction</t>
  </si>
  <si>
    <t xml:space="preserve">Tens of thousands of m³ over 18–36 months (estimate)</t>
  </si>
  <si>
    <t xml:space="preserve">Meta reports construction water separately; Yotta's Greater Noida site had a 50 KLD STP-water connection for construction (DTE)</t>
  </si>
  <si>
    <t xml:space="preserve">R6-T04  Freshwater vs recycled water sources (Bengaluru)</t>
  </si>
  <si>
    <t xml:space="preserve">Source: Report 6 (full research report) · 1. How much water? › 1.4 Freshwater vs recycled water</t>
  </si>
  <si>
    <t xml:space="preserve">Used in atlas: Ch 6 water balance source options; simulator water sources.</t>
  </si>
  <si>
    <t xml:space="preserve">Used to derive: Source choice and cycles of concentration.</t>
  </si>
  <si>
    <t xml:space="preserve">Bengaluru status</t>
  </si>
  <si>
    <t xml:space="preserve">Cooling-tower issues</t>
  </si>
  <si>
    <t xml:space="preserve">Implications</t>
  </si>
  <si>
    <t xml:space="preserve">BWSSB potable (Cauvery)</t>
  </si>
  <si>
    <t xml:space="preserve">Industrial tariff about ₹99/kL</t>
  </si>
  <si>
    <t xml:space="preserve">Low TDS allows high CoC</t>
  </si>
  <si>
    <t xml:space="preserve">Diverts drinking water; last resort</t>
  </si>
  <si>
    <t xml:space="preserve">Groundwater (borewell or tanker)</t>
  </si>
  <si>
    <t xml:space="preserve">All Bengaluru Urban taluks over-exploited</t>
  </si>
  <si>
    <t xml:space="preserve">TDS 500–1,500 mg/L; silica 20–60 mg/L limits CoC to about 3–4</t>
  </si>
  <si>
    <t xml:space="preserve">Highest local impact; KGWA permits</t>
  </si>
  <si>
    <t xml:space="preserve">Tertiary treated wastewater (TTW)</t>
  </si>
  <si>
    <t xml:space="preserve">Growing; K&amp;C Valley already sends treated water to Kolar and Chikkaballapur tanks</t>
  </si>
  <si>
    <t xml:space="preserve">Ammonia, phosphate, biofouling; needs UF/RO</t>
  </si>
  <si>
    <t xml:space="preserve">Has downstream claimants</t>
  </si>
  <si>
    <t xml:space="preserve">Rainwater</t>
  </si>
  <si>
    <t xml:space="preserve">About 900 mm/yr; a 10 ha roof yields about 80,000 m³/yr</t>
  </si>
  <si>
    <t xml:space="preserve">Ideal make-up</t>
  </si>
  <si>
    <t xml:space="preserve">About 13% of a 50 MW evaporative plant's need</t>
  </si>
  <si>
    <t xml:space="preserve">Seawater</t>
  </si>
  <si>
    <t xml:space="preserve">Not available in Bengaluru</t>
  </si>
  <si>
    <t xml:space="preserve">Corrosion</t>
  </si>
  <si>
    <t xml:space="preserve">Coastal sites only</t>
  </si>
  <si>
    <t xml:space="preserve">R6-T05  Daily and annual water demand by capacity and cooling</t>
  </si>
  <si>
    <t xml:space="preserve">Source: Report 6 (full research report) · 1. How much water? › 1.5 Daily and annual demand: worked examples</t>
  </si>
  <si>
    <t xml:space="preserve">Note: Assumptions: 80% average load, so 1 MW = 19.2 MWh/day = 7,008 MWh/yr of IT energy. WUE is withdrawal-based (L/kWh = m³/MWh).</t>
  </si>
  <si>
    <t xml:space="preserve">Used in atlas: Ch 6 and Ch 12 reference values.</t>
  </si>
  <si>
    <t xml:space="preserve">Used to derive: Daily and annual water per MW and design.</t>
  </si>
  <si>
    <t xml:space="preserve">IT capacity</t>
  </si>
  <si>
    <t xml:space="preserve">Evaporative, CoC 5 (WUE 1.80)</t>
  </si>
  <si>
    <t xml:space="preserve">Adiabatic (0.40)</t>
  </si>
  <si>
    <t xml:space="preserve">Dry / DLC (0.05)</t>
  </si>
  <si>
    <t xml:space="preserve">WELL Labs basis (26 ML/MW/yr)</t>
  </si>
  <si>
    <t xml:space="preserve">1 MW</t>
  </si>
  <si>
    <t xml:space="preserve">34.6 m³/d · 12.6 ML/yr</t>
  </si>
  <si>
    <t xml:space="preserve">7.7 m³/d · 2.8 ML/yr</t>
  </si>
  <si>
    <t xml:space="preserve">1.0 m³/d · 0.35 ML/yr</t>
  </si>
  <si>
    <t xml:space="preserve">71 m³/d · 26 ML/yr</t>
  </si>
  <si>
    <t xml:space="preserve">0.69 MLD · 252 ML/yr</t>
  </si>
  <si>
    <t xml:space="preserve">154 m³/d · 56 ML/yr</t>
  </si>
  <si>
    <t xml:space="preserve">19 m³/d · 7 ML/yr</t>
  </si>
  <si>
    <t xml:space="preserve">1.42 MLD · 520 ML/yr</t>
  </si>
  <si>
    <t xml:space="preserve">1.73 MLD · 631 ML/yr</t>
  </si>
  <si>
    <t xml:space="preserve">384 m³/d · 140 ML/yr</t>
  </si>
  <si>
    <t xml:space="preserve">48 m³/d · 17.5 ML/yr</t>
  </si>
  <si>
    <t xml:space="preserve">3.56 MLD · 1,300 ML/yr</t>
  </si>
  <si>
    <t xml:space="preserve">3.46 MLD · 1,261 ML/yr</t>
  </si>
  <si>
    <t xml:space="preserve">768 m³/d · 280 ML/yr</t>
  </si>
  <si>
    <t xml:space="preserve">96 m³/d · 35 ML/yr</t>
  </si>
  <si>
    <t xml:space="preserve">7.12 MLD · 2,600 ML/yr</t>
  </si>
  <si>
    <t xml:space="preserve">R6-T06  Water balance: 50 MW evaporative facility at different CoC</t>
  </si>
  <si>
    <t xml:space="preserve">Source: Report 6 (full research report) · 2. Water balance › 2.3 Worked balance: 50 MW Bengaluru hyperscale facility (evaporative)</t>
  </si>
  <si>
    <t xml:space="preserve">Note: Annual balance (ML/yr):</t>
  </si>
  <si>
    <t xml:space="preserve">Used in atlas: Ch 6 "Cooling-tower water balance" calculator.</t>
  </si>
  <si>
    <t xml:space="preserve">Used to derive: Withdrawal, consumption, discharge at each CoC.</t>
  </si>
  <si>
    <t xml:space="preserve">Stream</t>
  </si>
  <si>
    <t xml:space="preserve">CoC 3 (hard borewell)</t>
  </si>
  <si>
    <t xml:space="preserve">CoC 5 (potable or softened)</t>
  </si>
  <si>
    <t xml:space="preserve">CoC 8</t>
  </si>
  <si>
    <t xml:space="preserve">CoC 8 on TTW + RO (75% recovery)</t>
  </si>
  <si>
    <t xml:space="preserve">ZLD</t>
  </si>
  <si>
    <t xml:space="preserve">Evaporation</t>
  </si>
  <si>
    <t xml:space="preserve">Blowdown</t>
  </si>
  <si>
    <t xml:space="preserve">Drift</t>
  </si>
  <si>
    <t xml:space="preserve">Tower make-up</t>
  </si>
  <si>
    <t xml:space="preserve">≈506</t>
  </si>
  <si>
    <t xml:space="preserve">Non-cooling</t>
  </si>
  <si>
    <t xml:space="preserve">772.7 (2.12 MLD)</t>
  </si>
  <si>
    <t xml:space="preserve">646.6 (1.77 MLD)</t>
  </si>
  <si>
    <t xml:space="preserve">592.5 (1.62 MLD)</t>
  </si>
  <si>
    <t xml:space="preserve">785.1 (2.15 MLD)</t>
  </si>
  <si>
    <t xml:space="preserve">≈525 (1.44 MLD)</t>
  </si>
  <si>
    <t xml:space="preserve">Discharge</t>
  </si>
  <si>
    <t xml:space="preserve">≈0</t>
  </si>
  <si>
    <t xml:space="preserve">508.7 (1.39 MLD)</t>
  </si>
  <si>
    <t xml:space="preserve">≈525</t>
  </si>
  <si>
    <t xml:space="preserve">Consumption ÷ withdrawal</t>
  </si>
  <si>
    <t xml:space="preserve">66%</t>
  </si>
  <si>
    <t xml:space="preserve">79%</t>
  </si>
  <si>
    <t xml:space="preserve">86%</t>
  </si>
  <si>
    <t xml:space="preserve">65%</t>
  </si>
  <si>
    <t xml:space="preserve">≈100%</t>
  </si>
  <si>
    <t xml:space="preserve">Site WUE, withdrawal</t>
  </si>
  <si>
    <t xml:space="preserve">Site WUE, consumption</t>
  </si>
  <si>
    <t xml:space="preserve">R6-T07  Water balance: 100 MW AI facility (DLC + adiabatic)</t>
  </si>
  <si>
    <t xml:space="preserve">Source: Report 6 (full research report) · 2. Water balance › 2.4 Worked balance: 100 MW AI facility (DLC + adiabatic dry coolers)</t>
  </si>
  <si>
    <t xml:space="preserve">Note: Inputs: 100 MW × 85% = 744,600 MWh/yr of IT energy; PUE 1.15; all heat to dry coolers. Adiabatic sprays run about 1,000 h/yr (an illustrative assumption, mostly March–May afternoons) at about 1.0 L/kWh.</t>
  </si>
  <si>
    <t xml:space="preserve">Used in atlas: Ch 6 text; Ch 12 Example C reasoning.</t>
  </si>
  <si>
    <t xml:space="preserve">Used to derive: DLC water and peak factor (3.5×).</t>
  </si>
  <si>
    <t xml:space="preserve">Item</t>
  </si>
  <si>
    <t xml:space="preserve">Calculation</t>
  </si>
  <si>
    <t xml:space="preserve">Annual</t>
  </si>
  <si>
    <t xml:space="preserve">Adiabatic water</t>
  </si>
  <si>
    <t xml:space="preserve">85,000 kW × 1,000 h × 1.0 L/kWh</t>
  </si>
  <si>
    <t xml:space="preserve">85 ML</t>
  </si>
  <si>
    <t xml:space="preserve">30 m³/d</t>
  </si>
  <si>
    <t xml:space="preserve">11 ML</t>
  </si>
  <si>
    <t xml:space="preserve">Coolant top-up</t>
  </si>
  <si>
    <t xml:space="preserve">≈1 ML</t>
  </si>
  <si>
    <t xml:space="preserve">Total withdrawal</t>
  </si>
  <si>
    <t xml:space="preserve">≈97 ML/yr (0.27 MLD)</t>
  </si>
  <si>
    <t xml:space="preserve">Site WUE</t>
  </si>
  <si>
    <t xml:space="preserve">97 ML ÷ 744,600 MWh</t>
  </si>
  <si>
    <t xml:space="preserve">≈0.13 L/kWh</t>
  </si>
  <si>
    <t xml:space="preserve">≈80 ML</t>
  </si>
  <si>
    <t xml:space="preserve">One-time fill</t>
  </si>
  <si>
    <t xml:space="preserve">1.5–3 L/kW × 100 MW</t>
  </si>
  <si>
    <t xml:space="preserve">150–300 m³</t>
  </si>
  <si>
    <t xml:space="preserve">Peak day (May)</t>
  </si>
  <si>
    <t xml:space="preserve">10 h × 90 MW × 1.0 + 30 m³</t>
  </si>
  <si>
    <t xml:space="preserve">≈0.93 MLD (peak ÷ average ≈ 3.5)</t>
  </si>
  <si>
    <t xml:space="preserve">Off-site (grid)</t>
  </si>
  <si>
    <t xml:space="preserve">744,600 × 1.15 × 1.5 L/kWh</t>
  </si>
  <si>
    <t xml:space="preserve">≈1,284 ML/yr (3.5 MLD), about 13× on-site</t>
  </si>
  <si>
    <t xml:space="preserve">R6-T08  Water measurement and accounting standards</t>
  </si>
  <si>
    <t xml:space="preserve">Source: Report 6 (full research report) · 2. Water balance › 2.5 Measurement and accounting standards</t>
  </si>
  <si>
    <t xml:space="preserve">Note: Meters: M1 intake by source (borewell telemetry, tanker logs); M2 RO permeate and reject; M3 tower make-up; M4 blowdown; M5 humidifier feed; M6 domestic and STP; M7 reuse; M8 final discharge. Add conductivity for continuous CoC and 15-minute logging.</t>
  </si>
  <si>
    <t xml:space="preserve">Used in atlas: Reference only (metering and standards).</t>
  </si>
  <si>
    <t xml:space="preserve">Used to derive: Disclosure design.</t>
  </si>
  <si>
    <t xml:space="preserve">Standard</t>
  </si>
  <si>
    <t xml:space="preserve">What it requires</t>
  </si>
  <si>
    <t xml:space="preserve">Relevance</t>
  </si>
  <si>
    <t xml:space="preserve">ISO 46001:2019</t>
  </si>
  <si>
    <t xml:space="preserve">Water-efficiency management system (baselines, indicators, Plan-Do-Check-Act)</t>
  </si>
  <si>
    <t xml:space="preserve">Management wrapper</t>
  </si>
  <si>
    <t xml:space="preserve">AWS Standard 2.0</t>
  </si>
  <si>
    <t xml:space="preserve">Site + catchment stewardship, certification</t>
  </si>
  <si>
    <t xml:space="preserve">Best fit for "impact"</t>
  </si>
  <si>
    <t xml:space="preserve">GRI 303</t>
  </si>
  <si>
    <t xml:space="preserve">Withdrawal, discharge, consumption by source and stressed area</t>
  </si>
  <si>
    <t xml:space="preserve">Used company-wide, not per site</t>
  </si>
  <si>
    <t xml:space="preserve">CDP Water Security</t>
  </si>
  <si>
    <t xml:space="preserve">Facility-level data in stressed basins</t>
  </si>
  <si>
    <t xml:space="preserve">Few Indian respondents</t>
  </si>
  <si>
    <t xml:space="preserve">SEBI BRSR Core</t>
  </si>
  <si>
    <t xml:space="preserve">Assured withdrawal by source, consumption, intensity, discharge</t>
  </si>
  <si>
    <t xml:space="preserve">Listed companies only (for example Bharti Airtel, parent of Nxtra)</t>
  </si>
  <si>
    <t xml:space="preserve">EU Delegated Regulation 2024/1364</t>
  </si>
  <si>
    <t xml:space="preserve">Sites ≥500 kW report total water input (W_IN) and potable input (W_IN-POT); WUE = W_IN ÷ E_IT; annually by 15 May</t>
  </si>
  <si>
    <t xml:space="preserve">Template. The 2024 EU average WUE was 0.58 against the Climate Neutral Data Centre Pact target of 0.4.</t>
  </si>
  <si>
    <t xml:space="preserve">ISO/IEC 30134-9:2022</t>
  </si>
  <si>
    <t xml:space="preserve">WUE KPI with withdrawal-type and consumption-type categories</t>
  </si>
  <si>
    <t xml:space="preserve">Like-for-like if category declared</t>
  </si>
  <si>
    <t xml:space="preserve">The Green Grid WUE</t>
  </si>
  <si>
    <t xml:space="preserve">Site and source WUE</t>
  </si>
  <si>
    <t xml:space="preserve">Original definition</t>
  </si>
  <si>
    <t xml:space="preserve">R6-T09  Water per MW of IT capacity</t>
  </si>
  <si>
    <t xml:space="preserve">Source: Report 6 (full research report) · 3. Water intensity metrics › 3.2 L/MW (per MW of IT capacity)</t>
  </si>
  <si>
    <t xml:space="preserve">Note: L/MW/yr = WUE × 8,760 × load factor × 1,000.</t>
  </si>
  <si>
    <t xml:space="preserve">Used in atlas: Reference only (per-MW benchmark).</t>
  </si>
  <si>
    <t xml:space="preserve">Used to derive: Water per MW for allocations.</t>
  </si>
  <si>
    <t xml:space="preserve">Case</t>
  </si>
  <si>
    <t xml:space="preserve">Annual per MW</t>
  </si>
  <si>
    <t xml:space="preserve">Daily per MW</t>
  </si>
  <si>
    <t xml:space="preserve">Evaporative, CoC 5</t>
  </si>
  <si>
    <t xml:space="preserve">12.6 ML</t>
  </si>
  <si>
    <t xml:space="preserve">34.6 m³</t>
  </si>
  <si>
    <t xml:space="preserve">Evaporative, CoC 3</t>
  </si>
  <si>
    <t xml:space="preserve">15.5 ML</t>
  </si>
  <si>
    <t xml:space="preserve">42.4 m³</t>
  </si>
  <si>
    <t xml:space="preserve">WELL Labs heuristic</t>
  </si>
  <si>
    <t xml:space="preserve">≈3.0 (100% load)</t>
  </si>
  <si>
    <t xml:space="preserve">26 ML</t>
  </si>
  <si>
    <t xml:space="preserve">71 m³</t>
  </si>
  <si>
    <t xml:space="preserve">Adiabatic</t>
  </si>
  <si>
    <t xml:space="preserve">2.8 ML</t>
  </si>
  <si>
    <t xml:space="preserve">7.7 m³</t>
  </si>
  <si>
    <t xml:space="preserve">0.35 ML</t>
  </si>
  <si>
    <t xml:space="preserve">1.0 m³</t>
  </si>
  <si>
    <t xml:space="preserve">R6-T10  Water per GPU-hour</t>
  </si>
  <si>
    <t xml:space="preserve">Source: Report 6 (full research report) · 3. Water intensity metrics › 3.4 L/GPU-hour</t>
  </si>
  <si>
    <t xml:space="preserve">Note: GB200 NVL72: about 120 kW per rack (72 GPUs).</t>
  </si>
  <si>
    <t xml:space="preserve">Used in atlas: Ch 6 text (water per GPU-hour).</t>
  </si>
  <si>
    <t xml:space="preserve">Used to derive: Water per GPU-hour.</t>
  </si>
  <si>
    <t xml:space="preserve">Accelerator</t>
  </si>
  <si>
    <t xml:space="preserve">On-site, evaporative (1.80)</t>
  </si>
  <si>
    <t xml:space="preserve">On-site, DLC (0.13)</t>
  </si>
  <si>
    <t xml:space="preserve">Off-site (PUE × 1.5)</t>
  </si>
  <si>
    <t xml:space="preserve">Total (evaporative / DLC)</t>
  </si>
  <si>
    <t xml:space="preserve">H100 per GPU-hour</t>
  </si>
  <si>
    <t xml:space="preserve">1.8 L</t>
  </si>
  <si>
    <t xml:space="preserve">0.13 L</t>
  </si>
  <si>
    <t xml:space="preserve">1.95 / 1.73 L</t>
  </si>
  <si>
    <t xml:space="preserve">3.75 / 1.86 L</t>
  </si>
  <si>
    <t xml:space="preserve">B200 per GPU-hour</t>
  </si>
  <si>
    <t xml:space="preserve">2.5 L</t>
  </si>
  <si>
    <t xml:space="preserve">0.18 L</t>
  </si>
  <si>
    <t xml:space="preserve">2.7 / 2.4 L</t>
  </si>
  <si>
    <t xml:space="preserve">5.2 / 2.6 L</t>
  </si>
  <si>
    <t xml:space="preserve">GB200 NVL72 per rack-hour</t>
  </si>
  <si>
    <t xml:space="preserve">n/a (requires DLC)</t>
  </si>
  <si>
    <t xml:space="preserve">15.6 L</t>
  </si>
  <si>
    <t xml:space="preserve">207 L</t>
  </si>
  <si>
    <t xml:space="preserve">≈223 L (≈3.1 L per GPU-hour)</t>
  </si>
  <si>
    <t xml:space="preserve">R6-T11  Water per inference and training</t>
  </si>
  <si>
    <t xml:space="preserve">Source: Report 6 (full research report) · 3. Water intensity metrics › 3.5 L/inference and training</t>
  </si>
  <si>
    <t xml:space="preserve">Used in atlas: Ch 6 "Water per AI prompt" chart.</t>
  </si>
  <si>
    <t xml:space="preserve">Used to derive: Per-prompt water by boundary.</t>
  </si>
  <si>
    <t xml:space="preserve">Boundary</t>
  </si>
  <si>
    <t xml:space="preserve">Google (August 2025)</t>
  </si>
  <si>
    <t xml:space="preserve">0.26 mL per median Gemini Apps text prompt (0.24 Wh); narrow approach 0.12–0.15 mL</t>
  </si>
  <si>
    <t xml:space="preserve">On-site consumption; fleet-average WUE; excludes electricity water; prompt length unspecified</t>
  </si>
  <si>
    <t xml:space="preserve">Sam Altman (June 2025)</t>
  </si>
  <si>
    <t xml:space="preserve">≈0.32 mL; 0.34 Wh</t>
  </si>
  <si>
    <t xml:space="preserve">Method undisclosed</t>
  </si>
  <si>
    <t xml:space="preserve">Li, Yang, Islam &amp; Ren (UC Riverside), *Making AI Less Thirsty*</t>
  </si>
  <si>
    <t xml:space="preserve">500 mL per 10–50 GPT-3 responses. The paper's India column: 19.7 mL per request, all off-site (on-site WUE 0, EWIF 3.445).</t>
  </si>
  <si>
    <t xml:space="preserve">On-site + off-site</t>
  </si>
  <si>
    <t xml:space="preserve">Mistral AI LCA (Carbone 4, ADEME)</t>
  </si>
  <si>
    <t xml:space="preserve">45 mL per 400-token response; 1.14 gCO₂e</t>
  </si>
  <si>
    <t xml:space="preserve">Full life cycle; training + inference = 91% of water</t>
  </si>
  <si>
    <t xml:space="preserve">GPT-3 training</t>
  </si>
  <si>
    <t xml:space="preserve">5.4 ML total incl. 0.7 ML on-site (US); India case 6.34 ML</t>
  </si>
  <si>
    <t xml:space="preserve">Li et al.</t>
  </si>
  <si>
    <t xml:space="preserve">Mistral Large 2</t>
  </si>
  <si>
    <t xml:space="preserve">281,000 m³ (training + 18 months of use)</t>
  </si>
  <si>
    <t xml:space="preserve">LCA</t>
  </si>
  <si>
    <t xml:space="preserve">R6-T12  Which water metric for which audience</t>
  </si>
  <si>
    <t xml:space="preserve">Source: Report 6 (full research report) · 3. Water intensity metrics › 3.6 Which metric for which audience, pitfalls and normalisation</t>
  </si>
  <si>
    <t xml:space="preserve">Used in atlas: Reference only.</t>
  </si>
  <si>
    <t xml:space="preserve">Used to derive: Which metric for regulator, customer, citizen.</t>
  </si>
  <si>
    <t xml:space="preserve">Audience</t>
  </si>
  <si>
    <t xml:space="preserve">Best metrics</t>
  </si>
  <si>
    <t xml:space="preserve">Monthly site WUE, CoC, make-up per tower cell</t>
  </si>
  <si>
    <t xml:space="preserve">Regulator / utility (BWSSB, KGWA, KSPCB)</t>
  </si>
  <si>
    <t xml:space="preserve">Withdrawal by source (MLD, peak day), consumption, discharge quality</t>
  </si>
  <si>
    <t xml:space="preserve">Customer</t>
  </si>
  <si>
    <t xml:space="preserve">Source WUE, L/GPU-hour, L/inference with declared boundary</t>
  </si>
  <si>
    <t xml:space="preserve">Citizen</t>
  </si>
  <si>
    <t xml:space="preserve">Share of ward or taluk supply, people-equivalents, scarcity-weighted footprint</t>
  </si>
  <si>
    <t xml:space="preserve">Investor</t>
  </si>
  <si>
    <t xml:space="preserve">Consumption in stressed areas; replenishment vs consumption</t>
  </si>
  <si>
    <t xml:space="preserve">R6-T13  Bengaluru scenarios compared (S1–S4)</t>
  </si>
  <si>
    <t xml:space="preserve">Source: Report 6 (full research report) · 3. Water intensity metrics › 3.7 Single comparison table: Bengaluru scenarios</t>
  </si>
  <si>
    <t xml:space="preserve">Used in atlas: Ch 6 Bengaluru scenario table.</t>
  </si>
  <si>
    <t xml:space="preserve">Used to derive: Site vs source WUE for S1–S4.</t>
  </si>
  <si>
    <t xml:space="preserve">S1: 20 MW colocation, evaporative (PUE 1.40, 70%)</t>
  </si>
  <si>
    <t xml:space="preserve">S2: 50 MW hyperscale, evaporative, CoC 5 (PUE 1.30, 80%)</t>
  </si>
  <si>
    <t xml:space="preserve">S3: 50 MW dry (PUE 1.45, 80%)</t>
  </si>
  <si>
    <t xml:space="preserve">S4: 100 MW AI DLC + adiabatic (PUE 1.15, 85%)</t>
  </si>
  <si>
    <t xml:space="preserve">IT energy (GWh/yr)</t>
  </si>
  <si>
    <t xml:space="preserve">Site withdrawal (ML/yr; MLD)</t>
  </si>
  <si>
    <t xml:space="preserve">221; 0.60</t>
  </si>
  <si>
    <t xml:space="preserve">647; 1.77</t>
  </si>
  <si>
    <t xml:space="preserve">17.5; 0.05</t>
  </si>
  <si>
    <t xml:space="preserve">97; 0.27</t>
  </si>
  <si>
    <t xml:space="preserve">Peak day (MLD)</t>
  </si>
  <si>
    <t xml:space="preserve">Site WUE / L per MWh</t>
  </si>
  <si>
    <t xml:space="preserve">1.80 / 1,800</t>
  </si>
  <si>
    <t xml:space="preserve">1.85 / 1,850</t>
  </si>
  <si>
    <t xml:space="preserve">0.05 / 50</t>
  </si>
  <si>
    <t xml:space="preserve">0.13 / 130</t>
  </si>
  <si>
    <t xml:space="preserve">Total / source WUE</t>
  </si>
  <si>
    <t xml:space="preserve">ML/MW/yr (site)</t>
  </si>
  <si>
    <t xml:space="preserve">L per server-hour (0.5 kW), site / total</t>
  </si>
  <si>
    <t xml:space="preserve">0.90 / 1.95</t>
  </si>
  <si>
    <t xml:space="preserve">0.93 / 1.90</t>
  </si>
  <si>
    <t xml:space="preserve">0.025 / 1.11</t>
  </si>
  <si>
    <t xml:space="preserve">0.065 / 0.93</t>
  </si>
  <si>
    <t xml:space="preserve">L per H100-hour, site / total</t>
  </si>
  <si>
    <t xml:space="preserve">1.8 / 3.9</t>
  </si>
  <si>
    <t xml:space="preserve">1.85 / 3.8</t>
  </si>
  <si>
    <t xml:space="preserve">0.05 / 2.2</t>
  </si>
  <si>
    <t xml:space="preserve">0.13 / 1.9</t>
  </si>
  <si>
    <t xml:space="preserve">mL per 0.3 Wh prompt, site / total</t>
  </si>
  <si>
    <t xml:space="preserve">0.39 / 0.84</t>
  </si>
  <si>
    <t xml:space="preserve">0.43 / 0.88</t>
  </si>
  <si>
    <t xml:space="preserve">0.01 / 0.46</t>
  </si>
  <si>
    <t xml:space="preserve">0.03 / 0.48</t>
  </si>
  <si>
    <t xml:space="preserve">R6-T14  Bengaluru sector water-use estimates</t>
  </si>
  <si>
    <t xml:space="preserve">Source: Report 6 (full research report) · 4. Local context › 4.1 Data centre use against Bengaluru's water availability</t>
  </si>
  <si>
    <t xml:space="preserve">Note: Sector use: estimates disagree fivefold:</t>
  </si>
  <si>
    <t xml:space="preserve">Used in atlas: Ch 4 "How much do Bengaluru's data centres use today?" chart.</t>
  </si>
  <si>
    <t xml:space="preserve">Used to derive: Range of sector water estimates.</t>
  </si>
  <si>
    <t xml:space="preserve">Karnataka IT department (2026)</t>
  </si>
  <si>
    <t xml:space="preserve">≈4 MLD across 32 facilities statewide</t>
  </si>
  <si>
    <t xml:space="preserve">Informal "industry-wide approximation"</t>
  </si>
  <si>
    <t xml:space="preserve">WELL Labs (Shashank Palur)</t>
  </si>
  <si>
    <t xml:space="preserve">≈20 MLD</t>
  </si>
  <si>
    <t xml:space="preserve">26 ML/MW/yr × capacity (about 292 MW across 18 centres)</t>
  </si>
  <si>
    <t xml:space="preserve">DTE permissions (2013–2025)</t>
  </si>
  <si>
    <t xml:space="preserve">≈812.9 ML/yr (≈2.2 MLD)</t>
  </si>
  <si>
    <t xml:space="preserve">Allocations, not use</t>
  </si>
  <si>
    <t xml:space="preserve">BWSSB billing</t>
  </si>
  <si>
    <t xml:space="preserve">129,000 L/month for five centres</t>
  </si>
  <si>
    <t xml:space="preserve">Shared meters make it meaningless</t>
  </si>
  <si>
    <t xml:space="preserve">This report</t>
  </si>
  <si>
    <t xml:space="preserve">292 MW × 70% × 24 h × 1.8 ≈ 8.8 MLD if all evaporative; about 4–5 MLD if half air-cooled</t>
  </si>
  <si>
    <t xml:space="preserve">Cooling mix explains the gap</t>
  </si>
  <si>
    <t xml:space="preserve">R6-T15  Equivalence metrics (S2, 50 MW evaporative)</t>
  </si>
  <si>
    <t xml:space="preserve">Source: Report 6 (full research report) · 4. Local context › 4.3 Equivalence metrics (S2, 50 MW evaporative)</t>
  </si>
  <si>
    <t xml:space="preserve">Used in atlas: Ch 6 "Water you can picture" (people, tankers, pools).</t>
  </si>
  <si>
    <t xml:space="preserve">Used to derive: Everyday equivalents of site water.</t>
  </si>
  <si>
    <t xml:space="preserve">Equivalence</t>
  </si>
  <si>
    <t xml:space="preserve">Result</t>
  </si>
  <si>
    <t xml:space="preserve">People at 135 LPCD (1.77 MLD)</t>
  </si>
  <si>
    <t xml:space="preserve">≈13,100 people</t>
  </si>
  <si>
    <t xml:space="preserve">Households (675 L/d)</t>
  </si>
  <si>
    <t xml:space="preserve">≈2,600 households</t>
  </si>
  <si>
    <t xml:space="preserve">Paddy (≈12,500 m³/ha per season, typical value) vs 508,700 m³ consumed</t>
  </si>
  <si>
    <t xml:space="preserve">≈41 ha</t>
  </si>
  <si>
    <t xml:space="preserve">Ragi (≈4,000 m³/ha)</t>
  </si>
  <si>
    <t xml:space="preserve">≈127 ha</t>
  </si>
  <si>
    <t xml:space="preserve">WELL Labs framing, 20 MLD sector-wide</t>
  </si>
  <si>
    <t xml:space="preserve">"drinking water for around 1.3 lakh people"</t>
  </si>
  <si>
    <t xml:space="preserve">Karnataka's 1 GW target, all evaporative at S2 intensity</t>
  </si>
  <si>
    <t xml:space="preserve">≈12.9 GL/yr ≈ 35 MLD (about 1.8% of BWSSB delivered supply); about 71 MLD at WELL Labs intensity</t>
  </si>
  <si>
    <t xml:space="preserve">1 GW, DLC or dry</t>
  </si>
  <si>
    <t xml:space="preserve">≈1–3 MLD on site</t>
  </si>
  <si>
    <t xml:space="preserve">1 GW off-site (80% load, PUE 1.3, 1.5 L/kWh)</t>
  </si>
  <si>
    <t xml:space="preserve">≈37 MLD, regardless of cooling</t>
  </si>
  <si>
    <t xml:space="preserve">R6-T16  Water-stress frameworks</t>
  </si>
  <si>
    <t xml:space="preserve">Source: Report 6 (full research report) · 5. Water stress › 5.1 Frameworks</t>
  </si>
  <si>
    <t xml:space="preserve">Used in atlas: Reference only (water-stress frameworks).</t>
  </si>
  <si>
    <t xml:space="preserve">Used to derive: Choice of scarcity method.</t>
  </si>
  <si>
    <t xml:space="preserve">Scale</t>
  </si>
  <si>
    <t xml:space="preserve">Bengaluru / India</t>
  </si>
  <si>
    <t xml:space="preserve">WRI Aqueduct 4.0 baseline water stress</t>
  </si>
  <si>
    <t xml:space="preserve">Withdrawal ÷ available renewable supply (sub-basin)</t>
  </si>
  <si>
    <t xml:space="preserve">Low &lt;10%, low–medium 10–20%, medium–high 20–40%, high 40–80%, extremely high &gt;80%</t>
  </si>
  <si>
    <t xml:space="preserve">WRI lists India among the 25 "extremely high" countries (2023); a 2026 preprint scores it 3.05 ("high"). Conflict flagged. WRI India finds more than half of India's data centres in high or extremely-high stress areas. S&amp;P Global Sustainable1 (September 2025) projects that "60% to 80%" of India's operating data centres will face high water stress this decade, with an average data centre water stress index of 62. Sub-basin scores for Bengaluru, Cauvery, Krishna (Raichur) and Pennar were not verifiable from text sources.</t>
  </si>
  <si>
    <t xml:space="preserve">AWARE (WULCA)</t>
  </si>
  <si>
    <t xml:space="preserve">CF = world-average available water remaining per area ÷ regional value</t>
  </si>
  <si>
    <t xml:space="preserve">0.1–100 m³ world-eq/m³; consumption-weighted world averages 43 (unspecified), 20 (non-agricultural), 46 (agricultural)</t>
  </si>
  <si>
    <t xml:space="preserve">India sub-national CFs exist in AWARE 1.2; AWARE 2.0 (2025) generally lowers CFs. India and basin values not verified here. Scenario values are used below.</t>
  </si>
  <si>
    <t xml:space="preserve">WWF Water Risk Filter</t>
  </si>
  <si>
    <t xml:space="preserve">Composite basin physical, regulatory and reputational risk</t>
  </si>
  <si>
    <t xml:space="preserve">1–5</t>
  </si>
  <si>
    <t xml:space="preserve">Portfolio screening</t>
  </si>
  <si>
    <t xml:space="preserve">CGWB stage of extraction</t>
  </si>
  <si>
    <t xml:space="preserve">Extraction ÷ extractable recharge</t>
  </si>
  <si>
    <t xml:space="preserve">Safe &lt;70, semi-critical 70–90, critical 90–100, over-exploited &gt;100%</t>
  </si>
  <si>
    <t xml:space="preserve">Most relevant locally: Bangalore East 305%, Devanahalli 169%</t>
  </si>
  <si>
    <t xml:space="preserve">Falkenmark</t>
  </si>
  <si>
    <t xml:space="preserve">Renewable m³/person/year</t>
  </si>
  <si>
    <t xml:space="preserve">&lt;1,700 stress; &lt;1,000 scarcity; &lt;500 absolute</t>
  </si>
  <si>
    <t xml:space="preserve">India near or below 1,700 nationally (approximate). Bengaluru's delivered water is about 80 m³/person/year, almost all imported Cauvery water.</t>
  </si>
  <si>
    <t xml:space="preserve">R6-T17  Proposed materiality thresholds</t>
  </si>
  <si>
    <t xml:space="preserve">Source: Report 6 (full research report) · 5. Water stress › 5.2 Methods</t>
  </si>
  <si>
    <t xml:space="preserve">Note: 2. Materiality thresholds (proposed by this report):</t>
  </si>
  <si>
    <t xml:space="preserve">Used in atlas: Ch 6 thresholds logic (reference).</t>
  </si>
  <si>
    <t xml:space="preserve">Used to derive: Materiality tests for permits.</t>
  </si>
  <si>
    <t xml:space="preserve">Ratio</t>
  </si>
  <si>
    <t xml:space="preserve">Disclose</t>
  </si>
  <si>
    <t xml:space="preserve">Significant</t>
  </si>
  <si>
    <t xml:space="preserve">Material</t>
  </si>
  <si>
    <t xml:space="preserve">Consumption ÷ catchment renewable availability</t>
  </si>
  <si>
    <t xml:space="preserve">&gt;0.1%</t>
  </si>
  <si>
    <t xml:space="preserve">&gt;1%</t>
  </si>
  <si>
    <t xml:space="preserve">&gt;5%</t>
  </si>
  <si>
    <t xml:space="preserve">Withdrawal ÷ ward or zone supply</t>
  </si>
  <si>
    <t xml:space="preserve">&gt;10%</t>
  </si>
  <si>
    <t xml:space="preserve">Groundwater withdrawal ÷ taluk recharge</t>
  </si>
  <si>
    <t xml:space="preserve">any (over-exploited)</t>
  </si>
  <si>
    <t xml:space="preserve">&gt;0.5%</t>
  </si>
  <si>
    <t xml:space="preserve">&gt;1% or any evaporative use in over-exploited taluks</t>
  </si>
  <si>
    <t xml:space="preserve">Peak-month withdrawal ÷ summer deficit</t>
  </si>
  <si>
    <t xml:space="preserve">&gt;2%</t>
  </si>
  <si>
    <t xml:space="preserve">R6-T18  Scarcity-weighted footprint by scenario (50 MW)</t>
  </si>
  <si>
    <t xml:space="preserve">Source: Report 6 (full research report) · 5. Water stress › 5.3 Applying the methods to Bengaluru scenarios (50 MW, annual)</t>
  </si>
  <si>
    <t xml:space="preserve">Note: Off-site consumption is facility energy × 1.5 L/kWh: 683 ML/yr for evaporative and 762 ML/yr for dry. A renewable PPA has an EWIF of about 0.1.</t>
  </si>
  <si>
    <t xml:space="preserve">Used in atlas: Ch 6 "Scarcity-weighted water footprint" chart.</t>
  </si>
  <si>
    <t xml:space="preserve">Used to derive: Footprint ranking of design and source options.</t>
  </si>
  <si>
    <t xml:space="preserve">On-site consumption (ML/yr)</t>
  </si>
  <si>
    <t xml:space="preserve">CF</t>
  </si>
  <si>
    <t xml:space="preserve">On-site WSF (Mm³-eq)</t>
  </si>
  <si>
    <t xml:space="preserve">Off-site (ML/yr)</t>
  </si>
  <si>
    <t xml:space="preserve">Off-site WSF</t>
  </si>
  <si>
    <t xml:space="preserve">Total WSF</t>
  </si>
  <si>
    <t xml:space="preserve">Materiality</t>
  </si>
  <si>
    <t xml:space="preserve">A. Evaporative, Bangalore East groundwater</t>
  </si>
  <si>
    <t xml:space="preserve">3.9% of taluk recharge: material</t>
  </si>
  <si>
    <t xml:space="preserve">B. Evaporative, BWSSB potable</t>
  </si>
  <si>
    <t xml:space="preserve">0.09% of city supply, but drinking water: significant</t>
  </si>
  <si>
    <t xml:space="preserve">C. Evaporative, TTW + RO</t>
  </si>
  <si>
    <t xml:space="preserve">Competes with K&amp;C Valley: disclose</t>
  </si>
  <si>
    <t xml:space="preserve">D. Dry, municipal top-up</t>
  </si>
  <si>
    <t xml:space="preserve">Immaterial on site</t>
  </si>
  <si>
    <t xml:space="preserve">E. Dry + renewable PPA</t>
  </si>
  <si>
    <t xml:space="preserve">Immaterial</t>
  </si>
  <si>
    <t xml:space="preserve">F. 100 MW AI DLC on TTW</t>
  </si>
  <si>
    <t xml:space="preserve">≈80</t>
  </si>
  <si>
    <t xml:space="preserve">66.6 (13.6 with PPA)</t>
  </si>
  <si>
    <t xml:space="preserve">Off-site dominated</t>
  </si>
  <si>
    <t xml:space="preserve">R6-T19  Water impact scorecard</t>
  </si>
  <si>
    <t xml:space="preserve">Source: Report 6 (full research report) · 5. Water stress › 5.4 Water impact scorecard</t>
  </si>
  <si>
    <t xml:space="preserve">Note: Scores run from 1 (low) to 5 (high impact); weights in brackets.</t>
  </si>
  <si>
    <t xml:space="preserve">Used in atlas: Ch 6 "Impact scorecard" table.</t>
  </si>
  <si>
    <t xml:space="preserve">Used to derive: Refuse / redesign / acceptable decision per scenario.</t>
  </si>
  <si>
    <t xml:space="preserve">Dimension (weight)</t>
  </si>
  <si>
    <t xml:space="preserve">A. Evaporative, groundwater</t>
  </si>
  <si>
    <t xml:space="preserve">B. Evaporative, potable</t>
  </si>
  <si>
    <t xml:space="preserve">D. Dry</t>
  </si>
  <si>
    <t xml:space="preserve">F. AI DLC on TTW</t>
  </si>
  <si>
    <t xml:space="preserve">E. Dry + PPA</t>
  </si>
  <si>
    <t xml:space="preserve">Volume (20%): consumption per MW</t>
  </si>
  <si>
    <t xml:space="preserve">Source (25%): over-exploited groundwater 5 … none 1</t>
  </si>
  <si>
    <t xml:space="preserve">Timing (15%): peak and summer coincidence</t>
  </si>
  <si>
    <t xml:space="preserve">Location / stress (25%)</t>
  </si>
  <si>
    <t xml:space="preserve">Off-site (15%)</t>
  </si>
  <si>
    <t xml:space="preserve">Decision (≥4 refuse/redesign; 3–4 conditional; &lt;3 acceptable)</t>
  </si>
  <si>
    <t xml:space="preserve">Refuse</t>
  </si>
  <si>
    <t xml:space="preserve">Redesign</t>
  </si>
  <si>
    <t xml:space="preserve">Conditional</t>
  </si>
  <si>
    <t xml:space="preserve">Acceptable</t>
  </si>
  <si>
    <t xml:space="preserve">Conditional (peak cap, PPA)</t>
  </si>
  <si>
    <t xml:space="preserve">Preferred</t>
  </si>
  <si>
    <t xml:space="preserve">R6-T20  Hyperscaler water reporting: practices and gaps</t>
  </si>
  <si>
    <t xml:space="preserve">Source: Report 6 (full research report) · Hyperscaler and Indian operator water reporting: practices and gaps</t>
  </si>
  <si>
    <t xml:space="preserve">Used in atlas: Ch 6 disclosure text; Ch 12 fleet dots.</t>
  </si>
  <si>
    <t xml:space="preserve">Used to derive: Benchmark WUE values of operators.</t>
  </si>
  <si>
    <t xml:space="preserve">Latest disclosures</t>
  </si>
  <si>
    <t xml:space="preserve">Gaps</t>
  </si>
  <si>
    <t xml:space="preserve">Google</t>
  </si>
  <si>
    <t xml:space="preserve">2024 consumption 8.1 billion gallons (+28%); replenished 4.5 billion gallons = 64% (18% in 2023); original target 120% by 2030. Secondary summaries of the 2026 report show 2025 consumption of about 10.9 billion gallons (+34%) and more than 7 billion gallons replenished. The June 2026 pledge is to replenish more than it consumes at its sites by 2030 (165 projects, 97 watersheds).</t>
  </si>
  <si>
    <t xml:space="preserve">Consumption growing faster than replenishment; replenishment not necessarily in the same catchment; per-prompt figure excludes electricity water</t>
  </si>
  <si>
    <t xml:space="preserve">Microsoft</t>
  </si>
  <si>
    <t xml:space="preserve">WUE 0.30 (FY2024, withdrawal), down from 0.49 (2021); zero-water-evaporation designs since August 2024 (pilots at Phoenix and Mt Pleasant from 2026, coming online from late 2027), which Microsoft's VP of Datacenter Infrastructure Engineering Steve Solomon says will save more than 125 million litres of water per datacenter per year</t>
  </si>
  <si>
    <t xml:space="preserve">"Nominal" energy increase; claims not independently reviewed; legacy fleet still evaporative</t>
  </si>
  <si>
    <t xml:space="preserve">AWS</t>
  </si>
  <si>
    <t xml:space="preserve">WUE 0.15 (2024) and 0.12 (2025); 53% → 75% toward water positive by 2030; claims water positive in India (returned 120% in 2025)</t>
  </si>
  <si>
    <t xml:space="preserve">No Indian site volumes or sources; relies on replenishment accounting</t>
  </si>
  <si>
    <t xml:space="preserve">Meta</t>
  </si>
  <si>
    <t xml:space="preserve">WUE 0.19 (2024); consumption 3,123 ML; restores 200% (high stress) and 100% (medium stress); 1.6 billion gallons restored in 2024; construction water reported separately</t>
  </si>
  <si>
    <t xml:space="preserve">US-centric</t>
  </si>
  <si>
    <t xml:space="preserve">R6-T21  Minimum water disclosure framework</t>
  </si>
  <si>
    <t xml:space="preserve">Source: Report 6 (full research report) · Recommendations › A. Minimum measurement and disclosure framework (all sites ≥500 kW IT)</t>
  </si>
  <si>
    <t xml:space="preserve">Used in atlas: Ch 6 "Seven metrics every site should publish".</t>
  </si>
  <si>
    <t xml:space="preserve">Used to derive: Minimum disclosure standard.</t>
  </si>
  <si>
    <t xml:space="preserve">Granularity</t>
  </si>
  <si>
    <t xml:space="preserve">Withdrawal by source (potable, groundwater, tanker, TTW, rainwater)</t>
  </si>
  <si>
    <t xml:space="preserve">m³, monthly, per site</t>
  </si>
  <si>
    <t xml:space="preserve">GRI 303-3; EU 2024/1364</t>
  </si>
  <si>
    <t xml:space="preserve">Consumption (withdrawal − discharge, cross-checked by CoC)</t>
  </si>
  <si>
    <t xml:space="preserve">m³, monthly</t>
  </si>
  <si>
    <t xml:space="preserve">GRI 303-5; ISO 14046</t>
  </si>
  <si>
    <t xml:space="preserve">Discharge volume and quality</t>
  </si>
  <si>
    <t xml:space="preserve">m³, mg/L</t>
  </si>
  <si>
    <t xml:space="preserve">GRI 303-4; CPCB / KSPCB</t>
  </si>
  <si>
    <t xml:space="preserve">Site WUE, withdrawal and consumption (ISO/IEC 30134-9 category declared)</t>
  </si>
  <si>
    <t xml:space="preserve">L/kWh, monthly and annual</t>
  </si>
  <si>
    <t xml:space="preserve">The Green Grid</t>
  </si>
  <si>
    <t xml:space="preserve">Source WUE (location-based and market-based)</t>
  </si>
  <si>
    <t xml:space="preserve">L/kWh</t>
  </si>
  <si>
    <t xml:space="preserve">Scarcity-weighted footprint (on-site + off-site)</t>
  </si>
  <si>
    <t xml:space="preserve">m³ world-eq (AWARE version declared)</t>
  </si>
  <si>
    <t xml:space="preserve">ISO 14046</t>
  </si>
  <si>
    <t xml:space="preserve">Seasonal profile</t>
  </si>
  <si>
    <t xml:space="preserve">Peak-day MLD, peak-month ÷ average, storage hours</t>
  </si>
  <si>
    <t xml:space="preserve">+</t>
  </si>
  <si>
    <t xml:space="preserve">Context ratios</t>
  </si>
  <si>
    <t xml:space="preserve">Share of taluk groundwater and ward supply</t>
  </si>
  <si>
    <t xml:space="preserve">CGWB / BWSSB</t>
  </si>
  <si>
    <t xml:space="preserve">R6-T22  Suggested water thresholds</t>
  </si>
  <si>
    <t xml:space="preserve">Source: Report 6 (full research report) · Recommendations › C. Suggested thresholds</t>
  </si>
  <si>
    <t xml:space="preserve">Used in atlas: Ch 6 "Suggested thresholds" table.</t>
  </si>
  <si>
    <t xml:space="preserve">Used to derive: Green/amber/red ratings.</t>
  </si>
  <si>
    <t xml:space="preserve">Indicator</t>
  </si>
  <si>
    <t xml:space="preserve">Green</t>
  </si>
  <si>
    <t xml:space="preserve">Amber</t>
  </si>
  <si>
    <t xml:space="preserve">Red</t>
  </si>
  <si>
    <t xml:space="preserve">Site consumption WUE (L/kWh)</t>
  </si>
  <si>
    <t xml:space="preserve">≤0.2</t>
  </si>
  <si>
    <t xml:space="preserve">0.2–1.0</t>
  </si>
  <si>
    <t xml:space="preserve">&gt;1.0</t>
  </si>
  <si>
    <t xml:space="preserve">Groundwater for cooling, over-exploited taluks</t>
  </si>
  <si>
    <t xml:space="preserve">0%</t>
  </si>
  <si>
    <t xml:space="preserve">&gt;0%</t>
  </si>
  <si>
    <t xml:space="preserve">Withdrawal ÷ taluk recharge</t>
  </si>
  <si>
    <t xml:space="preserve">&lt;0.5%</t>
  </si>
  <si>
    <t xml:space="preserve">0.5–1%</t>
  </si>
  <si>
    <t xml:space="preserve">Peak ÷ average without curtailment plan</t>
  </si>
  <si>
    <t xml:space="preserve">&lt;1.5</t>
  </si>
  <si>
    <t xml:space="preserve">1.5–3</t>
  </si>
  <si>
    <t xml:space="preserve">&gt;3</t>
  </si>
  <si>
    <t xml:space="preserve">Source WUE (L/kWh)</t>
  </si>
  <si>
    <t xml:space="preserve">&lt;1.0</t>
  </si>
  <si>
    <t xml:space="preserve">1.0–2.5</t>
  </si>
  <si>
    <t xml:space="preserve">&gt;2.5</t>
  </si>
  <si>
    <t xml:space="preserve">Scorecard</t>
  </si>
  <si>
    <t xml:space="preserve">&lt;3</t>
  </si>
  <si>
    <t xml:space="preserve">3–4</t>
  </si>
  <si>
    <t xml:space="preserve">≥4</t>
  </si>
  <si>
    <t xml:space="preserve">24 tables. Source line under each title; "Note" gives the context sentence from the report.</t>
  </si>
  <si>
    <t xml:space="preserve">R7-T01  Construction cost index by market (Turner &amp; Townsend)</t>
  </si>
  <si>
    <t xml:space="preserve">Source: Report 7 (full research report) · 1. CAPEX (₹) › 1.1 Global and Indian benchmarks</t>
  </si>
  <si>
    <t xml:space="preserve">Note: Turner &amp; Townsend Data Centre Construction Cost Index 2025–26 (52 markets, traditional air-cooled cloud data centre, US$ per watt; construction only):</t>
  </si>
  <si>
    <t xml:space="preserve">Used in atlas: Ch 7 "Build cost around the world" chart; Key numbers.</t>
  </si>
  <si>
    <t xml:space="preserve">Used to derive: Mumbai cost advantage; forecast base cost.</t>
  </si>
  <si>
    <t xml:space="preserve">Market</t>
  </si>
  <si>
    <t xml:space="preserve">US$/W</t>
  </si>
  <si>
    <t xml:space="preserve">₹ crore/MW (at ₹90/$)</t>
  </si>
  <si>
    <t xml:space="preserve">Tokyo</t>
  </si>
  <si>
    <t xml:space="preserve">Most expensive</t>
  </si>
  <si>
    <t xml:space="preserve">Singapore</t>
  </si>
  <si>
    <t xml:space="preserve">2nd</t>
  </si>
  <si>
    <t xml:space="preserve">Zurich</t>
  </si>
  <si>
    <t xml:space="preserve">3rd</t>
  </si>
  <si>
    <t xml:space="preserve">Silicon Valley</t>
  </si>
  <si>
    <t xml:space="preserve">Largest US premium</t>
  </si>
  <si>
    <t xml:space="preserve">New Jersey</t>
  </si>
  <si>
    <t xml:space="preserve">Oslo</t>
  </si>
  <si>
    <t xml:space="preserve">7th</t>
  </si>
  <si>
    <t xml:space="preserve">London</t>
  </si>
  <si>
    <t xml:space="preserve">Frankfurt</t>
  </si>
  <si>
    <t xml:space="preserve">Atlanta</t>
  </si>
  <si>
    <t xml:space="preserve">Phoenix / Columbus</t>
  </si>
  <si>
    <t xml:space="preserve">Charlotte</t>
  </si>
  <si>
    <t xml:space="preserve">Mumbai</t>
  </si>
  <si>
    <t xml:space="preserve">51st of 52</t>
  </si>
  <si>
    <t xml:space="preserve">R7-T02  Land prices in Indian data-centre hubs</t>
  </si>
  <si>
    <t xml:space="preserve">Source: Report 7 (full research report) · 1. CAPEX (₹) › 1.2 Land and buildings</t>
  </si>
  <si>
    <t xml:space="preserve">Note: Land prices per acre in Indian data centre hubs. Transaction-based figures are labelled. The rest are estimates or come from low-quality sources.</t>
  </si>
  <si>
    <t xml:space="preserve">Used in atlas: Ch 7 "Land and power" table; simulator land prices.</t>
  </si>
  <si>
    <t xml:space="preserve">Used to derive: Land share of capex by hub.</t>
  </si>
  <si>
    <t xml:space="preserve">₹ crore/acre</t>
  </si>
  <si>
    <t xml:space="preserve">Evidence</t>
  </si>
  <si>
    <t xml:space="preserve">Navi Mumbai (TTC MIDC, Airoli, Mahape, Ghansoli)</t>
  </si>
  <si>
    <t xml:space="preserve">15–40 greenfield; up to ~80 for in-fill with structures</t>
  </si>
  <si>
    <t xml:space="preserve">STT GDC paid ₹282 crore for 14,093 m² (~3.5 acres) with an existing 6,828 m² building (May 2026), ≈₹81 crore/acre. Brookfield paid ₹600 crore for 30 acres in Ghansoli (2021), ≈₹20 crore/acre.</t>
  </si>
  <si>
    <t xml:space="preserve">Thane / Palava (MMR periphery)</t>
  </si>
  <si>
    <t xml:space="preserve">12–35</t>
  </si>
  <si>
    <t xml:space="preserve">AWS: ~40–45 acres at Palava for ₹500–600 crore (≈₹12–14 crore/acre). Amazon: 54 acres in Thane for ₹1,870 crore (≈₹35 crore/acre).</t>
  </si>
  <si>
    <t xml:space="preserve">Chennai (Ambattur, Oragadam, Siruseri)</t>
  </si>
  <si>
    <t xml:space="preserve">8–15 Ambattur; 3–8 Oragadam (estimate)</t>
  </si>
  <si>
    <t xml:space="preserve">A secondary blog source gives ₹8–15 crore/acre; treat as indicative.</t>
  </si>
  <si>
    <t xml:space="preserve">2–6</t>
  </si>
  <si>
    <t xml:space="preserve">Microsoft bought 48 acres for ₹267 crore (2024), ≈₹5.6 crore/acre.</t>
  </si>
  <si>
    <t xml:space="preserve">Noida / Greater Noida</t>
  </si>
  <si>
    <t xml:space="preserve">3–10 (estimate, not verified)</t>
  </si>
  <si>
    <t xml:space="preserve">Authority allotment rates vary; check YEIDA and GNIDA schedules.</t>
  </si>
  <si>
    <t xml:space="preserve">Bengaluru Whitefield</t>
  </si>
  <si>
    <t xml:space="preserve">10–25 (estimate, not verified)</t>
  </si>
  <si>
    <t xml:space="preserve">Bengaluru Devanahalli / Hoskote</t>
  </si>
  <si>
    <t xml:space="preserve">4–10 (estimate, not verified)</t>
  </si>
  <si>
    <t xml:space="preserve">Pune (Hinjewadi, Chakan, Talegaon)</t>
  </si>
  <si>
    <t xml:space="preserve">5–15 (estimate, not verified)</t>
  </si>
  <si>
    <t xml:space="preserve">R7-T03  Servers, storage and GPU prices</t>
  </si>
  <si>
    <t xml:space="preserve">Source: Report 7 (full research report) · 1. CAPEX (₹) › 1.3 Servers, storage and GPUs (IT capex)</t>
  </si>
  <si>
    <t xml:space="preserve">Used in atlas: Ch 7 GPU calculator (HGX prices); simulator GPU capex.</t>
  </si>
  <si>
    <t xml:space="preserve">Used to derive: IT capex per MW and per GPU.</t>
  </si>
  <si>
    <t xml:space="preserve">Price (USD)</t>
  </si>
  <si>
    <t xml:space="preserve">India landed (₹, at ₹90/$)</t>
  </si>
  <si>
    <t xml:space="preserve">CPU server, dual-socket 1U/2U cloud node</t>
  </si>
  <si>
    <t xml:space="preserve">US$9–22k (estimate)</t>
  </si>
  <si>
    <t xml:space="preserve">₹8–20 lakh</t>
  </si>
  <si>
    <t xml:space="preserve">Not verified; varies hugely with configuration</t>
  </si>
  <si>
    <t xml:space="preserve">Storage</t>
  </si>
  <si>
    <t xml:space="preserve">~₹45–90 lakh per PB raw (estimate)</t>
  </si>
  <si>
    <t xml:space="preserve">Not verified</t>
  </si>
  <si>
    <t xml:space="preserve">H100 SXM card</t>
  </si>
  <si>
    <t xml:space="preserve">US$25–40k</t>
  </si>
  <si>
    <t xml:space="preserve">₹22–36 lakh</t>
  </si>
  <si>
    <t xml:space="preserve">Multiple 2026 price guides</t>
  </si>
  <si>
    <t xml:space="preserve">H100 HGX 8-GPU server</t>
  </si>
  <si>
    <t xml:space="preserve">US$250–320k</t>
  </si>
  <si>
    <t xml:space="preserve">₹2.25–2.9 crore</t>
  </si>
  <si>
    <t xml:space="preserve">H200 HGX 8-GPU server</t>
  </si>
  <si>
    <t xml:space="preserve">~US$300–330k (estimate)</t>
  </si>
  <si>
    <t xml:space="preserve">~₹2.7–3.0 crore</t>
  </si>
  <si>
    <t xml:space="preserve">H200 cards quoted at US$30–35k</t>
  </si>
  <si>
    <t xml:space="preserve">B200 HGX 8-GPU server</t>
  </si>
  <si>
    <t xml:space="preserve">US$400–500k (DGX B200 lists ~US$515k)</t>
  </si>
  <si>
    <t xml:space="preserve">₹3.6–4.5 crore</t>
  </si>
  <si>
    <t xml:space="preserve">GB200 NVL72 rack</t>
  </si>
  <si>
    <t xml:space="preserve">US$3.0M (HSBC); US$3.1M bare / US$3.9M all-in (SemiAnalysis)</t>
  </si>
  <si>
    <t xml:space="preserve">₹27–35 crore</t>
  </si>
  <si>
    <t xml:space="preserve">72 GPUs, ~120–135 kW</t>
  </si>
  <si>
    <t xml:space="preserve">GB300 NVL72 rack</t>
  </si>
  <si>
    <t xml:space="preserve">US$3.7–4.0M (Loop Capital) vs US$6.0–6.5M (Tom's Hardware supply chain, March 2026); ~US$5.0M purchase / US$5.7M deployed (Data Gravity)</t>
  </si>
  <si>
    <t xml:space="preserve">₹33–58 crore</t>
  </si>
  <si>
    <t xml:space="preserve">Estimates disagree; Supermicro datasheet lists 132–140 kW</t>
  </si>
  <si>
    <t xml:space="preserve">R7-T04  Soft costs, interest during construction and contingency</t>
  </si>
  <si>
    <t xml:space="preserve">Source: Report 7 (full research report) · 1. CAPEX (₹) › 1.8 Soft costs, interest during construction and contingency</t>
  </si>
  <si>
    <t xml:space="preserve">Used in atlas: Capex stacks (soft costs, contingency, IDC).</t>
  </si>
  <si>
    <t xml:space="preserve">Used to derive: Soft-cost share of capex.</t>
  </si>
  <si>
    <t xml:space="preserve">Typical share</t>
  </si>
  <si>
    <t xml:space="preserve">Our base</t>
  </si>
  <si>
    <t xml:space="preserve">Design, permits, project management (PMC), commissioning</t>
  </si>
  <si>
    <t xml:space="preserve">5–8% of hard cost</t>
  </si>
  <si>
    <t xml:space="preserve">5–6%</t>
  </si>
  <si>
    <t xml:space="preserve">Contingency</t>
  </si>
  <si>
    <t xml:space="preserve">5–6.5%</t>
  </si>
  <si>
    <t xml:space="preserve">Interest during construction (IDC)</t>
  </si>
  <si>
    <t xml:space="preserve">18–24-month build; ~70% debt at ~9.5%; average 50% drawn</t>
  </si>
  <si>
    <t xml:space="preserve">≈5–6% of facility cost</t>
  </si>
  <si>
    <t xml:space="preserve">R7-T05  Capex breakdown: 20 MW Tier III colocation</t>
  </si>
  <si>
    <t xml:space="preserve">Source: Report 7 (full research report) · 1. CAPEX (₹) › 1.9 Breakdown tables for the three cases</t>
  </si>
  <si>
    <t xml:space="preserve">Note: (a) 20 MW Tier III colocation (Navi Mumbai/Chennai-type; air-cooled chilled water; 2N electrical, N+1 DG; multi-storey on 5 acres at ₹20 crore/acre)</t>
  </si>
  <si>
    <t xml:space="preserve">Used in atlas: Ch 7 "Line by line" table (Case A) and capex chart; simulator colo capex ₹56.1 cr/MW.</t>
  </si>
  <si>
    <t xml:space="preserve">Used to derive: Capex per MW for a colo.</t>
  </si>
  <si>
    <t xml:space="preserve">₹ crore/MW</t>
  </si>
  <si>
    <t xml:space="preserve">₹ crore (20 MW)</t>
  </si>
  <si>
    <t xml:space="preserve">Share of facility capex</t>
  </si>
  <si>
    <t xml:space="preserve">Land (0.25 acre/MW)</t>
  </si>
  <si>
    <t xml:space="preserve">Shell and core, civil/structural</t>
  </si>
  <si>
    <t xml:space="preserve">15.2%</t>
  </si>
  <si>
    <t xml:space="preserve">Electrical (substation share, transformers, switchgear, 2N UPS, PDUs, busway)</t>
  </si>
  <si>
    <t xml:space="preserve">39.2%</t>
  </si>
  <si>
    <t xml:space="preserve">Cooling (chillers, towers/adiabatic, CRAH, piping)</t>
  </si>
  <si>
    <t xml:space="preserve">17.8%</t>
  </si>
  <si>
    <t xml:space="preserve">Backup (DG N+1 ~42 MVA, fuel)</t>
  </si>
  <si>
    <t xml:space="preserve">7.5%</t>
  </si>
  <si>
    <t xml:space="preserve">Fire, BMS/DCIM, security, low-voltage</t>
  </si>
  <si>
    <t xml:space="preserve">3.6%</t>
  </si>
  <si>
    <t xml:space="preserve">Networking (meet-me rooms, fibre entry, cabling)</t>
  </si>
  <si>
    <t xml:space="preserve">1.8%</t>
  </si>
  <si>
    <t xml:space="preserve">Hard cost subtotal</t>
  </si>
  <si>
    <t xml:space="preserve">85.0%</t>
  </si>
  <si>
    <t xml:space="preserve">Design, permits, PMC (~6%)</t>
  </si>
  <si>
    <t xml:space="preserve">5.3%</t>
  </si>
  <si>
    <t xml:space="preserve">Contingency (~5%)</t>
  </si>
  <si>
    <t xml:space="preserve">4.5%</t>
  </si>
  <si>
    <t xml:space="preserve">Interest during construction</t>
  </si>
  <si>
    <t xml:space="preserve">Facility total (excl. land)</t>
  </si>
  <si>
    <t xml:space="preserve">100%</t>
  </si>
  <si>
    <t xml:space="preserve">Total incl. land</t>
  </si>
  <si>
    <t xml:space="preserve">1,222 (≈US$136M)</t>
  </si>
  <si>
    <t xml:space="preserve">Land = 8%</t>
  </si>
  <si>
    <t xml:space="preserve">R7-T06  Capex breakdown: 50 MW hyperscale build-to-suit</t>
  </si>
  <si>
    <t xml:space="preserve">Note: (b) 50 MW hyperscale build-to-suit (Hyderabad/Chennai-type; developer delivers shell and M&amp;E, tenant supplies IT; 20 acres at ₹8 crore/acre)</t>
  </si>
  <si>
    <t xml:space="preserve">Used in atlas: Ch 7 "Line by line" (Case B); simulator hyperscale ₹39.2 cr/MW.</t>
  </si>
  <si>
    <t xml:space="preserve">Used to derive: Capex per MW for hyperscale.</t>
  </si>
  <si>
    <t xml:space="preserve">₹ crore (50 MW)</t>
  </si>
  <si>
    <t xml:space="preserve">Land (0.4 acre/MW)</t>
  </si>
  <si>
    <t xml:space="preserve">Shell and core</t>
  </si>
  <si>
    <t xml:space="preserve">14.0%</t>
  </si>
  <si>
    <t xml:space="preserve">Electrical (incl. 220 kV substation)</t>
  </si>
  <si>
    <t xml:space="preserve">39.5%</t>
  </si>
  <si>
    <t xml:space="preserve">19.1%</t>
  </si>
  <si>
    <t xml:space="preserve">Backup (DG)</t>
  </si>
  <si>
    <t xml:space="preserve">8.4%</t>
  </si>
  <si>
    <t xml:space="preserve">Fire, BMS, security</t>
  </si>
  <si>
    <t xml:space="preserve">Networking / meet-me rooms</t>
  </si>
  <si>
    <t xml:space="preserve">0.8%</t>
  </si>
  <si>
    <t xml:space="preserve">85.5%</t>
  </si>
  <si>
    <t xml:space="preserve">Soft costs (5%)</t>
  </si>
  <si>
    <t xml:space="preserve">4.3%</t>
  </si>
  <si>
    <t xml:space="preserve">Contingency (5%)</t>
  </si>
  <si>
    <t xml:space="preserve">5.9%</t>
  </si>
  <si>
    <t xml:space="preserve">Facility total</t>
  </si>
  <si>
    <t xml:space="preserve">2,120 (≈US$236M)</t>
  </si>
  <si>
    <t xml:space="preserve">Land = 7.5%</t>
  </si>
  <si>
    <t xml:space="preserve">R7-T07  Capex breakdown: 100 MW AI campus incl. GPUs</t>
  </si>
  <si>
    <t xml:space="preserve">Note: (c) 100 MW AI campus including GPUs (liquid-cooled; GB300 NVL72-class at ~135 kW/rack; Hyderabad/AP/Devanahalli-type land at ₹5 crore/acre)</t>
  </si>
  <si>
    <t xml:space="preserve">Used in atlas: Ch 7 "Line by line" (Case C); simulator AI ₹72.5 + ₹266 cr/MW.</t>
  </si>
  <si>
    <t xml:space="preserve">Used to derive: Capex per MW for an AI campus incl. GPUs.</t>
  </si>
  <si>
    <t xml:space="preserve">₹ crore (100 MW)</t>
  </si>
  <si>
    <t xml:space="preserve">Share</t>
  </si>
  <si>
    <t xml:space="preserve">Land (0.3 acre/MW, 30 acres)</t>
  </si>
  <si>
    <t xml:space="preserve">0.4% of total</t>
  </si>
  <si>
    <t xml:space="preserve">9.7% of facility</t>
  </si>
  <si>
    <t xml:space="preserve">Electrical (400/220 kV substation, high-ampacity busway, UPS)</t>
  </si>
  <si>
    <t xml:space="preserve">38.6%</t>
  </si>
  <si>
    <t xml:space="preserve">Cooling (CDUs, DLC loops, dry coolers, trim chillers)</t>
  </si>
  <si>
    <t xml:space="preserve">23.4%</t>
  </si>
  <si>
    <t xml:space="preserve">Backup (DG N+1 + BESS)</t>
  </si>
  <si>
    <t xml:space="preserve">8.3%</t>
  </si>
  <si>
    <t xml:space="preserve">Fire, BMS</t>
  </si>
  <si>
    <t xml:space="preserve">Network infrastructure (meet-me rooms, fibre)</t>
  </si>
  <si>
    <t xml:space="preserve">1.4%</t>
  </si>
  <si>
    <t xml:space="preserve">Soft costs / contingency / IDC</t>
  </si>
  <si>
    <t xml:space="preserve">3.5 / 4.0 / 4.0</t>
  </si>
  <si>
    <t xml:space="preserve">350 / 400 / 400</t>
  </si>
  <si>
    <t xml:space="preserve">15.8%</t>
  </si>
  <si>
    <t xml:space="preserve">21.3% of total</t>
  </si>
  <si>
    <t xml:space="preserve">GPU racks: ~590 × GB300 NVL72 at ~US$4.2M</t>
  </si>
  <si>
    <t xml:space="preserve">Back-end fabric (~12% of cluster)</t>
  </si>
  <si>
    <t xml:space="preserve">Storage, front-end, CPU, management</t>
  </si>
  <si>
    <t xml:space="preserve">IT total (42,480 GPUs)</t>
  </si>
  <si>
    <t xml:space="preserve">78.2% of total</t>
  </si>
  <si>
    <t xml:space="preserve">Campus total</t>
  </si>
  <si>
    <t xml:space="preserve">~340</t>
  </si>
  <si>
    <t xml:space="preserve">~34,020 (≈US$3.8 billion)</t>
  </si>
  <si>
    <t xml:space="preserve">IT/facility = 3.7×</t>
  </si>
  <si>
    <t xml:space="preserve">R7-T08  State HT/EHT tariffs for data centres (FY2025–26)</t>
  </si>
  <si>
    <t xml:space="preserve">Source: Report 7 (full research report) · 2. OPEX (₹) › 2.1 Electricity</t>
  </si>
  <si>
    <t xml:space="preserve">Note: State HT/EHT tariffs relevant to data centres (FY2025–26 orders; energy charge plus demand charge; excludes electricity duty, ToD and fuel adjustments):</t>
  </si>
  <si>
    <t xml:space="preserve">Used in atlas: Simulator tariffs (KA, MH, TN, TG); Ch 7 land and power table.</t>
  </si>
  <si>
    <t xml:space="preserve">Used to derive: Power bill and LCOD.</t>
  </si>
  <si>
    <t xml:space="preserve">Category / voltage</t>
  </si>
  <si>
    <t xml:space="preserve">Energy ₹/kWh</t>
  </si>
  <si>
    <t xml:space="preserve">Demand ₹/kVA/month</t>
  </si>
  <si>
    <t xml:space="preserve">DC-specific relief</t>
  </si>
  <si>
    <t xml:space="preserve">Karnataka</t>
  </si>
  <si>
    <t xml:space="preserve">HT industrial (prior report)</t>
  </si>
  <si>
    <t xml:space="preserve">~6.70</t>
  </si>
  <si>
    <t xml:space="preserve">~365</t>
  </si>
  <si>
    <t xml:space="preserve">See prior report</t>
  </si>
  <si>
    <t xml:space="preserve">Maharashtra (MSEDCL)</t>
  </si>
  <si>
    <t xml:space="preserve">HT-I(A) Industry</t>
  </si>
  <si>
    <t xml:space="preserve">MERC: 10% wheeling-charge discount for data centres sourcing green power via open access or green tariff. State policy: ₹1/unit tariff subsidy for 5 years for certain new data centre units. MERC's March 2025 multi-year order was later subject to review; verify the current schedule.</t>
  </si>
  <si>
    <t xml:space="preserve">Tamil Nadu (TNERC)</t>
  </si>
  <si>
    <t xml:space="preserve">HT-I</t>
  </si>
  <si>
    <t xml:space="preserve">608 (up from 589)</t>
  </si>
  <si>
    <t xml:space="preserve">100% electricity tax subsidy for 5 years for data centres. Green tariff = 110% of category tariff. ToD: +25% peak, −5% night.</t>
  </si>
  <si>
    <t xml:space="preserve">Telangana (TGERC)</t>
  </si>
  <si>
    <t xml:space="preserve">HT-I(A) at 132 kV / 33 kV / 11 kV</t>
  </si>
  <si>
    <t xml:space="preserve">6.65 / 7.15 / 7.65</t>
  </si>
  <si>
    <t xml:space="preserve">Data centres pay 60% (wind) / 70% (solar) of conventional cross-subsidy surcharge.</t>
  </si>
  <si>
    <t xml:space="preserve">Uttar Pradesh, Andhra Pradesh, Gujarat</t>
  </si>
  <si>
    <t xml:space="preserve">HT industrial</t>
  </si>
  <si>
    <t xml:space="preserve">Not verified in this research (typically ₹7–8)</t>
  </si>
  <si>
    <t xml:space="preserve">Check UPERC, APERC and GERC orders. Andhra Pradesh hosts Google's planned US$6 billion, 1 GW project.</t>
  </si>
  <si>
    <t xml:space="preserve">R7-T09  Annual electricity cost by tariff and case</t>
  </si>
  <si>
    <t xml:space="preserve">Note: Case C: 100 MW × PUE 1.25 = 125 MW, 1,095 GWh, 138 MVA</t>
  </si>
  <si>
    <t xml:space="preserve">Used in atlas: Reference for simulator power bill.</t>
  </si>
  <si>
    <t xml:space="preserve">Used to derive: Annual electricity cost by state.</t>
  </si>
  <si>
    <t xml:space="preserve">Tariff</t>
  </si>
  <si>
    <t xml:space="preserve">Case A (20 MW colo)</t>
  </si>
  <si>
    <t xml:space="preserve">Case B (50 MW hyperscale)</t>
  </si>
  <si>
    <t xml:space="preserve">Case C (100 MW AI)</t>
  </si>
  <si>
    <t xml:space="preserve">Effective ₹/kWh</t>
  </si>
  <si>
    <t xml:space="preserve">Karnataka (6.70 + 365)</t>
  </si>
  <si>
    <t xml:space="preserve">~7.25</t>
  </si>
  <si>
    <t xml:space="preserve">Maharashtra (7.27 + 560)</t>
  </si>
  <si>
    <t xml:space="preserve">~8.1 (before ₹1 subsidy)</t>
  </si>
  <si>
    <t xml:space="preserve">Tamil Nadu (7.50 + 608)</t>
  </si>
  <si>
    <t xml:space="preserve">~8.4 (≈8.9 with ToD for a flat load)</t>
  </si>
  <si>
    <t xml:space="preserve">Telangana 132 kV (6.65 + 500)</t>
  </si>
  <si>
    <t xml:space="preserve">~7.4</t>
  </si>
  <si>
    <t xml:space="preserve">Green RTC via group captive (~6.5 + grid demand ~500)</t>
  </si>
  <si>
    <t xml:space="preserve">~190.6</t>
  </si>
  <si>
    <t xml:space="preserve">~444.8</t>
  </si>
  <si>
    <t xml:space="preserve">~794.6</t>
  </si>
  <si>
    <t xml:space="preserve">R7-T10  Water bill by case</t>
  </si>
  <si>
    <t xml:space="preserve">Source: Report 7 (full research report) · 2. OPEX (₹) › 2.2 Water</t>
  </si>
  <si>
    <t xml:space="preserve">Note: The prior water report gave about 0.6–1.8 MLD for evaporative cases. Tariff anchors are BWSSB industrial at about ₹99/kL and treated water at ₹10–20/kL. MIDC, CMWSSB and HMWSSB tariffs were not re-verified here.</t>
  </si>
  <si>
    <t xml:space="preserve">Used in atlas: Simulator water cost line.</t>
  </si>
  <si>
    <t xml:space="preserve">Used to derive: Water cost share of opex (&lt;2%).</t>
  </si>
  <si>
    <t xml:space="preserve">Assumed draw</t>
  </si>
  <si>
    <t xml:space="preserve">kL/yr</t>
  </si>
  <si>
    <t xml:space="preserve">Bill at ₹99/kL</t>
  </si>
  <si>
    <t xml:space="preserve">Bill at ₹15/kL (treated)</t>
  </si>
  <si>
    <t xml:space="preserve">A: 20 MW colo (evaporative)</t>
  </si>
  <si>
    <t xml:space="preserve">0.3 MLD</t>
  </si>
  <si>
    <t xml:space="preserve">₹1.08 crore</t>
  </si>
  <si>
    <t xml:space="preserve">₹0.16 crore</t>
  </si>
  <si>
    <t xml:space="preserve">B: 50 MW hyperscale</t>
  </si>
  <si>
    <t xml:space="preserve">0.6 MLD</t>
  </si>
  <si>
    <t xml:space="preserve">₹2.17 crore</t>
  </si>
  <si>
    <t xml:space="preserve">₹0.33 crore</t>
  </si>
  <si>
    <t xml:space="preserve">C: 100 MW AI (hybrid; DLC + dry coolers can be far lower)</t>
  </si>
  <si>
    <t xml:space="preserve">1.0 MLD (up to 1.8)</t>
  </si>
  <si>
    <t xml:space="preserve">365,000 (657,000)</t>
  </si>
  <si>
    <t xml:space="preserve">₹3.6 (6.5) crore</t>
  </si>
  <si>
    <t xml:space="preserve">₹0.55 (0.99) crore</t>
  </si>
  <si>
    <t xml:space="preserve">R7-T11  Indian salary markers</t>
  </si>
  <si>
    <t xml:space="preserve">Source: Report 7 (full research report) · 2. OPEX (₹) › 2.5 Personnel</t>
  </si>
  <si>
    <t xml:space="preserve">Used in atlas: Reference only (personnel cost basis).</t>
  </si>
  <si>
    <t xml:space="preserve">Used to derive: Staff cost per FTE.</t>
  </si>
  <si>
    <t xml:space="preserve">Role</t>
  </si>
  <si>
    <t xml:space="preserve">Pay</t>
  </si>
  <si>
    <t xml:space="preserve">Data centre critical-facilities engineer</t>
  </si>
  <si>
    <t xml:space="preserve">~₹20.8 lakh average; ₹14.8 lakh at 1–3 years</t>
  </si>
  <si>
    <t xml:space="preserve">SalaryExpert, Aug 2026; modelled, likely high</t>
  </si>
  <si>
    <t xml:space="preserve">NOC engineer</t>
  </si>
  <si>
    <t xml:space="preserve">Median ₹4.18 lakh (₹3.1–6.0 lakh interquartile)</t>
  </si>
  <si>
    <t xml:space="preserve">Glassdoor India, Jun 2026</t>
  </si>
  <si>
    <t xml:space="preserve">Median ₹4.05 lakh</t>
  </si>
  <si>
    <t xml:space="preserve">PayScale, Apr 2026</t>
  </si>
  <si>
    <t xml:space="preserve">Data centre manager</t>
  </si>
  <si>
    <t xml:space="preserve">Median ₹8.62 lakh (75th percentile ₹20 lakh)</t>
  </si>
  <si>
    <t xml:space="preserve">PayScale; large-campus heads earn far more (estimate ₹30–60 lakh)</t>
  </si>
  <si>
    <t xml:space="preserve">Security guard, Mumbai/Thane</t>
  </si>
  <si>
    <t xml:space="preserve">Statutory cost ₹32,315/month per head for 8-hour duty (≈₹3.9 lakh/yr)</t>
  </si>
  <si>
    <t xml:space="preserve">Maharashtra Security Guards Board wage order, Jan–Jun 2026</t>
  </si>
  <si>
    <t xml:space="preserve">R7-T12  Opex: Case A, 20 MW colocation</t>
  </si>
  <si>
    <t xml:space="preserve">Source: Report 7 (full research report) · 2. OPEX (₹) › 2.8 Opex tables per case (stabilised year)</t>
  </si>
  <si>
    <t xml:space="preserve">Note: Case A: 20 MW colo. 90% billed (18 MW); average IT draw 70% of billed (12.6 MW); PUE 1.5; blended energy ₹6.6/kWh (grid plus partial RE).</t>
  </si>
  <si>
    <t xml:space="preserve">Used in atlas: Ch 7 "Where colo opex goes" chart; LCOD calculator.</t>
  </si>
  <si>
    <t xml:space="preserve">Used to derive: Opex per MW, power share.</t>
  </si>
  <si>
    <t xml:space="preserve">Line</t>
  </si>
  <si>
    <t xml:space="preserve">₹ crore/yr</t>
  </si>
  <si>
    <t xml:space="preserve">Electricity (165.6 GWh × ₹6.6 = 109.3, plus demand charges 19.8)</t>
  </si>
  <si>
    <t xml:space="preserve">Water treatment and chemicals</t>
  </si>
  <si>
    <t xml:space="preserve">AMC (2% of ₹764 crore M&amp;E)</t>
  </si>
  <si>
    <t xml:space="preserve">DG fuel and testing</t>
  </si>
  <si>
    <t xml:space="preserve">Personnel (60 FTE)</t>
  </si>
  <si>
    <t xml:space="preserve">Insurance</t>
  </si>
  <si>
    <t xml:space="preserve">Property tax and levies</t>
  </si>
  <si>
    <t xml:space="preserve">SG&amp;A</t>
  </si>
  <si>
    <t xml:space="preserve">Total opex</t>
  </si>
  <si>
    <t xml:space="preserve">₹/kW/month (on 20 MW built)</t>
  </si>
  <si>
    <t xml:space="preserve">₹7,250 (₹1,875 excluding power)</t>
  </si>
  <si>
    <t xml:space="preserve">R7-T13  Opex: Case B, 50 MW hyperscale</t>
  </si>
  <si>
    <t xml:space="preserve">Note: Case B: 50 MW hyperscale. 95% billed; IT draw 75% (35.6 MW); PUE 1.4; ₹6.2/kWh; power passed through to the tenant.</t>
  </si>
  <si>
    <t xml:space="preserve">Used in atlas: Reference (hyperscale opex in LCOD preset B).</t>
  </si>
  <si>
    <t xml:space="preserve">Used to derive: Opex per MW for hyperscale.</t>
  </si>
  <si>
    <t xml:space="preserve">Electricity (437 GWh × ₹6.2 = 271, plus demand 33), passed through</t>
  </si>
  <si>
    <t xml:space="preserve">AMC (1.75% of ₹1,385 crore)</t>
  </si>
  <si>
    <t xml:space="preserve">Personnel (70 FTE)</t>
  </si>
  <si>
    <t xml:space="preserve">Insurance / property tax / network</t>
  </si>
  <si>
    <t xml:space="preserve">3.5 / 2.5 / 0.5</t>
  </si>
  <si>
    <t xml:space="preserve">PUE-overrun and SLA reserve</t>
  </si>
  <si>
    <t xml:space="preserve">Chemicals</t>
  </si>
  <si>
    <t xml:space="preserve">Total opex (non-power)</t>
  </si>
  <si>
    <t xml:space="preserve">Total including pass-through power</t>
  </si>
  <si>
    <t xml:space="preserve">₹/kW/month</t>
  </si>
  <si>
    <t xml:space="preserve">₹6,040 total; ₹975 non-power</t>
  </si>
  <si>
    <t xml:space="preserve">R7-T14  Opex: Case C, 100 MW AI campus</t>
  </si>
  <si>
    <t xml:space="preserve">Note: Case C: 100 MW AI campus. IT draw 80%; PUE 1.25; RE-RTC-led supply at ₹6.0/kWh.</t>
  </si>
  <si>
    <t xml:space="preserve">Used in atlas: Reference (AI preset C in LCOD).</t>
  </si>
  <si>
    <t xml:space="preserve">Used to derive: Opex per MW for AI campus.</t>
  </si>
  <si>
    <t xml:space="preserve">Electricity (876 GWh × ₹6.0 = 526, plus demand 66)</t>
  </si>
  <si>
    <t xml:space="preserve">Facility AMC (2% of ₹5,300 crore M&amp;E)</t>
  </si>
  <si>
    <t xml:space="preserve">GPU/IT support and spares (1% of IT capex)</t>
  </si>
  <si>
    <t xml:space="preserve">Personnel (150 FTE)</t>
  </si>
  <si>
    <t xml:space="preserve">Network, backbone, transit</t>
  </si>
  <si>
    <t xml:space="preserve">Property tax</t>
  </si>
  <si>
    <t xml:space="preserve">DG</t>
  </si>
  <si>
    <t xml:space="preserve">₹9,890 (facility-only ≈ ₹7,675)</t>
  </si>
  <si>
    <t xml:space="preserve">R7-T15  Colocation pricing in India</t>
  </si>
  <si>
    <t xml:space="preserve">Source: Report 7 (full research report) · 3. Unit economics › 3.1 ₹ per MW: capex, revenue, EBITDA, payback, IRR, valuation</t>
  </si>
  <si>
    <t xml:space="preserve">Used in atlas: Simulator break-even rent comparison; Ch 7 text; Key numbers.</t>
  </si>
  <si>
    <t xml:space="preserve">Used to derive: Market rent vs break-even.</t>
  </si>
  <si>
    <t xml:space="preserve">Segment</t>
  </si>
  <si>
    <t xml:space="preserve">Price</t>
  </si>
  <si>
    <t xml:space="preserve">Mumbai, 250 kW–1 MW</t>
  </si>
  <si>
    <t xml:space="preserve">₹7,000–10,000/kW/month</t>
  </si>
  <si>
    <t xml:space="preserve">Cushman &amp; Wakefield H1 2025 (standard 5–7 kVA racks)</t>
  </si>
  <si>
    <t xml:space="preserve">Mumbai, 1–5 MW</t>
  </si>
  <si>
    <t xml:space="preserve">₹6,500–8,000</t>
  </si>
  <si>
    <t xml:space="preserve">Cushman &amp; Wakefield H1 2025</t>
  </si>
  <si>
    <t xml:space="preserve">Mumbai, 5 MW+</t>
  </si>
  <si>
    <t xml:space="preserve">₹6,000–7,500</t>
  </si>
  <si>
    <t xml:space="preserve">Chennai, 1–5 MW</t>
  </si>
  <si>
    <t xml:space="preserve">₹7,000–8,000</t>
  </si>
  <si>
    <t xml:space="preserve">Sub-250 kW, secondary hubs</t>
  </si>
  <si>
    <t xml:space="preserve">₹7,000–9,500</t>
  </si>
  <si>
    <t xml:space="preserve">India average rent</t>
  </si>
  <si>
    <t xml:space="preserve">US$80–100/kW/month (₹7,200–9,000)</t>
  </si>
  <si>
    <t xml:space="preserve">Houlihan Lokey</t>
  </si>
  <si>
    <t xml:space="preserve">North America wholesale (250–500 kW), for comparison</t>
  </si>
  <si>
    <t xml:space="preserve">US$196.25/kW/month (+6.6% year-on-year), about 2× India</t>
  </si>
  <si>
    <t xml:space="preserve">CBRE, H2 2025</t>
  </si>
  <si>
    <t xml:space="preserve">R7-T16  Per-MW economics by case</t>
  </si>
  <si>
    <t xml:space="preserve">Note: Per-MW economics by case (stabilised).</t>
  </si>
  <si>
    <t xml:space="preserve">Used in atlas: Ch 7 "Returns by business model" table.</t>
  </si>
  <si>
    <t xml:space="preserve">Used to derive: EBITDA, payback, IRR per model.</t>
  </si>
  <si>
    <t xml:space="preserve">A: 20 MW colo</t>
  </si>
  <si>
    <t xml:space="preserve">B: 50 MW hyperscale build-to-suit</t>
  </si>
  <si>
    <t xml:space="preserve">C: 100 MW AI neocloud</t>
  </si>
  <si>
    <t xml:space="preserve">Capex/MW, facility only</t>
  </si>
  <si>
    <t xml:space="preserve">₹56.1 crore</t>
  </si>
  <si>
    <t xml:space="preserve">₹39.2 crore</t>
  </si>
  <si>
    <t xml:space="preserve">₹72.5 crore</t>
  </si>
  <si>
    <t xml:space="preserve">Capex/MW incl. land and IT</t>
  </si>
  <si>
    <t xml:space="preserve">₹61.1 crore</t>
  </si>
  <si>
    <t xml:space="preserve">₹42.4 crore</t>
  </si>
  <si>
    <t xml:space="preserve">~₹340 crore</t>
  </si>
  <si>
    <t xml:space="preserve">Pricing assumption</t>
  </si>
  <si>
    <t xml:space="preserve">₹7,000/kW/mo rent + power at cost +10%</t>
  </si>
  <si>
    <t xml:space="preserve">₹6,250/kW/mo + power at cost</t>
  </si>
  <si>
    <t xml:space="preserve">₹400/GPU-hr at 80% utilisation (assumption)</t>
  </si>
  <si>
    <t xml:space="preserve">Revenue (₹ crore/yr)</t>
  </si>
  <si>
    <t xml:space="preserve">301 (rent 151 + power 142 + other 8)</t>
  </si>
  <si>
    <t xml:space="preserve">660 (rent 356 + power 304)</t>
  </si>
  <si>
    <t xml:space="preserve">Opex (₹ crore/yr)</t>
  </si>
  <si>
    <t xml:space="preserve">EBITDA (₹ crore/yr)</t>
  </si>
  <si>
    <t xml:space="preserve">127 (42% margin)</t>
  </si>
  <si>
    <t xml:space="preserve">298 (45% of gross; 84% of rent)</t>
  </si>
  <si>
    <t xml:space="preserve">10,721 (90%)</t>
  </si>
  <si>
    <t xml:space="preserve">EBITDA per MW per year</t>
  </si>
  <si>
    <t xml:space="preserve">₹6.35 crore</t>
  </si>
  <si>
    <t xml:space="preserve">₹5.96 crore</t>
  </si>
  <si>
    <t xml:space="preserve">₹107 crore</t>
  </si>
  <si>
    <t xml:space="preserve">Yield on cost (EBITDA ÷ capex)</t>
  </si>
  <si>
    <t xml:space="preserve">10.4%</t>
  </si>
  <si>
    <t xml:space="preserve">31.5% (but GPUs last ~5 years)</t>
  </si>
  <si>
    <t xml:space="preserve">Simple payback</t>
  </si>
  <si>
    <t xml:space="preserve">~9.6 years</t>
  </si>
  <si>
    <t xml:space="preserve">~7.1 years</t>
  </si>
  <si>
    <t xml:space="preserve">~3.2 years</t>
  </si>
  <si>
    <t xml:space="preserve">Unlevered pre-tax IRR (method below)</t>
  </si>
  <si>
    <t xml:space="preserve">~9.5%</t>
  </si>
  <si>
    <t xml:space="preserve">~14.7%</t>
  </si>
  <si>
    <t xml:space="preserve">~21.5% at 80% / ~10.5% at 60% / negative at 40%</t>
  </si>
  <si>
    <t xml:space="preserve">R7-T17  Valuations (EV/MW and EV/EBITDA)</t>
  </si>
  <si>
    <t xml:space="preserve">Used in atlas: Ch 7 text (Nxtra valuation).</t>
  </si>
  <si>
    <t xml:space="preserve">Used to derive: Value per MW vs replacement cost.</t>
  </si>
  <si>
    <t xml:space="preserve">Data point</t>
  </si>
  <si>
    <t xml:space="preserve">Implied value</t>
  </si>
  <si>
    <t xml:space="preserve">Nxtra, March 2026: US$1 billion raise (Alpha Wave US$435M, Carlyle US$240M, Anchorage US$35M, Airtel about US$290M) at US$3.1 billion post-money; before the deal Airtel held 75.96% and Carlyle the rest; about 300 MW, targeting 1 GW</t>
  </si>
  <si>
    <t xml:space="preserve">~US$7M/MW pre-money (≈₹63 crore/MW); ~US$10M/MW post-money</t>
  </si>
  <si>
    <t xml:space="preserve">Earlier Nxtra reference points</t>
  </si>
  <si>
    <t xml:space="preserve">Carlyle invested in 2020 at a US$1.2 billion valuation. April 2025 reports of Alpha Wave buying Carlyle's 24% stake implied ₹20,500 crore (US$2.4 billion) for 100%.</t>
  </si>
  <si>
    <t xml:space="preserve">Houlihan Lokey cap rates: India 7.5–8.5%; US 4.5–6.5%; Singapore 5.0–6.5%</t>
  </si>
  <si>
    <t xml:space="preserve">Stabilised Indian assets at about 12–13× EBITDA (Case A at 8% → about ₹1,590 crore of value vs ₹1,222 crore cost, 1.3×; Case B at 7.5% → about ₹3,970 crore vs ₹2,120 crore, 1.9×)</t>
  </si>
  <si>
    <t xml:space="preserve">Sify Infinit Spaces DRHP (Oct 2025): ₹3,700 crore IPO (₹2,500 crore fresh issue); net debt ₹2,324 crore; net debt/EBITDA 3.66×</t>
  </si>
  <si>
    <t xml:space="preserve">EV/EBITDA not determinable until pricing</t>
  </si>
  <si>
    <t xml:space="preserve">R7-T18  Cost per rack by density</t>
  </si>
  <si>
    <t xml:space="preserve">Source: Report 7 (full research report) · 3. Unit economics › 3.2 ₹ per rack</t>
  </si>
  <si>
    <t xml:space="preserve">Note: The facility cost per rack scales with density. The wholesale-rent column uses ₹7,500/kW/month.</t>
  </si>
  <si>
    <t xml:space="preserve">Used in atlas: Reference only (cost per rack).</t>
  </si>
  <si>
    <t xml:space="preserve">Used to derive: Capex and rent per rack by density.</t>
  </si>
  <si>
    <t xml:space="preserve">Density</t>
  </si>
  <si>
    <t xml:space="preserve">Design</t>
  </si>
  <si>
    <t xml:space="preserve">Facility ₹ crore/MW</t>
  </si>
  <si>
    <t xml:space="preserve">Facility capex per rack</t>
  </si>
  <si>
    <t xml:space="preserve">Typical IT per rack</t>
  </si>
  <si>
    <t xml:space="preserve">Implied wholesale rent/rack/month</t>
  </si>
  <si>
    <t xml:space="preserve">6 kW</t>
  </si>
  <si>
    <t xml:space="preserve">Air, Tier III</t>
  </si>
  <si>
    <t xml:space="preserve">~58</t>
  </si>
  <si>
    <t xml:space="preserve">~₹35 lakh</t>
  </si>
  <si>
    <t xml:space="preserve">₹40–80 lakh of CPU servers (estimate)</t>
  </si>
  <si>
    <t xml:space="preserve">~₹45,000</t>
  </si>
  <si>
    <t xml:space="preserve">10 kW</t>
  </si>
  <si>
    <t xml:space="preserve">Air + containment</t>
  </si>
  <si>
    <t xml:space="preserve">~55</t>
  </si>
  <si>
    <t xml:space="preserve">~₹55 lakh</t>
  </si>
  <si>
    <t xml:space="preserve">₹0.8–1.5 crore (estimate)</t>
  </si>
  <si>
    <t xml:space="preserve">~₹75,000</t>
  </si>
  <si>
    <t xml:space="preserve">40 kW</t>
  </si>
  <si>
    <t xml:space="preserve">Rear-door heat exchangers / DLC hybrid</t>
  </si>
  <si>
    <t xml:space="preserve">~62</t>
  </si>
  <si>
    <t xml:space="preserve">~₹2.5 crore</t>
  </si>
  <si>
    <t xml:space="preserve">~4 × H100 HGX ≈ US$1.1M ≈ ₹10 crore</t>
  </si>
  <si>
    <t xml:space="preserve">~₹3.0 lakh</t>
  </si>
  <si>
    <t xml:space="preserve">130 kW</t>
  </si>
  <si>
    <t xml:space="preserve">DLC (NVL72)</t>
  </si>
  <si>
    <t xml:space="preserve">~72.5</t>
  </si>
  <si>
    <t xml:space="preserve">~₹9.4 crore</t>
  </si>
  <si>
    <t xml:space="preserve">GB300 NVL72 ₹33–58 crore + fabric</t>
  </si>
  <si>
    <t xml:space="preserve">~₹9.75 lakh (₹10.4–11.7 lakh at ₹8,000–9,000/kW)</t>
  </si>
  <si>
    <t xml:space="preserve">R7-T19  Levelised cost of data-centre capacity (LCOD)</t>
  </si>
  <si>
    <t xml:space="preserve">Source: Report 7 (full research report) · 3. Unit economics › 3.3 ₹ per kWh: levelised cost of data centre capacity (LCOD)</t>
  </si>
  <si>
    <t xml:space="preserve">Note: LCOD = (Annualised capex + Annual opex) ÷ IT kWh delivered.</t>
  </si>
  <si>
    <t xml:space="preserve">Used in atlas: Ch 7 LCOD calculator (CRF method); simulator cost per IT-kWh.</t>
  </si>
  <si>
    <t xml:space="preserve">Used to derive: Levelised cost per IT-kWh.</t>
  </si>
  <si>
    <t xml:space="preserve">Annualised capex (₹ crore)</t>
  </si>
  <si>
    <t xml:space="preserve">Opex (₹ crore)</t>
  </si>
  <si>
    <t xml:space="preserve">IT energy (GWh)</t>
  </si>
  <si>
    <t xml:space="preserve">LCOD (₹/IT-kWh)</t>
  </si>
  <si>
    <t xml:space="preserve">Power cost (₹/IT-kWh)</t>
  </si>
  <si>
    <t xml:space="preserve">Power share</t>
  </si>
  <si>
    <t xml:space="preserve">A: 20 MW colo (12.6 MW average IT)</t>
  </si>
  <si>
    <t xml:space="preserve">1,222 × 0.1256 = 153.5</t>
  </si>
  <si>
    <t xml:space="preserve">29.7 (~US$0.33)</t>
  </si>
  <si>
    <t xml:space="preserve">39%</t>
  </si>
  <si>
    <t xml:space="preserve">B: 50 MW hyperscale, owner view</t>
  </si>
  <si>
    <t xml:space="preserve">2,120 × 0.1256 = 266.3</t>
  </si>
  <si>
    <t xml:space="preserve">48%</t>
  </si>
  <si>
    <t xml:space="preserve">C: AI campus, facility only</t>
  </si>
  <si>
    <t xml:space="preserve">7,400 × 0.1256 = 929.4</t>
  </si>
  <si>
    <t xml:space="preserve">~921</t>
  </si>
  <si>
    <t xml:space="preserve">32%</t>
  </si>
  <si>
    <t xml:space="preserve">C: AI campus incl. GPUs</t>
  </si>
  <si>
    <t xml:space="preserve">929.4 + 26,620 × 0.2706 = 8,132</t>
  </si>
  <si>
    <t xml:space="preserve">133 (~US$1.48)</t>
  </si>
  <si>
    <t xml:space="preserve">6%</t>
  </si>
  <si>
    <t xml:space="preserve">R7-T20  Cost per GPU-hour by utilisation</t>
  </si>
  <si>
    <t xml:space="preserve">Source: Report 7 (full research report) · 3. Unit economics › 3.4 Cost per GPU-hour: TCO in India vs market prices</t>
  </si>
  <si>
    <t xml:space="preserve">Note: Formula: GPU-hour cost at utilisation u = (capex + hosting + ops) ÷ (8,760 × u) + power per hour.</t>
  </si>
  <si>
    <t xml:space="preserve">Used in atlas: Ch 7 GPU-hour calculator and chart.</t>
  </si>
  <si>
    <t xml:space="preserve">Used to derive: GPU-hour cost at each utilisation.</t>
  </si>
  <si>
    <t xml:space="preserve">₹/GPU-hour</t>
  </si>
  <si>
    <t xml:space="preserve">Capex/hr (at 100%)</t>
  </si>
  <si>
    <t xml:space="preserve">80%</t>
  </si>
  <si>
    <t xml:space="preserve">60%</t>
  </si>
  <si>
    <t xml:space="preserve">40%</t>
  </si>
  <si>
    <t xml:space="preserve">H100 (US$275k HGX → ₹36.5 lakh/GPU all-in; 1.4 kW)</t>
  </si>
  <si>
    <t xml:space="preserve">177 (US$1.97)</t>
  </si>
  <si>
    <t xml:space="preserve">H200 (~US$315k HGX → ₹41.8 lakh; 1.4 kW)</t>
  </si>
  <si>
    <t xml:space="preserve">B200 (US$450k HGX → ₹59.7 lakh; 2.0 kW)</t>
  </si>
  <si>
    <t xml:space="preserve">281 (US$3.12)</t>
  </si>
  <si>
    <t xml:space="preserve">GB300 NVL72, self-built campus (Case C)</t>
  </si>
  <si>
    <t xml:space="preserve">193.6 + 25 facility</t>
  </si>
  <si>
    <t xml:space="preserve">308 (US$3.42)</t>
  </si>
  <si>
    <t xml:space="preserve">R7-T21  GPU-hour market prices and break-even utilisation</t>
  </si>
  <si>
    <t xml:space="preserve">Note: Market prices (Oct 2026 unless stated).</t>
  </si>
  <si>
    <t xml:space="preserve">Used in atlas: Ch 7 market-price table and dashed lines on GPU chart.</t>
  </si>
  <si>
    <t xml:space="preserve">Used to derive: Break-even utilisation vs market prices.</t>
  </si>
  <si>
    <t xml:space="preserve">Offer</t>
  </si>
  <si>
    <t xml:space="preserve">H100 breakeven utilisation vs our cost</t>
  </si>
  <si>
    <t xml:space="preserve">IndiaAI L1 rate, high-end (H100-class); standard GPUs L1 ₹115.85. Users pay about ₹92 after a 40% subsidy, and Union Minister Ashwini Vaishnaw told the Lok Sabha that the average rate across the 34,381 GPUs onboarded from 14 providers is about ₹65/GPU-hr, with H100s at ₹92.</t>
  </si>
  <si>
    <t xml:space="preserve">~96% (5-year life); ~86% (6-year life)</t>
  </si>
  <si>
    <t xml:space="preserve">JarvisLabs H100</t>
  </si>
  <si>
    <t xml:space="preserve">~64%</t>
  </si>
  <si>
    <t xml:space="preserve">Global OCPI-H100 index (2 Oct 2026): US$2.79</t>
  </si>
  <si>
    <t xml:space="preserve">~251</t>
  </si>
  <si>
    <t xml:space="preserve">~55%</t>
  </si>
  <si>
    <t xml:space="preserve">E2E Networks H100 on-demand</t>
  </si>
  <si>
    <t xml:space="preserve">~54%</t>
  </si>
  <si>
    <t xml:space="preserve">Yotta Shakti H100, dedicated (₹1,96,113/month)</t>
  </si>
  <si>
    <t xml:space="preserve">~269</t>
  </si>
  <si>
    <t xml:space="preserve">~52%</t>
  </si>
  <si>
    <t xml:space="preserve">Yotta Shakti H100 on-demand</t>
  </si>
  <si>
    <t xml:space="preserve">~39%</t>
  </si>
  <si>
    <t xml:space="preserve">E2E H200 on-demand / 3-month+ commitment</t>
  </si>
  <si>
    <t xml:space="preserve">379.05 / 189.20</t>
  </si>
  <si>
    <t xml:space="preserve">H200: ~41% / ~84%</t>
  </si>
  <si>
    <t xml:space="preserve">B200, global neocloud on-demand, US$3.70–6.00</t>
  </si>
  <si>
    <t xml:space="preserve">~333–540</t>
  </si>
  <si>
    <t xml:space="preserve">B200: ~67% / ~41%</t>
  </si>
  <si>
    <t xml:space="preserve">Hyperscaler H100 on-demand (AWS/Azure/GCP), US$6–12</t>
  </si>
  <si>
    <t xml:space="preserve">~540–1,080</t>
  </si>
  <si>
    <t xml:space="preserve">Scarcity and convenience premium</t>
  </si>
  <si>
    <t xml:space="preserve">R7-T22  Sensitivity analysis</t>
  </si>
  <si>
    <t xml:space="preserve">Source: Report 7 (full research report) · 3. Unit economics › 3.5 Sensitivity analysis</t>
  </si>
  <si>
    <t xml:space="preserve">Used in atlas: Ch 7 "What moves the colo's cost" tornado chart.</t>
  </si>
  <si>
    <t xml:space="preserve">Used to derive: Which lever matters most.</t>
  </si>
  <si>
    <t xml:space="preserve">Driver</t>
  </si>
  <si>
    <t xml:space="preserve">Change</t>
  </si>
  <si>
    <t xml:space="preserve">Case A (colo)</t>
  </si>
  <si>
    <t xml:space="preserve">Case C (GB300 GPU-hour at 80%; base ₹308)</t>
  </si>
  <si>
    <t xml:space="preserve">±₹1/kWh</t>
  </si>
  <si>
    <t xml:space="preserve">LCOD ±₹1.5/IT-kWh. EBITDA ±₹16.6 crore if power is bundled; only ±₹1.7 crore if passed through at cost +10%</t>
  </si>
  <si>
    <t xml:space="preserve">±₹2.9/hr</t>
  </si>
  <si>
    <t xml:space="preserve">Utilisation</t>
  </si>
  <si>
    <t xml:space="preserve">A billed 70% vs 90%; C 60% / 40%</t>
  </si>
  <si>
    <t xml:space="preserve">EBITDA −₹34 crore (yield 7.6%); LCOD ≈ ₹35</t>
  </si>
  <si>
    <t xml:space="preserve">₹404 / ₹598</t>
  </si>
  <si>
    <t xml:space="preserve">A 1.5→1.35; C 1.25→1.15</t>
  </si>
  <si>
    <t xml:space="preserve">Power −10% (≈₹12.9 crore/yr); LCOD −₹1.2</t>
  </si>
  <si>
    <t xml:space="preserve">−₹1.3/hr</t>
  </si>
  <si>
    <t xml:space="preserve">Cost of capital</t>
  </si>
  <si>
    <t xml:space="preserve">WACC 10% / 12%</t>
  </si>
  <si>
    <t xml:space="preserve">LCOD ₹28.8 / ₹30.6 (annualised capex ₹143.6 / ₹163.6 crore)</t>
  </si>
  <si>
    <t xml:space="preserve">₹301 / ₹314</t>
  </si>
  <si>
    <t xml:space="preserve">FX</t>
  </si>
  <si>
    <t xml:space="preserve">₹90 → ₹95/$</t>
  </si>
  <si>
    <t xml:space="preserve">Facility capex +~2% (≈₹1.1 crore/MW; imported share ~35–40%, estimate)</t>
  </si>
  <si>
    <t xml:space="preserve">+₹13.5/hr</t>
  </si>
  <si>
    <t xml:space="preserve">Import duties</t>
  </si>
  <si>
    <t xml:space="preserve">Hypothetical 10% basic duty + surcharge on servers; or IGST not creditable</t>
  </si>
  <si>
    <t xml:space="preserve">+₹26.6/hr; or +₹43.6/hr</t>
  </si>
  <si>
    <t xml:space="preserve">GPU life</t>
  </si>
  <si>
    <t xml:space="preserve">4 / 6 years (H100 at 80%)</t>
  </si>
  <si>
    <t xml:space="preserve">H100 ₹204 / ₹159 (base ₹177)</t>
  </si>
  <si>
    <t xml:space="preserve">R7-T23  India vs US vs Singapore</t>
  </si>
  <si>
    <t xml:space="preserve">Source: Report 7 (full research report) · 3. Unit economics › 3.6 Comparing models and markets</t>
  </si>
  <si>
    <t xml:space="preserve">Note: India vs US vs Singapore (Houlihan Lokey using Cushman &amp; Wakefield/CBRE; Turner &amp; Townsend; CBRE)</t>
  </si>
  <si>
    <t xml:space="preserve">Used in atlas: Ch 7 "India vs US vs Singapore" table.</t>
  </si>
  <si>
    <t xml:space="preserve">Used to derive: India's thin margin vs peers.</t>
  </si>
  <si>
    <t xml:space="preserve">US</t>
  </si>
  <si>
    <t xml:space="preserve">Build cost, Turner &amp; Townsend (US$/W)</t>
  </si>
  <si>
    <t xml:space="preserve">6.64 (Mumbai)</t>
  </si>
  <si>
    <t xml:space="preserve">9.5–13.3</t>
  </si>
  <si>
    <t xml:space="preserve">Development cost (US$M/MW)</t>
  </si>
  <si>
    <t xml:space="preserve">5.5–8.5</t>
  </si>
  <si>
    <t xml:space="preserve">9–12 (Cushman &amp; Wakefield 2026 US average US$17.6M all-in)</t>
  </si>
  <si>
    <t xml:space="preserve">9–14.5</t>
  </si>
  <si>
    <t xml:space="preserve">Rent (US$/kW/month)</t>
  </si>
  <si>
    <t xml:space="preserve">80–100</t>
  </si>
  <si>
    <t xml:space="preserve">160–225 (CBRE wholesale US$196)</t>
  </si>
  <si>
    <t xml:space="preserve">300–475 (retail-skewed)</t>
  </si>
  <si>
    <t xml:space="preserve">Electricity (US$M/MW/yr)</t>
  </si>
  <si>
    <t xml:space="preserve">0.7–0.9</t>
  </si>
  <si>
    <t xml:space="preserve">~1.22</t>
  </si>
  <si>
    <t xml:space="preserve">Total opex (US$M/MW/yr)</t>
  </si>
  <si>
    <t xml:space="preserve">1.0–1.2</t>
  </si>
  <si>
    <t xml:space="preserve">5.0–5.5 as reported by Houlihan Lokey (looks inconsistent; treat with caution)</t>
  </si>
  <si>
    <t xml:space="preserve">2.0–2.4</t>
  </si>
  <si>
    <t xml:space="preserve">Cap rate</t>
  </si>
  <si>
    <t xml:space="preserve">7.5–8.5%</t>
  </si>
  <si>
    <t xml:space="preserve">4.5–6.5%</t>
  </si>
  <si>
    <t xml:space="preserve">5.0–6.5%</t>
  </si>
  <si>
    <t xml:space="preserve">Gross rent ÷ capex</t>
  </si>
  <si>
    <t xml:space="preserve">~15%</t>
  </si>
  <si>
    <t xml:space="preserve">~22%</t>
  </si>
  <si>
    <t xml:space="preserve">very high (retail mix)</t>
  </si>
  <si>
    <t xml:space="preserve">R7-T24  Colocation vs hyperscale vs AI neocloud</t>
  </si>
  <si>
    <t xml:space="preserve">Note: Colo vs hyperscale self-build vs AI neocloud</t>
  </si>
  <si>
    <t xml:space="preserve">Used in atlas: Ch 7 returns comparison text.</t>
  </si>
  <si>
    <t xml:space="preserve">Used to derive: Business-model risk profile.</t>
  </si>
  <si>
    <t xml:space="preserve">Colocation (A)</t>
  </si>
  <si>
    <t xml:space="preserve">Hyperscale build-to-suit / self-build (B)</t>
  </si>
  <si>
    <t xml:space="preserve">AI neocloud (C)</t>
  </si>
  <si>
    <t xml:space="preserve">Capex intensity</t>
  </si>
  <si>
    <t xml:space="preserve">₹61 crore/MW</t>
  </si>
  <si>
    <t xml:space="preserve">₹42 crore/MW</t>
  </si>
  <si>
    <t xml:space="preserve">₹340 crore/MW</t>
  </si>
  <si>
    <t xml:space="preserve">Revenue driver</t>
  </si>
  <si>
    <t xml:space="preserve">₹/kW rent + cross-connects</t>
  </si>
  <si>
    <t xml:space="preserve">Long-term ₹/kW lease (or avoided rent)</t>
  </si>
  <si>
    <t xml:space="preserve">₹/GPU-hour × utilisation</t>
  </si>
  <si>
    <t xml:space="preserve">Margin / return</t>
  </si>
  <si>
    <t xml:space="preserve">42% EBITDA; IRR ~9.5–13.5% depending on rent</t>
  </si>
  <si>
    <t xml:space="preserve">84% of rent; IRR ~14–15%; self-build 13–27% cheaper than leasing</t>
  </si>
  <si>
    <t xml:space="preserve">90% EBITDA but 5-year asset; IRR −ve to ~21%</t>
  </si>
  <si>
    <t xml:space="preserve">Power share of cost</t>
  </si>
  <si>
    <t xml:space="preserve">~39% of LCOD</t>
  </si>
  <si>
    <t xml:space="preserve">~48%</t>
  </si>
  <si>
    <t xml:space="preserve">~6%</t>
  </si>
  <si>
    <t xml:space="preserve">Key risk</t>
  </si>
  <si>
    <t xml:space="preserve">Lease-up and rate pressure</t>
  </si>
  <si>
    <t xml:space="preserve">Tenant concentration, pricing power</t>
  </si>
  <si>
    <t xml:space="preserve">Utilisation, GPU price deflation, obsolescence</t>
  </si>
  <si>
    <t xml:space="preserve">12 tables. Source line under each title; "Note" gives the context sentence from the report.</t>
  </si>
  <si>
    <t xml:space="preserve">R8-T01  Twelve dimensions of a green data centre</t>
  </si>
  <si>
    <t xml:space="preserve">Source: Report 8 (full research report) · 1. What is a "green data centre"? › 1.2 The twelve dimensions</t>
  </si>
  <si>
    <t xml:space="preserve">Used in atlas: Ch 8 "Twelve dimensions" grid.</t>
  </si>
  <si>
    <t xml:space="preserve">Used to derive: Definition of green for India.</t>
  </si>
  <si>
    <t xml:space="preserve">Dimension</t>
  </si>
  <si>
    <t xml:space="preserve">Core metric(s)</t>
  </si>
  <si>
    <t xml:space="preserve">What "green" looks like (India-tailored)</t>
  </si>
  <si>
    <t xml:space="preserve">Why it matters</t>
  </si>
  <si>
    <t xml:space="preserve">Energy efficiency</t>
  </si>
  <si>
    <t xml:space="preserve">PUE (ISO/IEC 30134-2)</t>
  </si>
  <si>
    <t xml:space="preserve">≤1.30 annualised (air); ≤1.20 (liquid-cooled AI)</t>
  </si>
  <si>
    <t xml:space="preserve">Overhead energy is pure waste</t>
  </si>
  <si>
    <t xml:space="preserve">Carbon-free energy</t>
  </si>
  <si>
    <t xml:space="preserve">REF, hourly CFE score, CUE</t>
  </si>
  <si>
    <t xml:space="preserve">≥70–80% hourly-matched CFE; CUE ≤0.3 kgCO₂/IT-kWh</t>
  </si>
  <si>
    <t xml:space="preserve">India's grid factor 0.710 tCO₂/MWh makes power the dominant footprint</t>
  </si>
  <si>
    <t xml:space="preserve">WUE (site), source WUE</t>
  </si>
  <si>
    <t xml:space="preserve">≤0.2 L/kWh freshwater; treated wastewater for any evaporative trim</t>
  </si>
  <si>
    <t xml:space="preserve">Bengaluru water stress</t>
  </si>
  <si>
    <t xml:space="preserve">Embodied carbon (building)</t>
  </si>
  <si>
    <t xml:space="preserve">kgCO₂e/m² or /MW (EN 15978-style LCA)</t>
  </si>
  <si>
    <t xml:space="preserve">30–40% below baseline via low-clinker concrete, recycled steel, hybrid timber</t>
  </si>
  <si>
    <t xml:space="preserve">Grows in share as grids decarbonise</t>
  </si>
  <si>
    <t xml:space="preserve">IT hardware Scope 3</t>
  </si>
  <si>
    <t xml:space="preserve">kgCO₂e per server/GPU, lifecycle</t>
  </si>
  <si>
    <t xml:space="preserve">Supplier EPDs/PCFs; extended refresh cycles</t>
  </si>
  <si>
    <t xml:space="preserve">Now the largest share for hyperscalers</t>
  </si>
  <si>
    <t xml:space="preserve">Circularity</t>
  </si>
  <si>
    <t xml:space="preserve">% IT assets reused/refurbished; e-waste diversion</t>
  </si>
  <si>
    <t xml:space="preserve">≥90% assets reused or recycled through authorised E-Waste (Management) Rules 2022 channels</t>
  </si>
  <si>
    <t xml:space="preserve">Avoids manufacturing emissions and hazardous waste</t>
  </si>
  <si>
    <t xml:space="preserve">Heat reuse</t>
  </si>
  <si>
    <t xml:space="preserve">ERF (ISO/IEC 30134-6), ERE</t>
  </si>
  <si>
    <t xml:space="preserve">"Heat-reuse ready" design; absorption cooling or process heat where offtake exists</t>
  </si>
  <si>
    <t xml:space="preserve">Turns waste into a product</t>
  </si>
  <si>
    <t xml:space="preserve">Refrigerants</t>
  </si>
  <si>
    <t xml:space="preserve">GWP of charge, leakage rate</t>
  </si>
  <si>
    <t xml:space="preserve">Low-GWP (HFO, natural refrigerants); chiller-less where possible</t>
  </si>
  <si>
    <t xml:space="preserve">HFC leakage is a hidden Scope 1 source</t>
  </si>
  <si>
    <t xml:space="preserve">Land and biodiversity</t>
  </si>
  <si>
    <t xml:space="preserve">Footprint, green cover, heat-island</t>
  </si>
  <si>
    <t xml:space="preserve">Brownfield/industrial-park siting; native landscaping</t>
  </si>
  <si>
    <t xml:space="preserve">Social licence, local heat</t>
  </si>
  <si>
    <t xml:space="preserve">Backup power</t>
  </si>
  <si>
    <t xml:space="preserve">Diesel litres/yr, run-hours</t>
  </si>
  <si>
    <t xml:space="preserve">HVO-ready gensets, BESS for short events, fuel cells long term</t>
  </si>
  <si>
    <t xml:space="preserve">Diesel is local pollution and Scope 1</t>
  </si>
  <si>
    <t xml:space="preserve">Grid-friendliness</t>
  </si>
  <si>
    <t xml:space="preserve">Demand response, flexibility MW</t>
  </si>
  <si>
    <t xml:space="preserve">BESS/UPS grid services; schedulable AI training</t>
  </si>
  <si>
    <t xml:space="preserve">Helps integrate renewables</t>
  </si>
  <si>
    <t xml:space="preserve">Social licence</t>
  </si>
  <si>
    <t xml:space="preserve">Disclosure, local water/power impact, jobs</t>
  </si>
  <si>
    <t xml:space="preserve">Public site-level dashboards; community water commitments</t>
  </si>
  <si>
    <t xml:space="preserve">Without it, moratoria follow (Amsterdam, Dublin, Singapore 2019)</t>
  </si>
  <si>
    <t xml:space="preserve">R8-T02  Green vs greenwashing: a quick test</t>
  </si>
  <si>
    <t xml:space="preserve">Source: Report 8 (full research report) · 1. What is a "green data centre"? › 1.3 Green vs greenwashing: a quick test</t>
  </si>
  <si>
    <t xml:space="preserve">Used in atlas: Ch 8 "Spotting greenwashing" table.</t>
  </si>
  <si>
    <t xml:space="preserve">Used to derive: Credibility test for claims.</t>
  </si>
  <si>
    <t xml:space="preserve">Claim</t>
  </si>
  <si>
    <t xml:space="preserve">Credible if…</t>
  </si>
  <si>
    <t xml:space="preserve">Greenwashing red flag</t>
  </si>
  <si>
    <t xml:space="preserve">"100% renewable"</t>
  </si>
  <si>
    <t xml:space="preserve">Hourly or at least monthly matching, same grid region, additional (new) capacity, location-based Scope 2 also disclosed</t>
  </si>
  <si>
    <t xml:space="preserve">Annual matching with unbundled RECs/I-RECs from old hydro elsewhere</t>
  </si>
  <si>
    <t xml:space="preserve">"Carbon neutral"</t>
  </si>
  <si>
    <t xml:space="preserve">Deep reductions first; removals (not avoidance offsets) for residuals</t>
  </si>
  <si>
    <t xml:space="preserve">Cheap avoidance offsets netted against growing emissions</t>
  </si>
  <si>
    <t xml:space="preserve">"PUE 1.2"</t>
  </si>
  <si>
    <t xml:space="preserve">Annualised, measured at the utility meter boundary (ISO/IEC 30134-2 Category 2/3), at real load</t>
  </si>
  <si>
    <t xml:space="preserve">Design PUE at 100% load, or a single cool-season month</t>
  </si>
  <si>
    <t xml:space="preserve">"Water positive"</t>
  </si>
  <si>
    <t xml:space="preserve">Site-level WUE disclosed; replenishment in the *same* basin</t>
  </si>
  <si>
    <t xml:space="preserve">Global replenishment credits while a Bengaluru site draws borewells</t>
  </si>
  <si>
    <t xml:space="preserve">"Green certified"</t>
  </si>
  <si>
    <t xml:space="preserve">Operational certification with measured data</t>
  </si>
  <si>
    <t xml:space="preserve">Design-stage label only, never re-verified</t>
  </si>
  <si>
    <t xml:space="preserve">R8-T03  Core green metrics and formulas</t>
  </si>
  <si>
    <t xml:space="preserve">Source: Report 8 (full research report) · 2. Metrics and standards › 2.1 Core metrics and formulas</t>
  </si>
  <si>
    <t xml:space="preserve">Used in atlas: Ch 8 metric definitions (reference).</t>
  </si>
  <si>
    <t xml:space="preserve">Used to derive: CUE, ERF, CFE formulas.</t>
  </si>
  <si>
    <t xml:space="preserve">Formula</t>
  </si>
  <si>
    <t xml:space="preserve">Total facility energy ÷ IT equipment energy</t>
  </si>
  <si>
    <t xml:space="preserve">ISO/IEC 30134-2 (The Green Grid, 2007)</t>
  </si>
  <si>
    <t xml:space="preserve">Ideal 1.0; global weighted average 1.54 (Uptime 2025)</t>
  </si>
  <si>
    <t xml:space="preserve">ISO/IEC 30134-9</t>
  </si>
  <si>
    <t xml:space="preserve">Karnataka policy uses this definition; the EU uses freshwater input</t>
  </si>
  <si>
    <t xml:space="preserve">CUE</t>
  </si>
  <si>
    <t xml:space="preserve">Total CO₂ from facility energy ÷ IT energy = grid EF × PUE (for grid-only supply)</t>
  </si>
  <si>
    <t xml:space="preserve">ISO/IEC 30134-8</t>
  </si>
  <si>
    <t xml:space="preserve">Bengaluru grid-only at PUE 1.5: 0.710 × 1.5 = 1.07 kgCO₂/IT-kWh</t>
  </si>
  <si>
    <t xml:space="preserve">ERF</t>
  </si>
  <si>
    <t xml:space="preserve">Reused energy ÷ total facility energy</t>
  </si>
  <si>
    <t xml:space="preserve">ISO/IEC 30134-6</t>
  </si>
  <si>
    <t xml:space="preserve">German EnEfG requires 10→20% for new sites</t>
  </si>
  <si>
    <t xml:space="preserve">ERE</t>
  </si>
  <si>
    <t xml:space="preserve">(Total energy – reused energy) ÷ IT energy</t>
  </si>
  <si>
    <t xml:space="preserve">Can be &lt;1.0 with heat reuse</t>
  </si>
  <si>
    <t xml:space="preserve">REF</t>
  </si>
  <si>
    <t xml:space="preserve">Renewable energy ÷ total facility energy</t>
  </si>
  <si>
    <t xml:space="preserve">ISO/IEC 30134-3</t>
  </si>
  <si>
    <t xml:space="preserve">Annual; does not capture timing</t>
  </si>
  <si>
    <t xml:space="preserve">24/7 CFE score</t>
  </si>
  <si>
    <t xml:space="preserve">Σ_h min(load_h, CFE supply_h) ÷ Σ_h load_h</t>
  </si>
  <si>
    <t xml:space="preserve">Google/UN 24/7 CFE Compact methodology</t>
  </si>
  <si>
    <t xml:space="preserve">The honest metric; Google fleet ≈65% (2025)</t>
  </si>
  <si>
    <t xml:space="preserve">ITEEsv / ITEUsv</t>
  </si>
  <si>
    <t xml:space="preserve">IT equipment energy efficiency / utilisation for servers</t>
  </si>
  <si>
    <t xml:space="preserve">ISO/IEC 30134-4/-5</t>
  </si>
  <si>
    <t xml:space="preserve">Captures the compute side that PUE ignores</t>
  </si>
  <si>
    <t xml:space="preserve">GEC</t>
  </si>
  <si>
    <t xml:space="preserve">Green energy share of facility energy</t>
  </si>
  <si>
    <t xml:space="preserve">ISO/IEC 30134 family (Japan-originated)</t>
  </si>
  <si>
    <t xml:space="preserve">Similar in spirit to REF</t>
  </si>
  <si>
    <t xml:space="preserve">R8-T04  Certifications compared</t>
  </si>
  <si>
    <t xml:space="preserve">Source: Report 8 (full research report) · 2. Metrics and standards › 2.3 Certifications</t>
  </si>
  <si>
    <t xml:space="preserve">Used in atlas: Reference only (certifications).</t>
  </si>
  <si>
    <t xml:space="preserve">Used to derive: Which label to pursue.</t>
  </si>
  <si>
    <t xml:space="preserve">Certification</t>
  </si>
  <si>
    <t xml:space="preserve">Strength</t>
  </si>
  <si>
    <t xml:space="preserve">Weakness</t>
  </si>
  <si>
    <t xml:space="preserve">LEED (v4/v4.1 BD+C Data Centers; v5)</t>
  </si>
  <si>
    <t xml:space="preserve">Building lifecycle; energy modelled against ASHRAE 90.4</t>
  </si>
  <si>
    <t xml:space="preserve">Globally recognised by tenants</t>
  </si>
  <si>
    <t xml:space="preserve">Design-stage heavy; weak on hourly carbon</t>
  </si>
  <si>
    <t xml:space="preserve">BREEAM</t>
  </si>
  <si>
    <t xml:space="preserve">Building sustainability (UK/EU)</t>
  </si>
  <si>
    <t xml:space="preserve">Strong on materials, ecology</t>
  </si>
  <si>
    <t xml:space="preserve">Less used in India</t>
  </si>
  <si>
    <t xml:space="preserve">IGBC Green Data Center Rating System (CII)</t>
  </si>
  <si>
    <t xml:space="preserve">Design and Operational certification; enterprise, colo, hyperscale, edge, campuses</t>
  </si>
  <si>
    <t xml:space="preserve">India-specific; aims to improve national average PUE by 20–25%</t>
  </si>
  <si>
    <t xml:space="preserve">Voluntary; few disclosed operational ratings</t>
  </si>
  <si>
    <t xml:space="preserve">GRIHA</t>
  </si>
  <si>
    <t xml:space="preserve">Indian green building (TERI/MNRE)</t>
  </si>
  <si>
    <t xml:space="preserve">Government projects</t>
  </si>
  <si>
    <t xml:space="preserve">No DC-specific variant of note</t>
  </si>
  <si>
    <t xml:space="preserve">BCA-IMDA Green Mark for DCs 2024</t>
  </si>
  <si>
    <t xml:space="preserve">Platinum is now a licence condition</t>
  </si>
  <si>
    <t xml:space="preserve">Singapore-specific</t>
  </si>
  <si>
    <t xml:space="preserve">Uptime Tier + Sustainability assessments</t>
  </si>
  <si>
    <t xml:space="preserve">Resilience; operational sustainability</t>
  </si>
  <si>
    <t xml:space="preserve">Credible with enterprise buyers</t>
  </si>
  <si>
    <t xml:space="preserve">Tier is resilience, not green</t>
  </si>
  <si>
    <t xml:space="preserve">ISO 50001 / 14001 / 14064</t>
  </si>
  <si>
    <t xml:space="preserve">Energy management, environmental management, GHG verification</t>
  </si>
  <si>
    <t xml:space="preserve">Process discipline; EnEfG requires EMS</t>
  </si>
  <si>
    <t xml:space="preserve">Not a performance threshold</t>
  </si>
  <si>
    <t xml:space="preserve">ENERGY STAR (US)</t>
  </si>
  <si>
    <t xml:space="preserve">Top-quartile operational energy</t>
  </si>
  <si>
    <t xml:space="preserve">Performance-based</t>
  </si>
  <si>
    <t xml:space="preserve">US only</t>
  </si>
  <si>
    <t xml:space="preserve">R8-T05  Indian standards and policy instruments</t>
  </si>
  <si>
    <t xml:space="preserve">Source: Report 8 (full research report) · 2. Metrics and standards › 2.4 Indian standards and policy instruments</t>
  </si>
  <si>
    <t xml:space="preserve">Used in atlas: Ch 8 "Rules elsewhere" (India row) and Ch 9 central framework.</t>
  </si>
  <si>
    <t xml:space="preserve">Used to derive: Indian policy instruments status.</t>
  </si>
  <si>
    <t xml:space="preserve">Instrument</t>
  </si>
  <si>
    <t xml:space="preserve">Status (Oct 2026)</t>
  </si>
  <si>
    <t xml:space="preserve">BEE / ECBC &amp; Super ECBC</t>
  </si>
  <si>
    <t xml:space="preserve">PUE benchmarks aligned with ECBC classes</t>
  </si>
  <si>
    <t xml:space="preserve">Building-level; no binding DC PUE cap</t>
  </si>
  <si>
    <t xml:space="preserve">MeitY tenders</t>
  </si>
  <si>
    <t xml:space="preserve">AI cloud infrastructure tenders (since 2024) require PUE &lt;1.35</t>
  </si>
  <si>
    <t xml:space="preserve">De facto public-procurement standard</t>
  </si>
  <si>
    <t xml:space="preserve">TRAI</t>
  </si>
  <si>
    <t xml:space="preserve">Recommendations on a regulatory framework for data centres (incl. green measures)</t>
  </si>
  <si>
    <t xml:space="preserve">Advisory</t>
  </si>
  <si>
    <t xml:space="preserve">IGBC Green DC</t>
  </si>
  <si>
    <t xml:space="preserve">Voluntary design/operational certification</t>
  </si>
  <si>
    <t xml:space="preserve">Market signalling</t>
  </si>
  <si>
    <t xml:space="preserve">SEBI BRSR / BRSR Core</t>
  </si>
  <si>
    <t xml:space="preserve">Listed companies disclose energy, water, emissions; assurance phased in</t>
  </si>
  <si>
    <t xml:space="preserve">Covers listed operators and parents (Bharti, Adani, Reliance, Sify via US listing etc.)</t>
  </si>
  <si>
    <t xml:space="preserve">Carbon Credit Trading Scheme</t>
  </si>
  <si>
    <t xml:space="preserve">Compliance market: ~490 obligated entities in 7 industrial sectors; first CCC trading expected ~October 2026</t>
  </si>
  <si>
    <t xml:space="preserve">Data centres are *not* obligated entities; the offset mechanism and price signal matter</t>
  </si>
  <si>
    <t xml:space="preserve">Draft National Data Centre Policy</t>
  </si>
  <si>
    <t xml:space="preserve">Announced 2020; MeitY revived consultations (economic zones, single window, RE use)</t>
  </si>
  <si>
    <t xml:space="preserve">No binding green thresholds yet</t>
  </si>
  <si>
    <t xml:space="preserve">State DC policies</t>
  </si>
  <si>
    <t xml:space="preserve">Karnataka 2026–31 (PUE/WUE reporting + incentives); UP 2026 (50% RE target for new DCs by 2030, green "booster" interest subsidy); others</t>
  </si>
  <si>
    <t xml:space="preserve">States are leading on green conditions</t>
  </si>
  <si>
    <t xml:space="preserve">Draft Climate Finance Taxonomy</t>
  </si>
  <si>
    <t xml:space="preserve">DEA draft framework, May 2025 (comments to 25 June 2025); sectoral annexes pending</t>
  </si>
  <si>
    <t xml:space="preserve">Inclusion of DCs with PUE/CFE criteria would unlock cheaper capital</t>
  </si>
  <si>
    <t xml:space="preserve">R8-T06  Design levers with quantified savings</t>
  </si>
  <si>
    <t xml:space="preserve">Source: Report 8 (full research report) · 3. Design levers with quantified savings</t>
  </si>
  <si>
    <t xml:space="preserve">Note: The table below ranks levers for an Indian air-and-liquid hybrid facility. Savings are indicative ranges drawn from engineering practice and the series' prior reports. These are estimates, not measured Indian fleet data.</t>
  </si>
  <si>
    <t xml:space="preserve">Used in atlas: Reference for green upgrade assumptions.</t>
  </si>
  <si>
    <t xml:space="preserve">Used to derive: Savings per design lever.</t>
  </si>
  <si>
    <t xml:space="preserve">Lever</t>
  </si>
  <si>
    <t xml:space="preserve">Typical impact</t>
  </si>
  <si>
    <t xml:space="preserve">Cost/complexity</t>
  </si>
  <si>
    <t xml:space="preserve">India note</t>
  </si>
  <si>
    <t xml:space="preserve">Site selection (climate, RE access, water, grid)</t>
  </si>
  <si>
    <t xml:space="preserve">0.05–0.15 PUE; large water and carbon effects</t>
  </si>
  <si>
    <t xml:space="preserve">Low if early</t>
  </si>
  <si>
    <t xml:space="preserve">Bengaluru's mild, elevated climate beats Chennai/Mumbai for free cooling; Hoskote park pairs Pavagada solar + 60 MLD treated water</t>
  </si>
  <si>
    <t xml:space="preserve">Hot/cold-aisle containment</t>
  </si>
  <si>
    <t xml:space="preserve">10–20% cooling energy</t>
  </si>
  <si>
    <t xml:space="preserve">Table stakes</t>
  </si>
  <si>
    <t xml:space="preserve">Raised supply air temperature (ASHRAE recommended 18–27 °C)</t>
  </si>
  <si>
    <t xml:space="preserve">2–4% chiller energy per °C</t>
  </si>
  <si>
    <t xml:space="preserve">Germany will require 27 °C inlet from 2028</t>
  </si>
  <si>
    <t xml:space="preserve">Free cooling / economisers, dry coolers</t>
  </si>
  <si>
    <t xml:space="preserve">0.05–0.15 PUE in Bengaluru</t>
  </si>
  <si>
    <t xml:space="preserve">Medium</t>
  </si>
  <si>
    <t xml:space="preserve">Many hours below 24 °C wet-bulb</t>
  </si>
  <si>
    <t xml:space="preserve">Direct-to-chip liquid cooling (DLC)</t>
  </si>
  <si>
    <t xml:space="preserve">Removes ~70–80% of heat with warm water (30–45 °C); enables PUE 1.1–1.2</t>
  </si>
  <si>
    <t xml:space="preserve">Medium-high</t>
  </si>
  <si>
    <t xml:space="preserve">Essential for 50–130 kW AI racks</t>
  </si>
  <si>
    <t xml:space="preserve">Immersion cooling</t>
  </si>
  <si>
    <t xml:space="preserve">PUE ~1.03–1.1; no fans</t>
  </si>
  <si>
    <t xml:space="preserve">High; ecosystem immature</t>
  </si>
  <si>
    <t xml:space="preserve">Niche/edge</t>
  </si>
  <si>
    <t xml:space="preserve">High-efficiency UPS / eco-mode</t>
  </si>
  <si>
    <t xml:space="preserve">2–4% of facility energy</t>
  </si>
  <si>
    <t xml:space="preserve">Low-medium</t>
  </si>
  <si>
    <t xml:space="preserve">Eco-mode at 99% efficiency vs ~94–96% double-conversion</t>
  </si>
  <si>
    <t xml:space="preserve">Low-loss transformers, 415 V / higher-voltage distribution; 800 VDC for AI racks</t>
  </si>
  <si>
    <t xml:space="preserve">800 VDC is emerging with next-generation GPU racks</t>
  </si>
  <si>
    <t xml:space="preserve">Lithium-ion UPS batteries</t>
  </si>
  <si>
    <t xml:space="preserve">Smaller footprint, longer life</t>
  </si>
  <si>
    <t xml:space="preserve">Fire-safety design essential</t>
  </si>
  <si>
    <t xml:space="preserve">Server utilisation, virtualisation, consolidation</t>
  </si>
  <si>
    <t xml:space="preserve">Can halve IT energy per workload</t>
  </si>
  <si>
    <t xml:space="preserve">Low (software)</t>
  </si>
  <si>
    <t xml:space="preserve">The biggest lever that PUE does not see</t>
  </si>
  <si>
    <t xml:space="preserve">Efficient chips (ARM, accelerators), power capping</t>
  </si>
  <si>
    <t xml:space="preserve">10–30% per workload</t>
  </si>
  <si>
    <t xml:space="preserve">Procurement criterion: SS 715-type standards</t>
  </si>
  <si>
    <t xml:space="preserve">AI model efficiency (distillation, quantisation, batching)</t>
  </si>
  <si>
    <t xml:space="preserve">Large; Google reports a 33× fall in median Gemini prompt energy over one year (self-reported, unverified)</t>
  </si>
  <si>
    <t xml:space="preserve">Software</t>
  </si>
  <si>
    <t xml:space="preserve">Demand-side efficiency matters most for AI</t>
  </si>
  <si>
    <t xml:space="preserve">AI-driven cooling optimisation, DCIM, digital twins</t>
  </si>
  <si>
    <t xml:space="preserve">5–15% cooling energy</t>
  </si>
  <si>
    <t xml:space="preserve">Quick win on existing Indian stock</t>
  </si>
  <si>
    <t xml:space="preserve">Carbon-aware scheduling</t>
  </si>
  <si>
    <t xml:space="preserve">Shifts flexible loads to solar hours</t>
  </si>
  <si>
    <t xml:space="preserve">India's solar-heavy midday supply favours daytime batch/training</t>
  </si>
  <si>
    <t xml:space="preserve">Low-carbon materials (low-clinker concrete, recycled steel, hybrid timber)</t>
  </si>
  <si>
    <t xml:space="preserve">Microsoft: hybrid mass timber cut embodied carbon an estimated 35% vs steel and 65% vs precast concrete; Google cites up to 40% from low-carbon materials</t>
  </si>
  <si>
    <t xml:space="preserve">Fly-ash/slag cements are abundant in India</t>
  </si>
  <si>
    <t xml:space="preserve">Cool roofs, passive design</t>
  </si>
  <si>
    <t xml:space="preserve">Small energy effect; reduces heat island</t>
  </si>
  <si>
    <t xml:space="preserve">Supports social licence</t>
  </si>
  <si>
    <t xml:space="preserve">Treated wastewater (TTW) for cooling</t>
  </si>
  <si>
    <t xml:space="preserve">Cuts freshwater to near zero</t>
  </si>
  <si>
    <t xml:space="preserve">Medium (treatment plant)</t>
  </si>
  <si>
    <t xml:space="preserve">Karnataka reimburses treated-water charges</t>
  </si>
  <si>
    <t xml:space="preserve">R8-T07  Renewable procurement options in India</t>
  </si>
  <si>
    <t xml:space="preserve">Source: Report 8 (full research report) · 4. Renewable and carbon-free energy procurement › 4.1 Procurement options in India</t>
  </si>
  <si>
    <t xml:space="preserve">Used in atlas: Ch 8 "Buying clean power in India" table; simulator RE price.</t>
  </si>
  <si>
    <t xml:space="preserve">Used to derive: Landed cost of clean power routes.</t>
  </si>
  <si>
    <t xml:space="preserve">Route</t>
  </si>
  <si>
    <t xml:space="preserve">Typical landed cost (est.)</t>
  </si>
  <si>
    <t xml:space="preserve">Pros</t>
  </si>
  <si>
    <t xml:space="preserve">Cons</t>
  </si>
  <si>
    <t xml:space="preserve">On-site rooftop solar</t>
  </si>
  <si>
    <t xml:space="preserve">Behind-the-meter</t>
  </si>
  <si>
    <t xml:space="preserve">₹3–4/kWh</t>
  </si>
  <si>
    <t xml:space="preserve">No OA charges</t>
  </si>
  <si>
    <t xml:space="preserve">Meets &lt;2–5% of a DC's load (density)</t>
  </si>
  <si>
    <t xml:space="preserve">Group captive</t>
  </si>
  <si>
    <t xml:space="preserve">Consumer holds ≥26% equity and consumes ≥51%</t>
  </si>
  <si>
    <t xml:space="preserve">₹5.5–7/kWh</t>
  </si>
  <si>
    <t xml:space="preserve">Exempt from cross-subsidy and additional surcharges</t>
  </si>
  <si>
    <t xml:space="preserve">Equity lock-in; state rules vary</t>
  </si>
  <si>
    <t xml:space="preserve">Third-party open access PPA</t>
  </si>
  <si>
    <t xml:space="preserve">Wheeled RE under state OA rules</t>
  </si>
  <si>
    <t xml:space="preserve">₹6.5–8/kWh</t>
  </si>
  <si>
    <t xml:space="preserve">Flexible</t>
  </si>
  <si>
    <t xml:space="preserve">Surcharges, banking limits, regulatory risk</t>
  </si>
  <si>
    <t xml:space="preserve">Green Energy Open Access (2022 Rules)</t>
  </si>
  <si>
    <t xml:space="preserve">≥100 kW consumers; faster approvals, capped charges</t>
  </si>
  <si>
    <t xml:space="preserve">Varies</t>
  </si>
  <si>
    <t xml:space="preserve">National framework</t>
  </si>
  <si>
    <t xml:space="preserve">Karnataka High Court struck down the state application; KERC issued new OA Regulations 2025</t>
  </si>
  <si>
    <t xml:space="preserve">ISTS hybrid PPAs</t>
  </si>
  <si>
    <t xml:space="preserve">Inter-state solar-wind(-storage)</t>
  </si>
  <si>
    <t xml:space="preserve">₹5–6.5/kWh at bus + charges</t>
  </si>
  <si>
    <t xml:space="preserve">Better hourly profile</t>
  </si>
  <si>
    <t xml:space="preserve">Transmission waiver phase-down</t>
  </si>
  <si>
    <t xml:space="preserve">SECI RTC/FDRE auctions</t>
  </si>
  <si>
    <t xml:space="preserve">Firm, dispatchable RE (prior report: ₹5.25/kWh)</t>
  </si>
  <si>
    <t xml:space="preserve">~₹5.25 + delivery</t>
  </si>
  <si>
    <t xml:space="preserve">High CFE share</t>
  </si>
  <si>
    <t xml:space="preserve">Mainly for discoms; replicable bilaterally</t>
  </si>
  <si>
    <t xml:space="preserve">State green tariffs</t>
  </si>
  <si>
    <t xml:space="preserve">Discom supplies RE at a premium</t>
  </si>
  <si>
    <t xml:space="preserve">Tariff + premium</t>
  </si>
  <si>
    <t xml:space="preserve">Simple</t>
  </si>
  <si>
    <t xml:space="preserve">Additionality unclear</t>
  </si>
  <si>
    <t xml:space="preserve">RECs / I-RECs</t>
  </si>
  <si>
    <t xml:space="preserve">Unbundled certificates</t>
  </si>
  <si>
    <t xml:space="preserve">₹0.1–0.3/kWh</t>
  </si>
  <si>
    <t xml:space="preserve">Cheap</t>
  </si>
  <si>
    <t xml:space="preserve">Weakest claim; Microsoft has paused non-additional unbundled RECs</t>
  </si>
  <si>
    <t xml:space="preserve">BESS / pumped storage</t>
  </si>
  <si>
    <t xml:space="preserve">Firming</t>
  </si>
  <si>
    <t xml:space="preserve">Adds ₹1.5–3/kWh to firmed supply</t>
  </si>
  <si>
    <t xml:space="preserve">Lifts hourly CFE</t>
  </si>
  <si>
    <t xml:space="preserve">Capex</t>
  </si>
  <si>
    <t xml:space="preserve">Future PPAs</t>
  </si>
  <si>
    <t xml:space="preserve">n/a in India today</t>
  </si>
  <si>
    <t xml:space="preserve">24/7 CFE</t>
  </si>
  <si>
    <t xml:space="preserve">India's SHANTI Act (December 2025) opened private participation; ₹20,000 crore Nuclear Energy Mission targets ≥5 indigenous SMRs by 2033; draft rules August 2026</t>
  </si>
  <si>
    <t xml:space="preserve">R8-T08  Indian operator green snapshot</t>
  </si>
  <si>
    <t xml:space="preserve">Source: Report 8 (full research report) · 4. Renewable and carbon-free energy procurement › 4.4 Indian operator snapshot</t>
  </si>
  <si>
    <t xml:space="preserve">Used in atlas: Ch 8 "Indian operators" table.</t>
  </si>
  <si>
    <t xml:space="preserve">Used to derive: Operator green credentials.</t>
  </si>
  <si>
    <t xml:space="preserve">Green credentials (latest disclosed)</t>
  </si>
  <si>
    <t xml:space="preserve">Assessment</t>
  </si>
  <si>
    <t xml:space="preserve">Nxtra by Airtel</t>
  </si>
  <si>
    <t xml:space="preserve">49% RE in core DCs (FY25); 482,800 MWh RE contracted (3× FY21); PUE down 10% vs FY21; first Indian DC in RE100 (June 2024); 125.65 MW ISTS hybrid with AMPIN (205,167 MWh/yr); FY26 report targets 70% RE</t>
  </si>
  <si>
    <t xml:space="preserve">Best-disclosed Indian operator; still annual matching</t>
  </si>
  <si>
    <t xml:space="preserve">AdaniConneX</t>
  </si>
  <si>
    <t xml:space="preserve">1 GW platform; US$875m sustainability-linked loan (up to US$1.44bn) with KPIs on energy efficiency, RE adoption and safety (first SLL in Indian DC sector, ING-led); partner in Google Vizag</t>
  </si>
  <si>
    <t xml:space="preserve">Strong financing signal; site PUE/CFE data limited</t>
  </si>
  <si>
    <t xml:space="preserve">Google–AdaniConneX–Nxtra, Vizag</t>
  </si>
  <si>
    <t xml:space="preserve">US$15bn (2026–30), ~1 GW across three campuses; ground broken 28 April 2026; new RE + storage by Adani</t>
  </si>
  <si>
    <t xml:space="preserve">Reports conflict on whether power comes from new Andhra Pradesh generation or Khavda (Gujarat); the hourly-matching design is undisclosed</t>
  </si>
  <si>
    <t xml:space="preserve">&gt;231 MW RE contracted; AI racks up to 200 kW</t>
  </si>
  <si>
    <t xml:space="preserve">Good procurement; limited PUE disclosure</t>
  </si>
  <si>
    <t xml:space="preserve">Captive solar (Nagpur) for Mumbai; NTPC Green partnership</t>
  </si>
  <si>
    <t xml:space="preserve">Procurement-led</t>
  </si>
  <si>
    <t xml:space="preserve">Green tariff via Hiranandani group utility TUCO (hydro, biogas)</t>
  </si>
  <si>
    <t xml:space="preserve">Novel structure; additionality unclear</t>
  </si>
  <si>
    <t xml:space="preserve">Reliance–Meta, Jamnagar</t>
  </si>
  <si>
    <t xml:space="preserve">168 MW AI DC announced June 2026, "supported by renewable energy"</t>
  </si>
  <si>
    <t xml:space="preserve">Too early to assess</t>
  </si>
  <si>
    <t xml:space="preserve">STT GDC India, NTT India, AWS/Microsoft India</t>
  </si>
  <si>
    <t xml:space="preserve">RE PPAs announced in several states</t>
  </si>
  <si>
    <t xml:space="preserve">*Site-level figures not re-verified this cycle*</t>
  </si>
  <si>
    <t xml:space="preserve">R8-T09  Global benchmarks: Google, Microsoft and others</t>
  </si>
  <si>
    <t xml:space="preserve">Source: Report 8 (full research report) · 5. Global benchmarks and the AI problem</t>
  </si>
  <si>
    <t xml:space="preserve">Used in atlas: Ch 8 headline (+18% / +25% emissions); Ch 5 text.</t>
  </si>
  <si>
    <t xml:space="preserve">Used to derive: Limits of annual RE matching.</t>
  </si>
  <si>
    <t xml:space="preserve">Clean energy</t>
  </si>
  <si>
    <t xml:space="preserve">Emissions trend</t>
  </si>
  <si>
    <t xml:space="preserve">Water / other</t>
  </si>
  <si>
    <t xml:space="preserve">Fleet PUE 1.09 (2025); 83% less overhead than the 1.54 industry average</t>
  </si>
  <si>
    <t xml:space="preserve">~65% hourly CFE; 12 GW new contracts; 100% annual match (9th year)</t>
  </si>
  <si>
    <t xml:space="preserve">Ambition-based footprint +18% to ~14.5 Mt; Scope 3 +25%; DC construction ~2.3 Mt; electricity +37%</t>
  </si>
  <si>
    <t xml:space="preserve">Target 24/7 CFE and 50% cut by 2030</t>
  </si>
  <si>
    <t xml:space="preserve">n/a fleet PUE</t>
  </si>
  <si>
    <t xml:space="preserve">40 GW contracted (19 GW online); 100% annual match</t>
  </si>
  <si>
    <t xml:space="preserve">FY25 20.29 Mt vs 12.88 Mt FY20 (+~58% market-based; Stand.earth estimates ~80% gross); +25% YoY; Scope 2 now 13% of total after dropping unbundled RECs</t>
  </si>
  <si>
    <t xml:space="preserve">Owned-DC WUE 0.27 L/kWh; zero-water-for-cooling design (from August 2024) avoids &gt;125 million L/yr per DC; mass-timber DCs</t>
  </si>
  <si>
    <t xml:space="preserve">Meta, AWS, Equinix, Digital Realty, NTT, Iron Mountain, Apple</t>
  </si>
  <si>
    <t xml:space="preserve">100% annual RE matching widely claimed; AWS "water positive by 2030"; Iron Mountain an early 24/7 CFE adopter</t>
  </si>
  <si>
    <t xml:space="preserve">Mostly rising absolute emissions with AI</t>
  </si>
  <si>
    <t xml:space="preserve">*Figures not re-verified this cycle*</t>
  </si>
  <si>
    <t xml:space="preserve">R8-T10  Green upgrade worked example: assumptions</t>
  </si>
  <si>
    <t xml:space="preserve">Source: Report 8 (full research report) · 6. Economics of going green: a 20 MW Bengaluru colocation worked example › 6.1 Assumptions (flagged estimates)</t>
  </si>
  <si>
    <t xml:space="preserve">Used in atlas: Ch 8 green upgrade calculator defaults.</t>
  </si>
  <si>
    <t xml:space="preserve">Used to derive: Inputs for the 20 MW green case.</t>
  </si>
  <si>
    <t xml:space="preserve">Baseline</t>
  </si>
  <si>
    <t xml:space="preserve">Green design</t>
  </si>
  <si>
    <t xml:space="preserve">Source/basis</t>
  </si>
  <si>
    <t xml:space="preserve">Average IT utilisation</t>
  </si>
  <si>
    <t xml:space="preserve">70% → 14 MW avg</t>
  </si>
  <si>
    <t xml:space="preserve">Same</t>
  </si>
  <si>
    <t xml:space="preserve">Annual IT energy</t>
  </si>
  <si>
    <t xml:space="preserve">14 × 8,760 = 122.64 GWh</t>
  </si>
  <si>
    <t xml:space="preserve">Calc</t>
  </si>
  <si>
    <t xml:space="preserve">Indian average vs green target</t>
  </si>
  <si>
    <t xml:space="preserve">Facility energy</t>
  </si>
  <si>
    <t xml:space="preserve">183.96 GWh</t>
  </si>
  <si>
    <t xml:space="preserve">153.30 GWh</t>
  </si>
  <si>
    <t xml:space="preserve">Power source</t>
  </si>
  <si>
    <t xml:space="preserve">100% grid</t>
  </si>
  <si>
    <t xml:space="preserve">80% RTC RE (group captive/OA), 20% grid</t>
  </si>
  <si>
    <t xml:space="preserve">Grid all-in tariff</t>
  </si>
  <si>
    <t xml:space="preserve">₹8.0/kWh</t>
  </si>
  <si>
    <t xml:space="preserve">Estimate for HT commercial incl. demand charges and duty</t>
  </si>
  <si>
    <t xml:space="preserve">RE landed cost</t>
  </si>
  <si>
    <t xml:space="preserve">₹7.25/kWh (central); range ₹6.5–8.5</t>
  </si>
  <si>
    <t xml:space="preserve">SECI RTC ₹5.25 + OA charges/banking (estimate)</t>
  </si>
  <si>
    <t xml:space="preserve">Grid emission factor</t>
  </si>
  <si>
    <t xml:space="preserve">0.710 tCO₂/MWh</t>
  </si>
  <si>
    <t xml:space="preserve">CEA (prior report)</t>
  </si>
  <si>
    <t xml:space="preserve">Cooling / WUE</t>
  </si>
  <si>
    <t xml:space="preserve">Evaporative towers, 1.8 L/kWh freshwater</t>
  </si>
  <si>
    <t xml:space="preserve">Dry coolers + DLC-ready, TTW adiabatic trim; 0.2 L/kWh freshwater</t>
  </si>
  <si>
    <t xml:space="preserve">Base capex</t>
  </si>
  <si>
    <t xml:space="preserve">₹56 crore/MW → ₹1,120 crore</t>
  </si>
  <si>
    <t xml:space="preserve">+ green premium</t>
  </si>
  <si>
    <t xml:space="preserve">Prior unit-economics report</t>
  </si>
  <si>
    <t xml:space="preserve">Green capex premium</t>
  </si>
  <si>
    <t xml:space="preserve">₹60 crore (~5.4%)</t>
  </si>
  <si>
    <t xml:space="preserve">Estimate: efficient chillers/dry coolers, containment, eco-mode UPS, TTW plant, DCIM/digital twin, IGBC, low-carbon concrete, rooftop PV</t>
  </si>
  <si>
    <t xml:space="preserve">R8-T11  Marginal abatement cost by package</t>
  </si>
  <si>
    <t xml:space="preserve">Source: Report 8 (full research report) · 6. Economics of going green: a 20 MW Bengaluru colocation worked example › 6.3 Marginal abatement cost (MAC)</t>
  </si>
  <si>
    <t xml:space="preserve">Note: MAC = (annualised capex + Δopex) ÷ tCO₂ abated</t>
  </si>
  <si>
    <t xml:space="preserve">Used in atlas: Ch 8 "Abatement cost by measure" chart; Key numbers.</t>
  </si>
  <si>
    <t xml:space="preserve">Used to derive: Marginal abatement cost per package.</t>
  </si>
  <si>
    <t xml:space="preserve">Package</t>
  </si>
  <si>
    <t xml:space="preserve">Net annual cost (₹ crore)</t>
  </si>
  <si>
    <t xml:space="preserve">tCO₂ abated/yr</t>
  </si>
  <si>
    <t xml:space="preserve">MAC (₹/tCO₂)</t>
  </si>
  <si>
    <t xml:space="preserve">Efficiency + water (PUE 1.5→1.25, dry/TTW)</t>
  </si>
  <si>
    <t xml:space="preserve">7.9 – 24.5 – 1.8 = –18.4</t>
  </si>
  <si>
    <t xml:space="preserve">≈ –₹8,450</t>
  </si>
  <si>
    <t xml:space="preserve">RE at ₹0.75/kWh discount</t>
  </si>
  <si>
    <t xml:space="preserve">–9.2</t>
  </si>
  <si>
    <t xml:space="preserve">≈ –₹1,060</t>
  </si>
  <si>
    <t xml:space="preserve">RE at ₹0.50/kWh premium (adverse OA case)</t>
  </si>
  <si>
    <t xml:space="preserve">+6.1</t>
  </si>
  <si>
    <t xml:space="preserve">≈ +₹700</t>
  </si>
  <si>
    <t xml:space="preserve">Full package (central case)</t>
  </si>
  <si>
    <t xml:space="preserve">–27.6</t>
  </si>
  <si>
    <t xml:space="preserve">≈ –₹2,540</t>
  </si>
  <si>
    <t xml:space="preserve">R8-T12  Green data-centre maturity model (India-calibrated)</t>
  </si>
  <si>
    <t xml:space="preserve">Source: Report 8 (full research report) · 8. Green Data Centre maturity model (India-calibrated)</t>
  </si>
  <si>
    <t xml:space="preserve">Used in atlas: Ch 8 maturity self-check radar.</t>
  </si>
  <si>
    <t xml:space="preserve">Used to derive: Maturity level per dimension.</t>
  </si>
  <si>
    <t xml:space="preserve">L1: Basic</t>
  </si>
  <si>
    <t xml:space="preserve">L2: Managed</t>
  </si>
  <si>
    <t xml:space="preserve">L3: Efficient</t>
  </si>
  <si>
    <t xml:space="preserve">L4: Leading</t>
  </si>
  <si>
    <t xml:space="preserve">L5: Regenerative</t>
  </si>
  <si>
    <t xml:space="preserve">Energy (annual PUE, measured)</t>
  </si>
  <si>
    <t xml:space="preserve">&gt;1.7 or unmeasured</t>
  </si>
  <si>
    <t xml:space="preserve">1.5–1.7</t>
  </si>
  <si>
    <t xml:space="preserve">1.35–1.5</t>
  </si>
  <si>
    <t xml:space="preserve">1.2–1.35</t>
  </si>
  <si>
    <t xml:space="preserve">≤1.20 (air) / ≤1.15 (liquid)</t>
  </si>
  <si>
    <t xml:space="preserve">Carbon (hourly CFE / CUE)</t>
  </si>
  <si>
    <t xml:space="preserve">Grid only; CUE &gt;1.0</t>
  </si>
  <si>
    <t xml:space="preserve">Annual RECs; REF &lt;50%</t>
  </si>
  <si>
    <t xml:space="preserve">REF 50–80% via PPAs</t>
  </si>
  <si>
    <t xml:space="preserve">≥70% hourly CFE; CUE ≤0.3</t>
  </si>
  <si>
    <t xml:space="preserve">≥90% hourly CFE, additional; location-based disclosed</t>
  </si>
  <si>
    <t xml:space="preserve">Water (freshwater WUE, L/kWh)</t>
  </si>
  <si>
    <t xml:space="preserve">&gt;2.0 or unmeasured</t>
  </si>
  <si>
    <t xml:space="preserve">1.3–2.0</t>
  </si>
  <si>
    <t xml:space="preserve">0.7–1.3</t>
  </si>
  <si>
    <t xml:space="preserve">0.2–0.7; TTW</t>
  </si>
  <si>
    <t xml:space="preserve">&lt;0.2; zero freshwater for cooling; basin replenishment</t>
  </si>
  <si>
    <t xml:space="preserve">Materials (embodied)</t>
  </si>
  <si>
    <t xml:space="preserve">No LCA</t>
  </si>
  <si>
    <t xml:space="preserve">LCA done</t>
  </si>
  <si>
    <t xml:space="preserve">10–20% below baseline</t>
  </si>
  <si>
    <t xml:space="preserve">30–40% below; EPDs required</t>
  </si>
  <si>
    <t xml:space="preserve">&gt;40% below; hybrid timber; low-clinker</t>
  </si>
  <si>
    <t xml:space="preserve">Ad hoc disposal</t>
  </si>
  <si>
    <t xml:space="preserve">Authorised e-waste recycler</t>
  </si>
  <si>
    <t xml:space="preserve">≥50% assets reused/refurbished</t>
  </si>
  <si>
    <t xml:space="preserve">≥90% reuse/recycle; extended lifecycles</t>
  </si>
  <si>
    <t xml:space="preserve">Closed-loop component recovery; supplier take-back</t>
  </si>
  <si>
    <t xml:space="preserve">Heat</t>
  </si>
  <si>
    <t xml:space="preserve">Rejected</t>
  </si>
  <si>
    <t xml:space="preserve">Assessed</t>
  </si>
  <si>
    <t xml:space="preserve">Heat-reuse ready (EU definition)</t>
  </si>
  <si>
    <t xml:space="preserve">ERF 2–10% (absorption cooling/process heat)</t>
  </si>
  <si>
    <t xml:space="preserve">ERF &gt;10% with contracted offtaker</t>
  </si>
  <si>
    <t xml:space="preserve">Backup</t>
  </si>
  <si>
    <t xml:space="preserve">Diesel, unmonitored</t>
  </si>
  <si>
    <t xml:space="preserve">Diesel run-hours tracked</t>
  </si>
  <si>
    <t xml:space="preserve">HVO-ready, BESS for short events</t>
  </si>
  <si>
    <t xml:space="preserve">BESS + HVO; diesel &lt;20 h/yr</t>
  </si>
  <si>
    <t xml:space="preserve">Fuel cells/zero-emission backup</t>
  </si>
  <si>
    <t xml:space="preserve">Transparency</t>
  </si>
  <si>
    <t xml:space="preserve">None</t>
  </si>
  <si>
    <t xml:space="preserve">Annual report (BRSR)</t>
  </si>
  <si>
    <t xml:space="preserve">Site-level PUE/WUE published</t>
  </si>
  <si>
    <t xml:space="preserve">Third-party assured PUE/WUE/CFE; Scope 3</t>
  </si>
  <si>
    <t xml:space="preserve">Real-time public dashboards; hourly CFE</t>
  </si>
  <si>
    <t xml:space="preserve">4 tables. Source line under each title; "Note" gives the context sentence from the report.</t>
  </si>
  <si>
    <t xml:space="preserve">R9-T01  Central framework instruments</t>
  </si>
  <si>
    <t xml:space="preserve">Source: Report 9 (full research report) · Part A — Central Framework</t>
  </si>
  <si>
    <t xml:space="preserve">Used in atlas: Ch 9 "The central framework" table.</t>
  </si>
  <si>
    <t xml:space="preserve">Used to derive: National levers vs state levers.</t>
  </si>
  <si>
    <t xml:space="preserve">What it does / implication</t>
  </si>
  <si>
    <t xml:space="preserve">Draft National Data Centre Policy (MeitY)</t>
  </si>
  <si>
    <t xml:space="preserve">Released 5 Nov 2020 for comments (deadline extended to 30 Nov 2020); never notified. MeitY has resumed industry consultations; one market-research release describes a "finalised draft" with up to 20-year conditional tax exemptions, but this is unverified.</t>
  </si>
  <si>
    <t xml:space="preserve">Proposed four Data Centre Economic Zones (DCEZs), single-window clearance, infrastructure status, and support for indigenous servers, storage, networking and cooling. Lacked enforceable mandates. Treat "imminent" claims sceptically: it has been pending for nearly six years.</t>
  </si>
  <si>
    <t xml:space="preserve">Infrastructure status</t>
  </si>
  <si>
    <t xml:space="preserve">In the Harmonised Master List of Infrastructure sub-sectors since 11 Oct 2022</t>
  </si>
  <si>
    <t xml:space="preserve">Applies to data centres of at least 5 MW IT load. Eases long-tenor bank and ECB financing. The Finance Act 2026 tax-holiday definition does not use the 5 MW threshold, so a facility can qualify under one and not the other.</t>
  </si>
  <si>
    <t xml:space="preserve">Union Budget 2026–27 (1 Feb 2026)</t>
  </si>
  <si>
    <t xml:space="preserve">Enacted in the Finance Act; subordinate notifications on qualifying criteria still pending (Norton Rose Fulbright)</t>
  </si>
  <si>
    <t xml:space="preserve">Tax holiday until 31 March 2047 for foreign companies that provide cloud services globally using India-based data-centre services. Indian customers must be served through an Indian reseller. A 15% cost-plus safe harbour applies to related Indian data-centre service providers, and IT services generally move to a 15.5% safe harbour. This is the most important central incentive, but it benefits foreign cloud firms and Indian colocation operators indirectly and has no green conditions.</t>
  </si>
  <si>
    <t xml:space="preserve">DPDP Act 2023 / DPDP Rules 2025</t>
  </si>
  <si>
    <t xml:space="preserve">Rules notified 14 Nov 2025</t>
  </si>
  <si>
    <t xml:space="preserve">"Soft localisation": cross-border transfers are allowed unless the government blacklists a country. Demand for local hosting comes more from sector rules — RBI payment-data localisation (all payment data stored in India) and the SEBI Cloud Framework 2023 (data and logs on Indian servers) — than from the DPDP regime itself.</t>
  </si>
  <si>
    <t xml:space="preserve">MeitY cloud empanelment (GI Cloud / MeghRaj)</t>
  </si>
  <si>
    <t xml:space="preserve">Ongoing</t>
  </si>
  <si>
    <t xml:space="preserve">Government workloads must use MeitY-empanelled cloud service providers hosted in audited Indian data centres. This creates steady sovereign demand, especially for Tier III facilities. *(Not re-verified in this research.)*</t>
  </si>
  <si>
    <t xml:space="preserve">IndiaAI Mission</t>
  </si>
  <si>
    <t xml:space="preserve">Subsidised GPU compute procured from private data-centre operators. It shapes demand for high-density, liquid-cooled capacity. *(Not re-verified in this research.)*</t>
  </si>
  <si>
    <t xml:space="preserve">Green Energy Open Access Rules 2022 (MoP)</t>
  </si>
  <si>
    <t xml:space="preserve">In force</t>
  </si>
  <si>
    <t xml:space="preserve">Lowered the open-access threshold to 100 kW and capped additional surcharges, enabling corporate renewable procurement. CEEW stakeholders still name high cross-subsidy surcharge (CSS) and additional surcharge, inconsistent banking rules and sudden withdrawal of waivers as the main barriers.</t>
  </si>
  <si>
    <t xml:space="preserve">ISTS charges waiver</t>
  </si>
  <si>
    <t xml:space="preserve">Being phased down for projects commissioned after mid-2025 *(general knowledge, not re-verified)*</t>
  </si>
  <si>
    <t xml:space="preserve">Makes inter-state renewable PPAs dearer over time, so state-level wheeling and banking concessions matter more.</t>
  </si>
  <si>
    <t xml:space="preserve">TRAI recommendations on data centres, CDNs and interconnect exchanges</t>
  </si>
  <si>
    <t xml:space="preserve">Issued Nov 2022 (often cited as 2023); not implemented by statute</t>
  </si>
  <si>
    <t xml:space="preserve">Recommended a legal framework, a single-window system, a data-centre-specific building-code category and incentives. Industry still asks for a National Building Code category for data centres.</t>
  </si>
  <si>
    <t xml:space="preserve">CEA/MoP draft guidance on power for data centres</t>
  </si>
  <si>
    <t xml:space="preserve">*Not verified in this research.*</t>
  </si>
  <si>
    <t xml:space="preserve">Flagged as a gap: no publicly verified central power-supply standard for data centres was found.</t>
  </si>
  <si>
    <t xml:space="preserve">SEZ route</t>
  </si>
  <si>
    <t xml:space="preserve">Available</t>
  </si>
  <si>
    <t xml:space="preserve">Data centres can be set up in IT/ITeS SEZs, for example the 2.7 ha SEZ portion of RackBank's Nava Raipur park. The Budget's IFSC tax-holiday extension (20 of 25 years) helps GIFT City-type locations.</t>
  </si>
  <si>
    <t xml:space="preserve">GST</t>
  </si>
  <si>
    <t xml:space="preserve">Standard rate on data-centre/colocation services *(not re-verified)*</t>
  </si>
  <si>
    <t xml:space="preserve">States compete through SGST reimbursement, which is the reason "net SGST reimbursement" appears in almost every policy.</t>
  </si>
  <si>
    <t xml:space="preserve">R9-T02  Telangana named projects</t>
  </si>
  <si>
    <t xml:space="preserve">Source: Report 9 (full research report) · Part B — State-by-State Deep Dive › 4. Telangana — the inland AI challenger</t>
  </si>
  <si>
    <t xml:space="preserve">Note: Implementation: According to Knight Frank India's "India Data Centre Market Update 2025", Hyderabad live capacity rose from 60.9 MW (2022) to 151.4 MW (end-2025), with a 1.9 GW committed pipeline, second only to Mumbai. AWS, which runs three availability zones in the city, holds 46% of live IT capacity. Named projects:</t>
  </si>
  <si>
    <t xml:space="preserve">Used in atlas: Ch 9 Telangana detail; Ch 10 demand context.</t>
  </si>
  <si>
    <t xml:space="preserve">Used to derive: Hyderabad pipeline evidence.</t>
  </si>
  <si>
    <t xml:space="preserve">Project</t>
  </si>
  <si>
    <t xml:space="preserve">Size / investment</t>
  </si>
  <si>
    <t xml:space="preserve">Details</t>
  </si>
  <si>
    <t xml:space="preserve">₹60,000 crore</t>
  </si>
  <si>
    <t xml:space="preserve">Foundation stone July 2026</t>
  </si>
  <si>
    <t xml:space="preserve">TCS HyperVault</t>
  </si>
  <si>
    <t xml:space="preserve">Up to 1 GW, up to ₹70,000 crore</t>
  </si>
  <si>
    <t xml:space="preserve">264 acres, Future City; announced September 2026</t>
  </si>
  <si>
    <t xml:space="preserve">400 MW, ₹10,000 crore</t>
  </si>
  <si>
    <t xml:space="preserve">MoU 2025</t>
  </si>
  <si>
    <t xml:space="preserve">NTT DATA–Neysa</t>
  </si>
  <si>
    <t xml:space="preserve">400 MW, ₹10,500 crore</t>
  </si>
  <si>
    <t xml:space="preserve">Microsoft India South Central region</t>
  </si>
  <si>
    <t xml:space="preserve">Launched 2026</t>
  </si>
  <si>
    <t xml:space="preserve">R9-T03  Master comparison of state policies</t>
  </si>
  <si>
    <t xml:space="preserve">Source: Report 9 (full research report) · Part C — Master Comparison Table</t>
  </si>
  <si>
    <t xml:space="preserve">Used in atlas: Ch 9 policy register table, map detail panel and validity chart; simulator incentives.</t>
  </si>
  <si>
    <t xml:space="preserve">Used to derive: Incentives and green conditions by state.</t>
  </si>
  <si>
    <t xml:space="preserve">Instrument / status</t>
  </si>
  <si>
    <t xml:space="preserve">Target</t>
  </si>
  <si>
    <t xml:space="preserve">Capex / interest</t>
  </si>
  <si>
    <t xml:space="preserve">Land / stamp</t>
  </si>
  <si>
    <t xml:space="preserve">Green conditions</t>
  </si>
  <si>
    <t xml:space="preserve">Validity</t>
  </si>
  <si>
    <t xml:space="preserve">IT/ITeS 2023 + IGDCP GRs (Oct 2024; Jun 2026) — active</t>
  </si>
  <si>
    <t xml:space="preserve">20 parks; 30–40 GW by 2047</t>
  </si>
  <si>
    <t xml:space="preserve">IPS 75% of fixed capital investment (≥₹60k cr); 4% interest, ₹25 cr/yr</t>
  </si>
  <si>
    <t xml:space="preserve">ED 20 yrs; ₹1/unit 10–20 yrs</t>
  </si>
  <si>
    <t xml:space="preserve">Stamp duty 100% (IGDCP); any-zone siting</t>
  </si>
  <si>
    <t xml:space="preserve">51% RE (cut from 100%)</t>
  </si>
  <si>
    <t xml:space="preserve">IT policy to 2028; GR open-ended</t>
  </si>
  <si>
    <t xml:space="preserve">DC Policy 2021 — lapsed 31.3.2026</t>
  </si>
  <si>
    <t xml:space="preserve">Electricity tax 100%, 5 yrs</t>
  </si>
  <si>
    <t xml:space="preserve">Stamp duty 50–100%; 50% land (Cat C)</t>
  </si>
  <si>
    <t xml:space="preserve">≥30% RE eligibility</t>
  </si>
  <si>
    <t xml:space="preserve">Expired</t>
  </si>
  <si>
    <t xml:space="preserve">Sustainable DC Policy 2026–31 — approved Sept 2026</t>
  </si>
  <si>
    <t xml:space="preserve">1 GW; ₹1,300.45 cr outlay</t>
  </si>
  <si>
    <t xml:space="preserve">Capital subsidy; R&amp;D 50% up to ₹15 cr</t>
  </si>
  <si>
    <t xml:space="preserve">ED exemption; wheeling reimbursement</t>
  </si>
  <si>
    <t xml:space="preserve">Parks on 30+30-yr lease</t>
  </si>
  <si>
    <t xml:space="preserve">PUE/WUE reporting; ₹20 cr PUE; WUE &amp; treated-water reimbursement</t>
  </si>
  <si>
    <t xml:space="preserve">DC Policy 2016 + bespoke deals</t>
  </si>
  <si>
    <t xml:space="preserve">~5 GW by 2029–30 (stated)</t>
  </si>
  <si>
    <t xml:space="preserve">Lease rental 25%; R&amp;D</t>
  </si>
  <si>
    <t xml:space="preserve">Power incentives; dual grid</t>
  </si>
  <si>
    <t xml:space="preserve">Land subsidy (govt land); 50% building fee</t>
  </si>
  <si>
    <t xml:space="preserve">Legacy</t>
  </si>
  <si>
    <t xml:space="preserve">DC Policy 4.0, G.O.Ms.6 (14.11.2024)</t>
  </si>
  <si>
    <t xml:space="preserve">200 MW–1 GW (policy); 6.5 GW (claimed)</t>
  </si>
  <si>
    <t xml:space="preserve">100% SGST on capital goods or 10% P&amp;M; mega &gt;50 MW/&gt;₹5k cr bespoke</t>
  </si>
  <si>
    <t xml:space="preserve">Industrial tariff; T&amp;W case-by-case</t>
  </si>
  <si>
    <t xml:space="preserve">Stamp duty 100% first sale; land discount (mega)</t>
  </si>
  <si>
    <t xml:space="preserve">Seawater cooling; "70% RE" (stated, not notified)</t>
  </si>
  <si>
    <t xml:space="preserve">2029 or new policy</t>
  </si>
  <si>
    <t xml:space="preserve">DC Policy 2026 (replaced 2021)</t>
  </si>
  <si>
    <t xml:space="preserve">+2 GW; ₹2 lakh cr</t>
  </si>
  <si>
    <t xml:space="preserve">7% up to ₹20 cr (+₹5 cr AI); 60% interest (+₹10 cr AI)</t>
  </si>
  <si>
    <t xml:space="preserve">ED 10 yrs; T&amp;W relief; dual grid</t>
  </si>
  <si>
    <t xml:space="preserve">25–50% land; stamp duty 100%</t>
  </si>
  <si>
    <t xml:space="preserve">PUE/green-cert booster; 50% RE by 2030</t>
  </si>
  <si>
    <t xml:space="preserve">~2031 (assumed)</t>
  </si>
  <si>
    <t xml:space="preserve">DC Policy 2026–29 + IT/ITeS 2022–27</t>
  </si>
  <si>
    <t xml:space="preserve">7.5 GW; ₹6 lakh cr</t>
  </si>
  <si>
    <t xml:space="preserve">2.5% capex (Dholera); 4% interest, ₹25 cr/yr; cap 75% of fixed capital investment</t>
  </si>
  <si>
    <t xml:space="preserve">₹1/unit 20 yrs; ED 20 yrs</t>
  </si>
  <si>
    <t xml:space="preserve">Stamp duty &amp; registration 100%</t>
  </si>
  <si>
    <t xml:space="preserve">51% RE</t>
  </si>
  <si>
    <t xml:space="preserve">Haryana</t>
  </si>
  <si>
    <t xml:space="preserve">DC Policy 2022</t>
  </si>
  <si>
    <t xml:space="preserve">115–120 DCs; ₹7,500 cr</t>
  </si>
  <si>
    <t xml:space="preserve">Net SGST 50–75%, 10 yrs</t>
  </si>
  <si>
    <t xml:space="preserve">ED 20 yrs; power bill ≤25% of SGST</t>
  </si>
  <si>
    <t xml:space="preserve">Stamp duty 100%</t>
  </si>
  <si>
    <t xml:space="preserve">~2029 (verify)</t>
  </si>
  <si>
    <t xml:space="preserve">DC Policy 2021 (No. 490-ITE)</t>
  </si>
  <si>
    <t xml:space="preserve">400 MW by 2025</t>
  </si>
  <si>
    <t xml:space="preserve">ED 5 yrs; dual grid</t>
  </si>
  <si>
    <t xml:space="preserve">Captive water treatment</t>
  </si>
  <si>
    <t xml:space="preserve">Lapsing ~Sept 2026</t>
  </si>
  <si>
    <t xml:space="preserve">Odisha</t>
  </si>
  <si>
    <t xml:space="preserve">20% up to ₹25 cr; 5% interest</t>
  </si>
  <si>
    <t xml:space="preserve">30% bill 5 yrs; ED 10 yrs; captive-RE T&amp;W 100%</t>
  </si>
  <si>
    <t xml:space="preserve">Stamp duty 100/50%</t>
  </si>
  <si>
    <t xml:space="preserve">Clean-green subsidy; carbon framing</t>
  </si>
  <si>
    <t xml:space="preserve">Verify</t>
  </si>
  <si>
    <t xml:space="preserve">Rajasthan</t>
  </si>
  <si>
    <t xml:space="preserve">DC Policy 2025</t>
  </si>
  <si>
    <t xml:space="preserve">300 MW; ₹20,000 cr</t>
  </si>
  <si>
    <t xml:space="preserve">Asset-creation ₹10–20 cr/yr; 5% interest</t>
  </si>
  <si>
    <t xml:space="preserve">Banking/T&amp;W 100% waiver; ED 7 yrs</t>
  </si>
  <si>
    <t xml:space="preserve">Stamp duty, conversion exemptions</t>
  </si>
  <si>
    <t xml:space="preserve">ZLD, recycling, green-building; green incentive ₹12.5 cr</t>
  </si>
  <si>
    <t xml:space="preserve">~2030</t>
  </si>
  <si>
    <t xml:space="preserve">Madhya Pradesh</t>
  </si>
  <si>
    <t xml:space="preserve">IT/ITeS &amp; ESDM 2023</t>
  </si>
  <si>
    <t xml:space="preserve">25% up to ₹125 cr (anchors)</t>
  </si>
  <si>
    <t xml:space="preserve">Tariff rebate; ED</t>
  </si>
  <si>
    <t xml:space="preserve">Stamp reimbursement</t>
  </si>
  <si>
    <t xml:space="preserve">Green DC support (vague)</t>
  </si>
  <si>
    <t xml:space="preserve">~2028</t>
  </si>
  <si>
    <t xml:space="preserve">Bihar</t>
  </si>
  <si>
    <t xml:space="preserve">IT Policy 2024</t>
  </si>
  <si>
    <t xml:space="preserve">30% up to ₹30 cr or interest</t>
  </si>
  <si>
    <t xml:space="preserve">25% tariff 5 yrs</t>
  </si>
  <si>
    <t xml:space="preserve">Lease subsidy</t>
  </si>
  <si>
    <t xml:space="preserve">~2029</t>
  </si>
  <si>
    <t xml:space="preserve">R9-T04  State attractiveness index</t>
  </si>
  <si>
    <t xml:space="preserve">Source: Report 9 (full research report) · Part D — Attractiveness Index</t>
  </si>
  <si>
    <t xml:space="preserve">Note: Methodology (author's weighted judgment, 0–10 per factor). Weights: power cost and reliability 25%; renewable access 15%; connectivity (subsea/IX/fibre) 15%; incentives 15%; land and park readiness 10%; water security 10%; regulatory ease and policy stability 10%. Scores reflect the evidence above, not a published index.</t>
  </si>
  <si>
    <t xml:space="preserve">Used in atlas: Ch 9 attractiveness index (sliders) and map colouring; Ch 10 policy factor.</t>
  </si>
  <si>
    <t xml:space="preserve">Used to derive: Weighted state ranking.</t>
  </si>
  <si>
    <t xml:space="preserve">Rank</t>
  </si>
  <si>
    <t xml:space="preserve">RE</t>
  </si>
  <si>
    <t xml:space="preserve">Connectivity</t>
  </si>
  <si>
    <t xml:space="preserve">Incentives</t>
  </si>
  <si>
    <t xml:space="preserve">Land</t>
  </si>
  <si>
    <t xml:space="preserve">Regulatory</t>
  </si>
  <si>
    <t xml:space="preserve">Weighted</t>
  </si>
  <si>
    <t xml:space="preserve">R10-T01  Market context: capacity by city, H1 2026</t>
  </si>
  <si>
    <t xml:space="preserve">Source: Report 10 (Part 10 research report) · Key Findings</t>
  </si>
  <si>
    <t xml:space="preserve">Note: 1. Market context (reported). Cushman &amp; Wakefield's H1 2026 update puts operational capacity at 1,789 MW across seven markets, with 3,860 MW more due by 2030 (509 MW under construction and 3,351 MW planned). By city:</t>
  </si>
  <si>
    <t xml:space="preserve">Used in atlas: Ch 10 context; Ch 1/9 city capacity.</t>
  </si>
  <si>
    <t xml:space="preserve">Used to derive: Market size and pipeline by city.</t>
  </si>
  <si>
    <t xml:space="preserve">Upcoming (MW)</t>
  </si>
  <si>
    <t xml:space="preserve">R10-T02  Effective tariff by state at 80% load factor</t>
  </si>
  <si>
    <t xml:space="preserve">Note: 6. Tariffs vary by about ₹2.7/kWh across states. Over 20 years at 100 MW, that gap is worth more than any capex incentive. Effective cost is computed at 80% load factor, as energy charge + demand charge ÷ 584 h:</t>
  </si>
  <si>
    <t xml:space="preserve">Used in atlas: Ch 10 power score (tariff half); city detail panel.</t>
  </si>
  <si>
    <t xml:space="preserve">Used to derive: Tariff score = 10 × (8.70 − x) ÷ (8.70 − 5.96).</t>
  </si>
  <si>
    <t xml:space="preserve">Tariff basis</t>
  </si>
  <si>
    <t xml:space="preserve">EHT, ₹250/kVA, 580/470 paise slabs</t>
  </si>
  <si>
    <t xml:space="preserve">≈ ₹5.96 (cheapest)</t>
  </si>
  <si>
    <t xml:space="preserve">Kerala</t>
  </si>
  <si>
    <t xml:space="preserve">EHT 220 kV ₹5.55, demand charge estimated</t>
  </si>
  <si>
    <t xml:space="preserve">≈ ₹6.23</t>
  </si>
  <si>
    <t xml:space="preserve">132 kV</t>
  </si>
  <si>
    <t xml:space="preserve">≈ ₹7.1</t>
  </si>
  <si>
    <t xml:space="preserve">NIDP HV-2</t>
  </si>
  <si>
    <t xml:space="preserve">≈ ₹7.41</t>
  </si>
  <si>
    <t xml:space="preserve">≈ ₹7.51</t>
  </si>
  <si>
    <t xml:space="preserve">HT-2(a)</t>
  </si>
  <si>
    <t xml:space="preserve">≈ ₹7.61</t>
  </si>
  <si>
    <t xml:space="preserve">HV-3 132 kV</t>
  </si>
  <si>
    <t xml:space="preserve">≈ ₹8.2</t>
  </si>
  <si>
    <t xml:space="preserve">≈ ₹8.54</t>
  </si>
  <si>
    <t xml:space="preserve">HT-I(A)</t>
  </si>
  <si>
    <t xml:space="preserve">≈ ₹8.7</t>
  </si>
  <si>
    <t xml:space="preserve">R10-T03  Factor weights by use case</t>
  </si>
  <si>
    <t xml:space="preserve">Source: Report 10 (Part 10 research report) · Method</t>
  </si>
  <si>
    <t xml:space="preserve">Note: Weights.</t>
  </si>
  <si>
    <t xml:space="preserve">Used in atlas: Ch 10 weight presets (balanced, AI, interconnection, sustainability).</t>
  </si>
  <si>
    <t xml:space="preserve">Used to derive: Use-case rankings.</t>
  </si>
  <si>
    <t xml:space="preserve">Default</t>
  </si>
  <si>
    <t xml:space="preserve">AI campus</t>
  </si>
  <si>
    <t xml:space="preserve">Interconnect</t>
  </si>
  <si>
    <t xml:space="preserve">Sustainability</t>
  </si>
  <si>
    <t xml:space="preserve">20 (RE-access score replaces tariff)</t>
  </si>
  <si>
    <t xml:space="preserve">Latency</t>
  </si>
  <si>
    <t xml:space="preserve">Climate</t>
  </si>
  <si>
    <t xml:space="preserve">Hazards</t>
  </si>
  <si>
    <t xml:space="preserve">Demand/talent</t>
  </si>
  <si>
    <t xml:space="preserve">R10-T04  Inter-hub distances and latency</t>
  </si>
  <si>
    <t xml:space="preserve">Note: Latency formula. RTT (ms) ≈ 2 × d × 1.4 ÷ 200 = 0.014 × d (km). Inter-hub baselines:</t>
  </si>
  <si>
    <t xml:space="preserve">Used in atlas: Ch 10 latency formula drawer.</t>
  </si>
  <si>
    <t xml:space="preserve">Used to derive: RTT = 0.014 × km.</t>
  </si>
  <si>
    <t xml:space="preserve">Distance</t>
  </si>
  <si>
    <t xml:space="preserve">RTT</t>
  </si>
  <si>
    <t xml:space="preserve">Mumbai–Delhi</t>
  </si>
  <si>
    <t xml:space="preserve">1,150 km</t>
  </si>
  <si>
    <t xml:space="preserve">16.1 ms</t>
  </si>
  <si>
    <t xml:space="preserve">Mumbai–Chennai</t>
  </si>
  <si>
    <t xml:space="preserve">1,030 km</t>
  </si>
  <si>
    <t xml:space="preserve">14.4 ms</t>
  </si>
  <si>
    <t xml:space="preserve">Mumbai–Bengaluru</t>
  </si>
  <si>
    <t xml:space="preserve">845 km</t>
  </si>
  <si>
    <t xml:space="preserve">11.8 ms</t>
  </si>
  <si>
    <t xml:space="preserve">Delhi–Chennai</t>
  </si>
  <si>
    <t xml:space="preserve">1,760 km</t>
  </si>
  <si>
    <t xml:space="preserve">24.6 ms</t>
  </si>
  <si>
    <t xml:space="preserve">Delhi–Bengaluru</t>
  </si>
  <si>
    <t xml:space="preserve">1,740 km</t>
  </si>
  <si>
    <t xml:space="preserve">24.4 ms</t>
  </si>
  <si>
    <t xml:space="preserve">Chennai–Bengaluru</t>
  </si>
  <si>
    <t xml:space="preserve">290 km</t>
  </si>
  <si>
    <t xml:space="preserve">4.1 ms</t>
  </si>
  <si>
    <t xml:space="preserve">R10-T05  Latency table: great-circle km to four hubs and mean RTT</t>
  </si>
  <si>
    <t xml:space="preserve">Source: Report 10 (Part 10 research report) · Latency table (great-circle km to Mumbai / Delhi / Chennai / Bengaluru → mean RTT)</t>
  </si>
  <si>
    <t xml:space="preserve">Used in atlas: Ch 10 latency factor (recomputed in the atlas with haversine).</t>
  </si>
  <si>
    <t xml:space="preserve">Used to derive: Latency score per city.</t>
  </si>
  <si>
    <t xml:space="preserve">M</t>
  </si>
  <si>
    <t xml:space="preserve">D</t>
  </si>
  <si>
    <t xml:space="preserve">C</t>
  </si>
  <si>
    <t xml:space="preserve">B</t>
  </si>
  <si>
    <t xml:space="preserve">Mean RTT (ms)</t>
  </si>
  <si>
    <t xml:space="preserve">Score</t>
  </si>
  <si>
    <t xml:space="preserve">Anantapur</t>
  </si>
  <si>
    <t xml:space="preserve">Bengaluru / Hoskote</t>
  </si>
  <si>
    <t xml:space="preserve">0–25</t>
  </si>
  <si>
    <t xml:space="preserve">10.1–10.2</t>
  </si>
  <si>
    <t xml:space="preserve">10.0–9.9</t>
  </si>
  <si>
    <t xml:space="preserve">Hosur</t>
  </si>
  <si>
    <t xml:space="preserve">Sri City</t>
  </si>
  <si>
    <t xml:space="preserve">Navi Mumbai</t>
  </si>
  <si>
    <t xml:space="preserve">0–1,030</t>
  </si>
  <si>
    <t xml:space="preserve">Nashik</t>
  </si>
  <si>
    <t xml:space="preserve">Amaravati</t>
  </si>
  <si>
    <t xml:space="preserve">Mysuru</t>
  </si>
  <si>
    <t xml:space="preserve">Goa (Verna)</t>
  </si>
  <si>
    <t xml:space="preserve">Warangal</t>
  </si>
  <si>
    <t xml:space="preserve">Mangaluru</t>
  </si>
  <si>
    <t xml:space="preserve">Nagpur</t>
  </si>
  <si>
    <t xml:space="preserve">Indore</t>
  </si>
  <si>
    <t xml:space="preserve">Bhopal</t>
  </si>
  <si>
    <t xml:space="preserve">Coimbatore</t>
  </si>
  <si>
    <t xml:space="preserve">Dholera</t>
  </si>
  <si>
    <t xml:space="preserve">Ahmedabad / GIFT</t>
  </si>
  <si>
    <t xml:space="preserve">Nava Raipur</t>
  </si>
  <si>
    <t xml:space="preserve">Kochi</t>
  </si>
  <si>
    <t xml:space="preserve">Jamnagar / Jaipur</t>
  </si>
  <si>
    <t xml:space="preserve">480 / 920</t>
  </si>
  <si>
    <t xml:space="preserve">950 / 240</t>
  </si>
  <si>
    <t xml:space="preserve">1,530 / 1,600</t>
  </si>
  <si>
    <t xml:space="preserve">1,350 / 1,560</t>
  </si>
  <si>
    <t xml:space="preserve">Jharsuguda</t>
  </si>
  <si>
    <t xml:space="preserve">Thoothukudi</t>
  </si>
  <si>
    <t xml:space="preserve">Thiruvananthapuram</t>
  </si>
  <si>
    <t xml:space="preserve">Jodhpur</t>
  </si>
  <si>
    <t xml:space="preserve">Delhi / Noida / Gurugram / Greater Noida</t>
  </si>
  <si>
    <t xml:space="preserve">1,130–1,150</t>
  </si>
  <si>
    <t xml:space="preserve">0–60</t>
  </si>
  <si>
    <t xml:space="preserve">1,720–1,760</t>
  </si>
  <si>
    <t xml:space="preserve">1,700–1,740</t>
  </si>
  <si>
    <t xml:space="preserve">16.2–16.3</t>
  </si>
  <si>
    <t xml:space="preserve">Lucknow / Kanpur</t>
  </si>
  <si>
    <t xml:space="preserve">Bhubaneswar</t>
  </si>
  <si>
    <t xml:space="preserve">Ranchi</t>
  </si>
  <si>
    <t xml:space="preserve">Patna / Dehradun</t>
  </si>
  <si>
    <t xml:space="preserve">1,457 / 1,350</t>
  </si>
  <si>
    <t xml:space="preserve">860 / 205</t>
  </si>
  <si>
    <t xml:space="preserve">1,479 / 1,930</t>
  </si>
  <si>
    <t xml:space="preserve">1,607 / 1,926</t>
  </si>
  <si>
    <t xml:space="preserve">Digha / Kharagpur</t>
  </si>
  <si>
    <t xml:space="preserve">Mohali / Baddi</t>
  </si>
  <si>
    <t xml:space="preserve">Guwahati</t>
  </si>
  <si>
    <t xml:space="preserve">R10-T06  State shortlist: Maharashtra</t>
  </si>
  <si>
    <t xml:space="preserve">Source: Report 10 (Part 10 research report) · State-by-state shortlists › Maharashtra</t>
  </si>
  <si>
    <t xml:space="preserve">Note: Land [R]: MIDC TTC base rate is ₹31,390/m² (≈ ₹12.7 cr/acre). The market rate is ₹45,000–60,000/m² or more, and STT paid ₹282 cr for 14,093 m² including a building in May 2026. Taloja is ₹12,100/m² (≈ ₹4.9 cr/acre).</t>
  </si>
  <si>
    <t xml:space="preserve">Used in atlas: Ch 10 map dots, detail panel and ranking table (site attributes and scores).</t>
  </si>
  <si>
    <t xml:space="preserve">Used to derive: Filter pass/fail, factor scores and tier for each city in the state.</t>
  </si>
  <si>
    <t xml:space="preserve">City (lat, long; district)</t>
  </si>
  <si>
    <t xml:space="preserve">EHV node [E]</t>
  </si>
  <si>
    <t xml:space="preserve">Hazard (zone/other)</t>
  </si>
  <si>
    <t xml:space="preserve">Design DB/WB °C; FC h [E]</t>
  </si>
  <si>
    <t xml:space="preserve">Demand</t>
  </si>
  <si>
    <t xml:space="preserve">Scores</t>
  </si>
  <si>
    <t xml:space="preserve">Tier</t>
  </si>
  <si>
    <t xml:space="preserve">Navi Mumbai – TTC/Mahape/Rabale (19.03, 73.03; Thane/Raigad)</t>
  </si>
  <si>
    <t xml:space="preserve">400 kV Kharghar / Kalwa, 5–15 km</t>
  </si>
  <si>
    <t xml:space="preserve">Dam-fed municipal supply plus STP; Thane district not over-exploited [E]</t>
  </si>
  <si>
    <t xml:space="preserve">III; monsoon flooding</t>
  </si>
  <si>
    <t xml:space="preserve">35/26; ~50</t>
  </si>
  <si>
    <t xml:space="preserve">Mumbai 890 MW op / 1,726 MW upcoming [R]</t>
  </si>
  <si>
    <t xml:space="preserve">4.5/10/9.7/7/2/5/2/8/10</t>
  </si>
  <si>
    <t xml:space="preserve">A</t>
  </si>
  <si>
    <t xml:space="preserve">Pune – Chakan/Talegaon/Hinjewadi (18.52, 73.86; Pune)</t>
  </si>
  <si>
    <t xml:space="preserve">400 kV Chakan / Lonikand, 10–20 km</t>
  </si>
  <si>
    <t xml:space="preserve">Haveli semi-critical [E]</t>
  </si>
  <si>
    <t xml:space="preserve">III</t>
  </si>
  <si>
    <t xml:space="preserve">38/25; ~1,500</t>
  </si>
  <si>
    <t xml:space="preserve">133 MW op / 258 MW upcoming [R]</t>
  </si>
  <si>
    <t xml:space="preserve">4.0/7/9.9/6/5/7/5/8/8</t>
  </si>
  <si>
    <t xml:space="preserve">Nagpur – MIHAN/Butibori (21.15, 79.09; Nagpur)</t>
  </si>
  <si>
    <t xml:space="preserve">400 kV Koradi ~25 km; 220 kV Butibori &lt;10 km</t>
  </si>
  <si>
    <t xml:space="preserve">Safe [E]</t>
  </si>
  <si>
    <t xml:space="preserve">II; heat (44 °C)</t>
  </si>
  <si>
    <t xml:space="preserve">44/27; ~1,500</t>
  </si>
  <si>
    <t xml:space="preserve">NIXI node; small DC base</t>
  </si>
  <si>
    <t xml:space="preserve">4.0/5/9.0/7/5/9/8/8/4</t>
  </si>
  <si>
    <t xml:space="preserve">Nashik (20.00, 73.79; Nashik)</t>
  </si>
  <si>
    <t xml:space="preserve">400 kV Eklahare, 10–20 km</t>
  </si>
  <si>
    <t xml:space="preserve">39/25; ~1,800</t>
  </si>
  <si>
    <t xml:space="preserve">NIXI node</t>
  </si>
  <si>
    <t xml:space="preserve">3.0/5/9.6/7/6/7/7/8/3</t>
  </si>
  <si>
    <t xml:space="preserve">R10-T07  State shortlist: Tamil Nadu</t>
  </si>
  <si>
    <t xml:space="preserve">Source: Report 10 (Part 10 research report) · State-by-state shortlists › Tamil Nadu</t>
  </si>
  <si>
    <t xml:space="preserve">Note: Tariff [R]: TNERC T.O. No. 6 of 2025 sets HT-I at ₹7.50/kWh and ₹608/kVA/month, with no revision announced for 2026. Effective ≈ ₹8.54.</t>
  </si>
  <si>
    <t xml:space="preserve">Hazard</t>
  </si>
  <si>
    <t xml:space="preserve">DB/WB; FC h [E]</t>
  </si>
  <si>
    <t xml:space="preserve">Hosur (12.74, 77.83; Krishnagiri)</t>
  </si>
  <si>
    <t xml:space="preserve">400 kV Hosur ~10 km</t>
  </si>
  <si>
    <t xml:space="preserve">Semi-critical to over-exploited [E]</t>
  </si>
  <si>
    <t xml:space="preserve">II</t>
  </si>
  <si>
    <t xml:space="preserve">35/24; ~2,500</t>
  </si>
  <si>
    <t xml:space="preserve">Bengaluru spill-over</t>
  </si>
  <si>
    <t xml:space="preserve">3.8/6/9.9/4/6/9/7/4/6</t>
  </si>
  <si>
    <t xml:space="preserve">Chennai – Ambattur/Sriperumbudur/Siruseri (13.08, 80.27; Chennai/Tiruvallur/Kancheepuram/Chengalpattu)</t>
  </si>
  <si>
    <t xml:space="preserve">400 kV Alamathy / Sriperumbudur, 5–20 km</t>
  </si>
  <si>
    <t xml:space="preserve">District 127.47%, 13/16 taluks over-exploited [R]; TTRO/desal available → conditional</t>
  </si>
  <si>
    <t xml:space="preserve">III; floods 2015/2023; cyclone</t>
  </si>
  <si>
    <t xml:space="preserve">38.5/28.5; ~0</t>
  </si>
  <si>
    <t xml:space="preserve">214 MW op / 368 MW upcoming; 8 cables [R]</t>
  </si>
  <si>
    <t xml:space="preserve">4.3/10/9.6/3/1/4/4/4/9</t>
  </si>
  <si>
    <t xml:space="preserve">B (A for colo)</t>
  </si>
  <si>
    <t xml:space="preserve">Coimbatore (11.02, 76.96; Coimbatore)</t>
  </si>
  <si>
    <t xml:space="preserve">400 kV Arasur ~20 km</t>
  </si>
  <si>
    <t xml:space="preserve">Mixed [E]</t>
  </si>
  <si>
    <t xml:space="preserve">37/25; ~400</t>
  </si>
  <si>
    <t xml:space="preserve">NIXI node; wind belt</t>
  </si>
  <si>
    <t xml:space="preserve">4.3/5/8.4/5/5/7/7/4/6</t>
  </si>
  <si>
    <t xml:space="preserve">Thoothukudi (8.76, 78.13; Thoothukudi)</t>
  </si>
  <si>
    <t xml:space="preserve">765/400 kV Tuticorin PS, 15–25 km</t>
  </si>
  <si>
    <t xml:space="preserve">Seawater/desal option</t>
  </si>
  <si>
    <t xml:space="preserve">II; coastal cyclone</t>
  </si>
  <si>
    <t xml:space="preserve">38/28; ~0</t>
  </si>
  <si>
    <t xml:space="preserve">BSNL CLS (Sri Lanka) + NIXI</t>
  </si>
  <si>
    <t xml:space="preserve">4.8/7/6.6/5/1/6/8/4/2</t>
  </si>
  <si>
    <t xml:space="preserve">R10-T08  State shortlist: Karnataka</t>
  </si>
  <si>
    <t xml:space="preserve">Source: Report 10 (Part 10 research report) · State-by-state shortlists › Karnataka</t>
  </si>
  <si>
    <t xml:space="preserve">Note: Tariff [R/E]: KERC Order of 27 March 2025 sets HT-2(a) at about ₹700 paise/kWh for FY27 and about ₹355/kVA. The subagent could not confirm the exact row. Data centres are billed as industrial with a DoIT certificate. Effective ≈ ₹7.61.</t>
  </si>
  <si>
    <t xml:space="preserve">Mysuru (12.30, 76.64; Mysuru)</t>
  </si>
  <si>
    <t xml:space="preserve">400 kV Mysuru (Kadakola), ~15 km</t>
  </si>
  <si>
    <t xml:space="preserve">Cauvery-fed; safe to semi-critical [E]</t>
  </si>
  <si>
    <t xml:space="preserve">35/24; ~2,000</t>
  </si>
  <si>
    <t xml:space="preserve">Nascent</t>
  </si>
  <si>
    <t xml:space="preserve">5.0/4/9.5/7/8/9/7/8/3</t>
  </si>
  <si>
    <t xml:space="preserve">Hoskote (13.07, 77.80; Bengaluru Rural)</t>
  </si>
  <si>
    <t xml:space="preserve">400 kV Hoody ~20 km</t>
  </si>
  <si>
    <t xml:space="preserve">Hosakote over-exploited [R] → conditional</t>
  </si>
  <si>
    <t xml:space="preserve">34.5/23.5; ~2,200</t>
  </si>
  <si>
    <t xml:space="preserve">Hyperscale land bank</t>
  </si>
  <si>
    <t xml:space="preserve">5.5/6/9.9/2/8/9/6/8/8</t>
  </si>
  <si>
    <t xml:space="preserve">A (conditional)</t>
  </si>
  <si>
    <t xml:space="preserve">Bengaluru core – Whitefield/EC (12.97, 77.59; Bengaluru Urban)</t>
  </si>
  <si>
    <t xml:space="preserve">400 kV Hoody / Somanahalli, 5–25 km</t>
  </si>
  <si>
    <t xml:space="preserve">All 6 units over-exploited; East 395% [R] → conditional</t>
  </si>
  <si>
    <t xml:space="preserve">II; urban flooding</t>
  </si>
  <si>
    <t xml:space="preserve">34.5/23.5; ~2,000</t>
  </si>
  <si>
    <t xml:space="preserve">162 MW op / 100 MW upcoming [R]</t>
  </si>
  <si>
    <t xml:space="preserve">5.0/7/10/1/8/8/3/8/10</t>
  </si>
  <si>
    <t xml:space="preserve">B (conditional)</t>
  </si>
  <si>
    <t xml:space="preserve">Mangaluru (12.91, 74.86; Dakshina Kannada)</t>
  </si>
  <si>
    <t xml:space="preserve">220 kV local &lt;15 km; 400 kV ~50 km</t>
  </si>
  <si>
    <t xml:space="preserve">High rainfall; safe [E]</t>
  </si>
  <si>
    <t xml:space="preserve">III; monsoon</t>
  </si>
  <si>
    <t xml:space="preserve">34/27; ~0</t>
  </si>
  <si>
    <t xml:space="preserve">Coastal edge</t>
  </si>
  <si>
    <t xml:space="preserve">5.0/6/9.0/7/2/6/6/8/3</t>
  </si>
  <si>
    <t xml:space="preserve">R10-T09  State shortlist: Telangana</t>
  </si>
  <si>
    <t xml:space="preserve">Source: Report 10 (Part 10 research report) · State-by-state shortlists › Telangana</t>
  </si>
  <si>
    <t xml:space="preserve">Note: Tariff [R]: TGERC FY2026-27 RST order, unchanged from FY26, sets HT-I(A) at ₹6.65/kVAh (132 kV and above), ₹7.15 (33 kV) and ₹7.65 (11 kV), with ₹500/kVA. Effective ≈ ₹7.51. FY27 adds a grid support charge of ₹19.77/kW/month and a green tariff of +₹0.66/kWh.</t>
  </si>
  <si>
    <t xml:space="preserve">Hyderabad periphery – Chandanvelly/Meerkhanpet/Shadnagar (17.10, 78.20; Rangareddy)</t>
  </si>
  <si>
    <t xml:space="preserve">400 kV Shankarpally / 765 kV Maheshwaram, 10–25 km</t>
  </si>
  <si>
    <t xml:space="preserve">Mixed; Krishna/Godavari municipal supply [E]</t>
  </si>
  <si>
    <t xml:space="preserve">40.5/25.5; ~900</t>
  </si>
  <si>
    <t xml:space="preserve">151 MW op / 710 MW upcoming [R]</t>
  </si>
  <si>
    <t xml:space="preserve">6.7/7/10/6/5/9/7/6/9</t>
  </si>
  <si>
    <t xml:space="preserve">Hyderabad core – Gachibowli/Nanakramguda (17.44, 78.35; Rangareddy)</t>
  </si>
  <si>
    <t xml:space="preserve">400 kV Shankarpally, ~15 km</t>
  </si>
  <si>
    <t xml:space="preserve">Urban over-draft pockets [E]</t>
  </si>
  <si>
    <t xml:space="preserve">as above</t>
  </si>
  <si>
    <t xml:space="preserve">6.5/7/10/4/5/9/3/6/10</t>
  </si>
  <si>
    <t xml:space="preserve">Warangal (17.97, 79.59; Hanamkonda)</t>
  </si>
  <si>
    <t xml:space="preserve">400 kV Warangal, ~10 km</t>
  </si>
  <si>
    <t xml:space="preserve">42/26; ~800</t>
  </si>
  <si>
    <t xml:space="preserve">5.65/4/9.5/7/5/9/9/6/3</t>
  </si>
  <si>
    <t xml:space="preserve">R10-T10  State shortlist: Andhra Pradesh</t>
  </si>
  <si>
    <t xml:space="preserve">Source: Report 10 (Part 10 research report) · State-by-state shortlists › Andhra Pradesh</t>
  </si>
  <si>
    <t xml:space="preserve">Note: Tariff: FY2026-27 APERC tariffs are unchanged from FY26 [R]. HT-I demand charge is about ₹475/kVA [R, older order]; the energy charge is not confirmed. Effective ≈ ₹7.3 [E].</t>
  </si>
  <si>
    <t xml:space="preserve">Visakhapatnam – Tarluvada/Adavivaram/Rambilli (17.69, 83.22; Visakhapatnam/Anakapalli)</t>
  </si>
  <si>
    <t xml:space="preserve">400 kV Kalpaka, 10–25 km; new dedicated EHV planned</t>
  </si>
  <si>
    <t xml:space="preserve">II; very high cyclone</t>
  </si>
  <si>
    <t xml:space="preserve">37/29; ~100</t>
  </si>
  <si>
    <t xml:space="preserve">Google 1 GW (601 acres) [R]; 5 GW promised [R]</t>
  </si>
  <si>
    <t xml:space="preserve">6.55/8/7.9/7/1/4/9/9/6</t>
  </si>
  <si>
    <t xml:space="preserve">Sri City / Tirupati (13.53, 79.99; Tirupati)</t>
  </si>
  <si>
    <t xml:space="preserve">220 kV in park; 400 kV unverified</t>
  </si>
  <si>
    <t xml:space="preserve">III; moderate cyclone</t>
  </si>
  <si>
    <t xml:space="preserve">39/28; ~0</t>
  </si>
  <si>
    <t xml:space="preserve">55 km from Chennai cable landings</t>
  </si>
  <si>
    <t xml:space="preserve">6.05/7/9.8/5/1/6/8/9/4</t>
  </si>
  <si>
    <t xml:space="preserve">Anantapur (14.68, 77.60; Anantapur)</t>
  </si>
  <si>
    <t xml:space="preserve">400 kV RE pooling (Uravakonda/Hindupur), 20–40 km</t>
  </si>
  <si>
    <t xml:space="preserve">Drought-prone; over-exploited blocks [E] → conditional</t>
  </si>
  <si>
    <t xml:space="preserve">40/25; ~600</t>
  </si>
  <si>
    <t xml:space="preserve">Nil; RE-rich</t>
  </si>
  <si>
    <t xml:space="preserve">7.05/3/10/3/4/9/10/9/2</t>
  </si>
  <si>
    <t xml:space="preserve">Amaravati / Vijayawada (16.51, 80.52; Guntur/NTR)</t>
  </si>
  <si>
    <t xml:space="preserve">400 kV Vijayawada area, ~20 km</t>
  </si>
  <si>
    <t xml:space="preserve">III; Krishna floods</t>
  </si>
  <si>
    <t xml:space="preserve">41/28; ~150</t>
  </si>
  <si>
    <t xml:space="preserve">Capital build-out</t>
  </si>
  <si>
    <t xml:space="preserve">6.05/4/9.6/7/2/6/7/9/3</t>
  </si>
  <si>
    <t xml:space="preserve">R10-T11  State shortlist: Uttar Pradesh</t>
  </si>
  <si>
    <t xml:space="preserve">Source: Report 10 (Part 10 research report) · State-by-state shortlists › Uttar Pradesh</t>
  </si>
  <si>
    <t xml:space="preserve">Note: Land [R]: YEIDA's 2026 residential allotment rate is ₹36,260/m². Industrial/DC rates are lower [U].</t>
  </si>
  <si>
    <t xml:space="preserve">Greater Noida – NIDP/Knowledge Park (28.47, 77.50; Gautam Buddh Nagar)</t>
  </si>
  <si>
    <t xml:space="preserve">765/400 kV Greater Noida, 5–15 km</t>
  </si>
  <si>
    <t xml:space="preserve">Semi-critical to over-exploited [E]; Ganga canal + STP</t>
  </si>
  <si>
    <t xml:space="preserve">IV</t>
  </si>
  <si>
    <t xml:space="preserve">43.5/29; ~2,800</t>
  </si>
  <si>
    <t xml:space="preserve">NCR 183 MW op / 387 MW upcoming [R]</t>
  </si>
  <si>
    <t xml:space="preserve">6.35/8/6.1/4/4/6/7/9/8</t>
  </si>
  <si>
    <t xml:space="preserve">Noida – Sec 62/132/143 (28.54, 77.39; Gautam Buddh Nagar)</t>
  </si>
  <si>
    <t xml:space="preserve">400 kV Noida, 5–10 km</t>
  </si>
  <si>
    <t xml:space="preserve">Over-exploited [E] → conditional</t>
  </si>
  <si>
    <t xml:space="preserve">NIXI Delhi node in Noida</t>
  </si>
  <si>
    <t xml:space="preserve">5.35/9/6.1/3/4/6/4/9/9</t>
  </si>
  <si>
    <t xml:space="preserve">YEIDA / Jewar (28.17, 77.60; Gautam Buddh Nagar)</t>
  </si>
  <si>
    <t xml:space="preserve">400 kV Jahangirpur ~15 km</t>
  </si>
  <si>
    <t xml:space="preserve">Semi-critical [E]</t>
  </si>
  <si>
    <t xml:space="preserve">Airport-led</t>
  </si>
  <si>
    <t xml:space="preserve">5.35/6/6.2/5/4/6/9/9/5</t>
  </si>
  <si>
    <t xml:space="preserve">Lucknow (26.85, 80.95; Lucknow)</t>
  </si>
  <si>
    <t xml:space="preserve">765 kV Unnao / 400 kV Lucknow, 20–40 km</t>
  </si>
  <si>
    <t xml:space="preserve">Urban over-exploited [E]</t>
  </si>
  <si>
    <t xml:space="preserve">43/29.5; ~2,500</t>
  </si>
  <si>
    <t xml:space="preserve">4.85/5/6.0/3/4/7/8/9/5</t>
  </si>
  <si>
    <t xml:space="preserve">Kanpur (26.45, 80.33; Kanpur Nagar)</t>
  </si>
  <si>
    <t xml:space="preserve">400 kV Panki ~10 km</t>
  </si>
  <si>
    <t xml:space="preserve">44/29.5; ~2,400</t>
  </si>
  <si>
    <t xml:space="preserve">4.85/3/6.0/4/4/7/8/9/3</t>
  </si>
  <si>
    <t xml:space="preserve">R10-T12  State shortlist: Haryana</t>
  </si>
  <si>
    <t xml:space="preserve">Source: Report 10 (Part 10 research report) · State-by-state shortlists › Haryana</t>
  </si>
  <si>
    <t xml:space="preserve">Note: Tariff [R]: HERC kept FY27 tariffs equal to FY26. HT is ₹290/kVA plus ₹6.95/kVAh at 11 kV, ₹6.85 at 33 kV, and about ₹6.6 at 66–132 kV (OCR uncertain). Effective ≈ ₹7.1.</t>
  </si>
  <si>
    <t xml:space="preserve">Gurugram – Manesar/Sohna (28.46, 77.03; Gurugram)</t>
  </si>
  <si>
    <t xml:space="preserve">PGCIL 400 kV Gurugram / Daultabad, 5–15 km</t>
  </si>
  <si>
    <t xml:space="preserve">State 136.75%; 5 over-exploited blocks [R] → conditional</t>
  </si>
  <si>
    <t xml:space="preserve">44/28.5; ~2,800</t>
  </si>
  <si>
    <t xml:space="preserve">NCR enterprise/cloud</t>
  </si>
  <si>
    <t xml:space="preserve">6.4/8/6.1/1/4/6/3/5/9</t>
  </si>
  <si>
    <t xml:space="preserve">Sonipat – Kundli/Kharkhoda (28.99, 77.02; Sonipat)</t>
  </si>
  <si>
    <t xml:space="preserve">400 kV Deepalpur ~15 km</t>
  </si>
  <si>
    <t xml:space="preserve">Over-exploited [R, district list] → conditional</t>
  </si>
  <si>
    <t xml:space="preserve">44/29; ~3,000</t>
  </si>
  <si>
    <t xml:space="preserve">6.4/5/6.1/1/4/6/7/5/5</t>
  </si>
  <si>
    <t xml:space="preserve">R10-T13  State shortlist: Delhi</t>
  </si>
  <si>
    <t xml:space="preserve">Source: Report 10 (Part 10 research report) · State-by-state shortlists › Delhi</t>
  </si>
  <si>
    <t xml:space="preserve">Note: Tariff: DERC figures not retrieved [U]; effective ≈ ₹8.5 [E].</t>
  </si>
  <si>
    <t xml:space="preserve">Delhi – Okhla/Narela/Bawana (28.61, 77.21; various)</t>
  </si>
  <si>
    <t xml:space="preserve">400 kV Bawana / Mundka / Tughlakabad, 5–15 km</t>
  </si>
  <si>
    <t xml:space="preserve">Largely over-exploited [E]</t>
  </si>
  <si>
    <t xml:space="preserve">IV; Yamuna floodplain</t>
  </si>
  <si>
    <t xml:space="preserve">Core NIXI; edge demand</t>
  </si>
  <si>
    <t xml:space="preserve">3.35/10/6.1/1/4/6/1/3/10</t>
  </si>
  <si>
    <t xml:space="preserve">C (edge only)</t>
  </si>
  <si>
    <t xml:space="preserve">R10-T14  State shortlist: Gujarat</t>
  </si>
  <si>
    <t xml:space="preserve">Source: Report 10 (Part 10 research report) · State-by-state shortlists › Gujarat</t>
  </si>
  <si>
    <t xml:space="preserve">Note: Tariff: GERC FY27 tariffs are unchanged. The HTP-I energy charge is ₹4.30/unit plus FPPPA (base about ₹2.15), and the demand-charge slabs were not verified. The all-in figure is ₹7.5–8.5 (secondary source), so ≈ ₹8.0 is used. Open-access additional surcharge is ₹0.99/kWh for October 2026 – March 2027 [R].</t>
  </si>
  <si>
    <t xml:space="preserve">GIFT City / Gandhinagar (23.16, 72.68; Gandhinagar)</t>
  </si>
  <si>
    <t xml:space="preserve">220 kV in city; 400 kV Dehgam ~25 km</t>
  </si>
  <si>
    <t xml:space="preserve">Narmada supply; semi-critical [E]</t>
  </si>
  <si>
    <t xml:space="preserve">43/28; ~900</t>
  </si>
  <si>
    <t xml:space="preserve">IFSC, BFSI DR</t>
  </si>
  <si>
    <t xml:space="preserve">5.3/6/8.0/5/3/7/6/8/6</t>
  </si>
  <si>
    <t xml:space="preserve">Ahmedabad (23.02, 72.57; Ahmedabad)</t>
  </si>
  <si>
    <t xml:space="preserve">400 kV Dehgam / Vadavi, 15–25 km</t>
  </si>
  <si>
    <t xml:space="preserve">Critical [E]</t>
  </si>
  <si>
    <t xml:space="preserve">NIXI Ahmedabad</t>
  </si>
  <si>
    <t xml:space="preserve">5.3/6/8.0/4/3/7/6/8/7</t>
  </si>
  <si>
    <t xml:space="preserve">Jamnagar (22.47, 70.06; Jamnagar)</t>
  </si>
  <si>
    <t xml:space="preserve">400 kV Hadala/Jamnagar ~20 km</t>
  </si>
  <si>
    <t xml:space="preserve">Desal</t>
  </si>
  <si>
    <t xml:space="preserve">IV [E]; cyclone</t>
  </si>
  <si>
    <t xml:space="preserve">40/28; ~600</t>
  </si>
  <si>
    <t xml:space="preserve">Reliance AI campus [R, announced]</t>
  </si>
  <si>
    <t xml:space="preserve">5.8/4/6.9/4/3/5/8/8/3</t>
  </si>
  <si>
    <t xml:space="preserve">Dholera SIR (22.25, 72.19; Ahmedabad)</t>
  </si>
  <si>
    <t xml:space="preserve">New 400 kV in SIR [E]</t>
  </si>
  <si>
    <t xml:space="preserve">Saline; canal water</t>
  </si>
  <si>
    <t xml:space="preserve">III; low-lying</t>
  </si>
  <si>
    <t xml:space="preserve">42/28; ~800</t>
  </si>
  <si>
    <t xml:space="preserve">Greenfield</t>
  </si>
  <si>
    <t xml:space="preserve">5.3/3/8.2/4/3/5/9/8/2</t>
  </si>
  <si>
    <t xml:space="preserve">R10-T15  State shortlist: West Bengal</t>
  </si>
  <si>
    <t xml:space="preserve">Source: Report 10 (Part 10 research report) · State-by-state shortlists › West Bengal</t>
  </si>
  <si>
    <t xml:space="preserve">Note: Tariff: WBERC FY26 sets a ₹320/kVA demand charge [R]; the energy charge is unverified, and ≈ ₹7.5 effective is used [E].</t>
  </si>
  <si>
    <t xml:space="preserve">Kharagpur (22.35, 87.32; Paschim Medinipur)</t>
  </si>
  <si>
    <t xml:space="preserve">400 kV Kharagpur ~10 km</t>
  </si>
  <si>
    <t xml:space="preserve">Safe to semi-critical [E]</t>
  </si>
  <si>
    <t xml:space="preserve">III; cyclone moderate</t>
  </si>
  <si>
    <t xml:space="preserve">40/29.5; ~800</t>
  </si>
  <si>
    <t xml:space="preserve">Backhaul for Digha CLS</t>
  </si>
  <si>
    <t xml:space="preserve">4.7/6/4.3/6/2/5/8/4/1</t>
  </si>
  <si>
    <t xml:space="preserve">Kolkata – New Town / Bengal Silicon Valley (22.57, 88.36; North 24 Parganas)</t>
  </si>
  <si>
    <t xml:space="preserve">400 kV Subhasgram ~25 km</t>
  </si>
  <si>
    <t xml:space="preserve">Hooghly supply; mixed [E]</t>
  </si>
  <si>
    <t xml:space="preserve">III; flood; cyclone (Amphan)</t>
  </si>
  <si>
    <t xml:space="preserve">37.5/29.5; ~1,000</t>
  </si>
  <si>
    <t xml:space="preserve">22 MW op / 84 MW upcoming [R]</t>
  </si>
  <si>
    <t xml:space="preserve">5.2/6/3.5/5/2/4/6/4/5</t>
  </si>
  <si>
    <t xml:space="preserve">Digha (21.63, 87.51; Purba Medinipur)</t>
  </si>
  <si>
    <t xml:space="preserve">Nearest 400 kV ~90 km → fails 25 km filter</t>
  </si>
  <si>
    <t xml:space="preserve">Very high cyclone</t>
  </si>
  <si>
    <t xml:space="preserve">36/29.5; ~300</t>
  </si>
  <si>
    <t xml:space="preserve">Jio CLS (pending)</t>
  </si>
  <si>
    <t xml:space="preserve">4.7/6/4.3/6/2/2/8/4/1</t>
  </si>
  <si>
    <t xml:space="preserve">C (CLS only)</t>
  </si>
  <si>
    <t xml:space="preserve">R10-T16  State shortlist: Kerala</t>
  </si>
  <si>
    <t xml:space="preserve">Source: Report 10 (Part 10 research report) · State-by-state shortlists › Kerala</t>
  </si>
  <si>
    <t xml:space="preserve">Note: Tariff [R]: KSERC Order of 5 December 2024, valid to 31 March 2027, sets energy charges of ₹6.75 (HT-I), ₹6.15 (110 kV) and ₹5.55 (220 kV). Demand charges are about ₹390–400/kVA [E]. Effective ≈ ₹6.23 at 220 kV.</t>
  </si>
  <si>
    <t xml:space="preserve">Kochi – Kakkanad/Infopark (9.93, 76.27; Ernakulam)</t>
  </si>
  <si>
    <t xml:space="preserve">400 kV Kochi East ~10 km</t>
  </si>
  <si>
    <t xml:space="preserve">Safe; ~3,000 mm rainfall</t>
  </si>
  <si>
    <t xml:space="preserve">III; 2018 floods</t>
  </si>
  <si>
    <t xml:space="preserve">33.5/27.5; 0</t>
  </si>
  <si>
    <t xml:space="preserve">Cable landings (Tata, others) + NIXI</t>
  </si>
  <si>
    <t xml:space="preserve">7.5/8/7.5/7/1/5/4/4/6</t>
  </si>
  <si>
    <t xml:space="preserve">Thiruvananthapuram – Technopark (8.52, 76.94; Thiruvananthapuram)</t>
  </si>
  <si>
    <t xml:space="preserve">400 kV Pothencode ~15 km</t>
  </si>
  <si>
    <t xml:space="preserve">Safe</t>
  </si>
  <si>
    <t xml:space="preserve">33/27; 0</t>
  </si>
  <si>
    <t xml:space="preserve">CLS + NIXI</t>
  </si>
  <si>
    <t xml:space="preserve">7.0/7/6.5/7/1/6/4/4/5</t>
  </si>
  <si>
    <t xml:space="preserve">R10-T17  State shortlist: Odisha</t>
  </si>
  <si>
    <t xml:space="preserve">Source: Report 10 (Part 10 research report) · State-by-state shortlists › Odisha</t>
  </si>
  <si>
    <t xml:space="preserve">Note: Tariff [R]: OERC RST order of 24 March 2026 (FY27) sets EHT large industry at ₹250/kVA, with 580 paise/kVAh up to 60% load factor and 470 paise above. It also gives a 30 p rebate above 80% load factor and a 10% discount during solar hours from July 2026. Effective ≈ ₹5.96, the lowest found.</t>
  </si>
  <si>
    <t xml:space="preserve">Jharsuguda (21.86, 84.01; Jharsuguda)</t>
  </si>
  <si>
    <t xml:space="preserve">765/400 kV Jharsuguda (PGCIL) ~10 km</t>
  </si>
  <si>
    <t xml:space="preserve">Hirakud; safe [E]</t>
  </si>
  <si>
    <t xml:space="preserve">II–III; inland</t>
  </si>
  <si>
    <t xml:space="preserve">45/27; ~1,000</t>
  </si>
  <si>
    <t xml:space="preserve">Nil; power-intensive industry hub</t>
  </si>
  <si>
    <t xml:space="preserve">9.0/2/6.5/7/3/8/9/6/1</t>
  </si>
  <si>
    <t xml:space="preserve">Bhubaneswar – Infovalley (20.30, 85.82; Khordha)</t>
  </si>
  <si>
    <t xml:space="preserve">400 kV Mendhasal ~15 km</t>
  </si>
  <si>
    <t xml:space="preserve">III; very high cyclone (Fani)</t>
  </si>
  <si>
    <t xml:space="preserve">41/29; ~400</t>
  </si>
  <si>
    <t xml:space="preserve">NIXI Bhubaneswar/Cuttack; planned CLS</t>
  </si>
  <si>
    <t xml:space="preserve">8.5/5/5.8/7/2/4/8/6/4</t>
  </si>
  <si>
    <t xml:space="preserve">R10-T18  State shortlist: Rajasthan</t>
  </si>
  <si>
    <t xml:space="preserve">Source: Report 10 (Part 10 research report) · State-by-state shortlists › Rajasthan</t>
  </si>
  <si>
    <t xml:space="preserve">Note: Tariff: about ₹380/kVA + ₹6.50/kWh (aggregator, unconfirmed); effective ≈ ₹7.7 [E].</t>
  </si>
  <si>
    <t xml:space="preserve">Jaipur – Mahindra World City/Sitapura (26.91, 75.79; Jaipur)</t>
  </si>
  <si>
    <t xml:space="preserve">400 kV Heerapura, 10–20 km</t>
  </si>
  <si>
    <t xml:space="preserve">43/27.5; ~2,300</t>
  </si>
  <si>
    <t xml:space="preserve">5.8/4/6.9/1/4/9/8/7/5</t>
  </si>
  <si>
    <t xml:space="preserve">Jodhpur (26.24, 73.02; Jodhpur)</t>
  </si>
  <si>
    <t xml:space="preserve">400 kV Surpura ~10 km</t>
  </si>
  <si>
    <t xml:space="preserve">II; heat</t>
  </si>
  <si>
    <t xml:space="preserve">44/26; ~1,700</t>
  </si>
  <si>
    <t xml:space="preserve">Bhadla solar</t>
  </si>
  <si>
    <t xml:space="preserve">6.3/2/6.3/1/3/9/9/7/2</t>
  </si>
  <si>
    <t xml:space="preserve">R10-T19  State shortlist: Madhya Pradesh</t>
  </si>
  <si>
    <t xml:space="preserve">Source: Report 10 (Part 10 research report) · State-by-state shortlists › Madhya Pradesh</t>
  </si>
  <si>
    <t xml:space="preserve">Note: Tariff: MPERC FY27 HV-3 at 132 kV is ₹729/kVA, with 734/635 paise split by load factor (snippets; column mapping uncertain). Effective ≈ ₹8.2.</t>
  </si>
  <si>
    <t xml:space="preserve">Bhopal (23.26, 77.41; Bhopal)</t>
  </si>
  <si>
    <t xml:space="preserve">400 kV Bhopal ~15 km</t>
  </si>
  <si>
    <t xml:space="preserve">41.5/26; ~1,800</t>
  </si>
  <si>
    <t xml:space="preserve">4.4/4/8.5/5/5/9/8/6/4</t>
  </si>
  <si>
    <t xml:space="preserve">Indore – Super Corridor/Pithampur (22.72, 75.86; Indore/Dhar)</t>
  </si>
  <si>
    <t xml:space="preserve">400 kV Indore / Pithampur ~15 km</t>
  </si>
  <si>
    <t xml:space="preserve">41/26; ~1,800</t>
  </si>
  <si>
    <t xml:space="preserve">4.4/5/8.8/2/5/7/8/6/5</t>
  </si>
  <si>
    <t xml:space="preserve">R10-T20  Secondary states shortlist</t>
  </si>
  <si>
    <t xml:space="preserve">Source: Report 10 (Part 10 research report) · State-by-state shortlists › Secondary states</t>
  </si>
  <si>
    <t xml:space="preserve">Key raw facts</t>
  </si>
  <si>
    <t xml:space="preserve">Chhattisgarh</t>
  </si>
  <si>
    <t xml:space="preserve">Nava Raipur (21.16, 81.79; Raipur)</t>
  </si>
  <si>
    <t xml:space="preserve">Surplus coal-based state grid; 400 kV Raita ~25 km [E]; zone II; NIXI Raipur</t>
  </si>
  <si>
    <t xml:space="preserve">7.45/4/8.0/7/4/9/9/4/2</t>
  </si>
  <si>
    <t xml:space="preserve">Jharkhand</t>
  </si>
  <si>
    <t xml:space="preserve">Ranchi (23.34, 85.31; Ranchi)</t>
  </si>
  <si>
    <t xml:space="preserve">400 kV Ranchi ~15 km [E]; zone II; mild plateau climate</t>
  </si>
  <si>
    <t xml:space="preserve">5.75/4/5.3/5/6/9/8/3/2</t>
  </si>
  <si>
    <t xml:space="preserve">Goa</t>
  </si>
  <si>
    <t xml:space="preserve">Verna (15.36, 73.93; South Goa)</t>
  </si>
  <si>
    <t xml:space="preserve">NIXI Panjim; ~430 km from Mumbai cable landings; zone III</t>
  </si>
  <si>
    <t xml:space="preserve">5.1/4/9.4/7/2/6/4/4/2</t>
  </si>
  <si>
    <t xml:space="preserve">Uttarakhand</t>
  </si>
  <si>
    <t xml:space="preserve">Dehradun (30.32, 78.03; Dehradun)</t>
  </si>
  <si>
    <t xml:space="preserve">Zone IV (Zone VI in the withdrawn 2025 draft); cool climate; hydro</t>
  </si>
  <si>
    <t xml:space="preserve">6.5/3/4.5/7/8/4/4/4/3</t>
  </si>
  <si>
    <t xml:space="preserve">Himachal Pradesh</t>
  </si>
  <si>
    <t xml:space="preserve">Baddi–Nalagarh (30.95, 76.79; Solan)</t>
  </si>
  <si>
    <t xml:space="preserve">Low hydro tariff [E]; 400 kV Nalagarh ~10 km; zone IV</t>
  </si>
  <si>
    <t xml:space="preserve">8.0/2/4.2/5/7/4/6/3/1</t>
  </si>
  <si>
    <t xml:space="preserve">Punjab</t>
  </si>
  <si>
    <t xml:space="preserve">Mohali (30.70, 76.72; SAS Nagar)</t>
  </si>
  <si>
    <t xml:space="preserve">PSERC FY26 industrial ₹5.82–7.04/kVAh [R]; over-exploited [E]; zone IV; NIXI Chandigarh</t>
  </si>
  <si>
    <t xml:space="preserve">6.1/5/4.2/2/5/6/6/4/5</t>
  </si>
  <si>
    <t xml:space="preserve">Patna (25.59, 85.14; Patna)</t>
  </si>
  <si>
    <t xml:space="preserve">Zone IV; Ganga floods; NIXI node</t>
  </si>
  <si>
    <t xml:space="preserve">3.8/4/4.5/6/3/3/7/4/2</t>
  </si>
  <si>
    <t xml:space="preserve">Assam / NE</t>
  </si>
  <si>
    <t xml:space="preserve">Guwahati (26.14, 91.74; Kamrup Metro)</t>
  </si>
  <si>
    <t xml:space="preserve">Zone V; Brahmaputra floods; NIXI core node</t>
  </si>
  <si>
    <t xml:space="preserve">4.7/4/0/7/4/1/7/4/2</t>
  </si>
  <si>
    <t xml:space="preserve">Excluded (zone V) – regional edge only, with seismic isolation</t>
  </si>
  <si>
    <t xml:space="preserve">R10-T21  National master table (default weights)</t>
  </si>
  <si>
    <t xml:space="preserve">Source: Report 10 (Part 10 research report) · National master table (default weights)</t>
  </si>
  <si>
    <t xml:space="preserve">Used in atlas: Ch 10 ranking table; worked-example workbook.</t>
  </si>
  <si>
    <t xml:space="preserve">Used to derive: National rank and tier.</t>
  </si>
  <si>
    <t xml:space="preserve">District</t>
  </si>
  <si>
    <t xml:space="preserve">Lat</t>
  </si>
  <si>
    <t xml:space="preserve">Long</t>
  </si>
  <si>
    <t xml:space="preserve">Key strength</t>
  </si>
  <si>
    <t xml:space="preserve">Key weakness</t>
  </si>
  <si>
    <t xml:space="preserve">Hyderabad periphery</t>
  </si>
  <si>
    <t xml:space="preserve">Rangareddy</t>
  </si>
  <si>
    <t xml:space="preserve">Grid + ₹6.65/kVAh + zone II</t>
  </si>
  <si>
    <t xml:space="preserve">No cable landing (Vizag/Chennai backhaul)</t>
  </si>
  <si>
    <t xml:space="preserve">AP</t>
  </si>
  <si>
    <t xml:space="preserve">Visakhapatnam/Anakapalli</t>
  </si>
  <si>
    <t xml:space="preserve">Gigawatt anchor + new cable landings + policy</t>
  </si>
  <si>
    <t xml:space="preserve">Cyclone</t>
  </si>
  <si>
    <t xml:space="preserve">Hyderabad core</t>
  </si>
  <si>
    <t xml:space="preserve">Ecosystem, talent</t>
  </si>
  <si>
    <t xml:space="preserve">Land cost, water</t>
  </si>
  <si>
    <t xml:space="preserve">Thane/Raigad</t>
  </si>
  <si>
    <t xml:space="preserve">Cables, interconnection</t>
  </si>
  <si>
    <t xml:space="preserve">Tariff ≈ ₹8.7, land</t>
  </si>
  <si>
    <t xml:space="preserve">Climate, water, policy</t>
  </si>
  <si>
    <t xml:space="preserve">Thin ecosystem</t>
  </si>
  <si>
    <t xml:space="preserve">Greater Noida (NIDP)</t>
  </si>
  <si>
    <t xml:space="preserve">UP</t>
  </si>
  <si>
    <t xml:space="preserve">Gautam Buddh Nagar</t>
  </si>
  <si>
    <t xml:space="preserve">DC tariff ₹6.95, 765 kV</t>
  </si>
  <si>
    <t xml:space="preserve">Zone IV, heat</t>
  </si>
  <si>
    <t xml:space="preserve">Hoskote</t>
  </si>
  <si>
    <t xml:space="preserve">Bengaluru Rural</t>
  </si>
  <si>
    <t xml:space="preserve">A*</t>
  </si>
  <si>
    <t xml:space="preserve">Bengaluru latency, cooler climate</t>
  </si>
  <si>
    <t xml:space="preserve">Over-exploited water</t>
  </si>
  <si>
    <t xml:space="preserve">Tirupati</t>
  </si>
  <si>
    <t xml:space="preserve">Near Chennai cable landings, AP policy</t>
  </si>
  <si>
    <t xml:space="preserve">Humid, water</t>
  </si>
  <si>
    <t xml:space="preserve">Raipur</t>
  </si>
  <si>
    <t xml:space="preserve">Cheap surplus power, zone II</t>
  </si>
  <si>
    <t xml:space="preserve">Coal grid, no ecosystem</t>
  </si>
  <si>
    <t xml:space="preserve">Hanamkonda</t>
  </si>
  <si>
    <t xml:space="preserve">Land, grid</t>
  </si>
  <si>
    <t xml:space="preserve">Talent</t>
  </si>
  <si>
    <t xml:space="preserve">120 km to Mumbai, land</t>
  </si>
  <si>
    <t xml:space="preserve">Geographic centre, zone II</t>
  </si>
  <si>
    <t xml:space="preserve">Tariff, heat</t>
  </si>
  <si>
    <t xml:space="preserve">Ernakulam</t>
  </si>
  <si>
    <t xml:space="preserve">Cable landings + cheap EHT</t>
  </si>
  <si>
    <t xml:space="preserve">Policy, land</t>
  </si>
  <si>
    <t xml:space="preserve">RE pooling, land</t>
  </si>
  <si>
    <t xml:space="preserve">Water, connectivity</t>
  </si>
  <si>
    <t xml:space="preserve">Cheapest tariff, 765 kV</t>
  </si>
  <si>
    <t xml:space="preserve">Connectivity, talent</t>
  </si>
  <si>
    <t xml:space="preserve">Khordha</t>
  </si>
  <si>
    <t xml:space="preserve">Guntur/NTR</t>
  </si>
  <si>
    <t xml:space="preserve">Bengaluru core</t>
  </si>
  <si>
    <t xml:space="preserve">Bengaluru Urban</t>
  </si>
  <si>
    <t xml:space="preserve">B*</t>
  </si>
  <si>
    <t xml:space="preserve">Demand, talent</t>
  </si>
  <si>
    <t xml:space="preserve">Water (395% East)</t>
  </si>
  <si>
    <t xml:space="preserve">Dakshina Kannada</t>
  </si>
  <si>
    <t xml:space="preserve">Water, coast</t>
  </si>
  <si>
    <t xml:space="preserve">EHV distance</t>
  </si>
  <si>
    <t xml:space="preserve">Noida</t>
  </si>
  <si>
    <t xml:space="preserve">NIXI, demand</t>
  </si>
  <si>
    <t xml:space="preserve">Water, land</t>
  </si>
  <si>
    <t xml:space="preserve">GIFT City</t>
  </si>
  <si>
    <t xml:space="preserve">Gandhinagar</t>
  </si>
  <si>
    <t xml:space="preserve">IFSC, RE</t>
  </si>
  <si>
    <t xml:space="preserve">YEIDA/Jewar</t>
  </si>
  <si>
    <t xml:space="preserve">Ecosystem</t>
  </si>
  <si>
    <t xml:space="preserve">Cable landing, tariff</t>
  </si>
  <si>
    <t xml:space="preserve">Latency to north</t>
  </si>
  <si>
    <t xml:space="preserve">Ahmedabad</t>
  </si>
  <si>
    <t xml:space="preserve">NIXI, policy</t>
  </si>
  <si>
    <t xml:space="preserve">Near Mumbai, safe water</t>
  </si>
  <si>
    <t xml:space="preserve">Krishnagiri</t>
  </si>
  <si>
    <t xml:space="preserve">TN policy lapsed</t>
  </si>
  <si>
    <t xml:space="preserve">MP</t>
  </si>
  <si>
    <t xml:space="preserve">Zone II, land</t>
  </si>
  <si>
    <t xml:space="preserve">Tariff ≈ ₹8.2</t>
  </si>
  <si>
    <t xml:space="preserve">Chennai and neighbours</t>
  </si>
  <si>
    <t xml:space="preserve">8 cables, 214 MW</t>
  </si>
  <si>
    <t xml:space="preserve">Water, flood, policy lapse</t>
  </si>
  <si>
    <t xml:space="preserve">Gurugram</t>
  </si>
  <si>
    <t xml:space="preserve">Water (136.75% state)</t>
  </si>
  <si>
    <t xml:space="preserve">Lucknow</t>
  </si>
  <si>
    <t xml:space="preserve">Wind RE</t>
  </si>
  <si>
    <t xml:space="preserve">Jamnagar</t>
  </si>
  <si>
    <t xml:space="preserve">Captive RE</t>
  </si>
  <si>
    <t xml:space="preserve">Jaipur</t>
  </si>
  <si>
    <t xml:space="preserve">Zone II, RE</t>
  </si>
  <si>
    <t xml:space="preserve">Climate, zone II</t>
  </si>
  <si>
    <t xml:space="preserve">South Goa</t>
  </si>
  <si>
    <t xml:space="preserve">Latency, water</t>
  </si>
  <si>
    <t xml:space="preserve">Cable landing + RE</t>
  </si>
  <si>
    <t xml:space="preserve">Latency, talent</t>
  </si>
  <si>
    <t xml:space="preserve">C*</t>
  </si>
  <si>
    <t xml:space="preserve">Water, tariff</t>
  </si>
  <si>
    <t xml:space="preserve">Kanpur</t>
  </si>
  <si>
    <t xml:space="preserve">Kanpur Nagar</t>
  </si>
  <si>
    <t xml:space="preserve">Dehradun</t>
  </si>
  <si>
    <t xml:space="preserve">Free cooling</t>
  </si>
  <si>
    <t xml:space="preserve">Seismic</t>
  </si>
  <si>
    <t xml:space="preserve">Sonipat</t>
  </si>
  <si>
    <t xml:space="preserve">Solar</t>
  </si>
  <si>
    <t xml:space="preserve">Kharagpur</t>
  </si>
  <si>
    <t xml:space="preserve">Paschim Medinipur</t>
  </si>
  <si>
    <t xml:space="preserve">Digha backhaul</t>
  </si>
  <si>
    <t xml:space="preserve">Policy, demand</t>
  </si>
  <si>
    <t xml:space="preserve">Baddi</t>
  </si>
  <si>
    <t xml:space="preserve">HP</t>
  </si>
  <si>
    <t xml:space="preserve">Solan</t>
  </si>
  <si>
    <t xml:space="preserve">Hydro tariff</t>
  </si>
  <si>
    <t xml:space="preserve">Seismic, connectivity</t>
  </si>
  <si>
    <t xml:space="preserve">North 24 Parganas</t>
  </si>
  <si>
    <t xml:space="preserve">Eastern demand</t>
  </si>
  <si>
    <t xml:space="preserve">Hazard, latency, policy</t>
  </si>
  <si>
    <t xml:space="preserve">Mohali</t>
  </si>
  <si>
    <t xml:space="preserve">SAS Nagar</t>
  </si>
  <si>
    <t xml:space="preserve">Water, latency</t>
  </si>
  <si>
    <t xml:space="preserve">Delhi</t>
  </si>
  <si>
    <t xml:space="preserve">various</t>
  </si>
  <si>
    <t xml:space="preserve">Interconnection</t>
  </si>
  <si>
    <t xml:space="preserve">Water, land, tariff</t>
  </si>
  <si>
    <t xml:space="preserve">Digha</t>
  </si>
  <si>
    <t xml:space="preserve">Purba Medinipur</t>
  </si>
  <si>
    <t xml:space="preserve">Cable landing</t>
  </si>
  <si>
    <t xml:space="preserve">Cyclone, no EHV within 25 km</t>
  </si>
  <si>
    <t xml:space="preserve">Patna</t>
  </si>
  <si>
    <t xml:space="preserve">Flood, zone IV</t>
  </si>
  <si>
    <t xml:space="preserve">Assam</t>
  </si>
  <si>
    <t xml:space="preserve">Kamrup Metro</t>
  </si>
  <si>
    <t xml:space="preserve">Excluded</t>
  </si>
  <si>
    <t xml:space="preserve">NE edge</t>
  </si>
  <si>
    <t xml:space="preserve">Zone V</t>
  </si>
  <si>
    <t xml:space="preserve">R10-T22  Alternate weightings and rank stability</t>
  </si>
  <si>
    <t xml:space="preserve">Source: Report 10 (Part 10 research report) · Alternate weightings and rank stability</t>
  </si>
  <si>
    <t xml:space="preserve">Used in atlas: Ch 10 "Top picks by use case"; Monte Carlo context.</t>
  </si>
  <si>
    <t xml:space="preserve">Used to derive: Rank stability across weightings.</t>
  </si>
  <si>
    <t xml:space="preserve">Geo-mean</t>
  </si>
  <si>
    <t xml:space="preserve">Greater Noida</t>
  </si>
  <si>
    <t xml:space="preserve">28 tables. Source line under each title; "Note" gives the context sentence from the report.</t>
  </si>
  <si>
    <t xml:space="preserve">R11-T01  Historical capacity series</t>
  </si>
  <si>
    <t xml:space="preserve">Source: Report 11 (Part 11 research report) · 1. Capacity (MW IT): data, three models, comparison, backtest › 1.1 Historical series</t>
  </si>
  <si>
    <t xml:space="preserve">Used in atlas: Ch 11 history points on the capacity chart.</t>
  </si>
  <si>
    <t xml:space="preserve">Used to derive: Fitted CAGR (27.9%) and logistic rate.</t>
  </si>
  <si>
    <t xml:space="preserve">Year-end</t>
  </si>
  <si>
    <t xml:space="preserve">Harmonised base series used for fitting (MW IT)</t>
  </si>
  <si>
    <t xml:space="preserve">Reported points (source)</t>
  </si>
  <si>
    <t xml:space="preserve">Label</t>
  </si>
  <si>
    <t xml:space="preserve">350 (JLL); about 400 (C&amp;W)</t>
  </si>
  <si>
    <t xml:space="preserve">E from R</t>
  </si>
  <si>
    <t xml:space="preserve">375 (MeitY, Parliament reply, Mar 2026); 520 (JM Financial via CEEW, broader definition)</t>
  </si>
  <si>
    <t xml:space="preserve">499 at H1 2021 (JLL); 824 at end-2021 (C&amp;W, colocation stock, inconsistent with C&amp;W's later series)</t>
  </si>
  <si>
    <t xml:space="preserve">722 (JLL)</t>
  </si>
  <si>
    <t xml:space="preserve">R</t>
  </si>
  <si>
    <t xml:space="preserve">977 at H2 2023 (C&amp;W; 258 MW built in 2023, +105% YoY); 950 in FY24 (ICRA)</t>
  </si>
  <si>
    <t xml:space="preserve">1,030 (JLL); about 1,150 in Dec 2024 (ICRA); 1,255 (CBRE)</t>
  </si>
  <si>
    <t xml:space="preserve">H1 2025</t>
  </si>
  <si>
    <t xml:space="preserve">–</t>
  </si>
  <si>
    <t xml:space="preserve">1,280 (C&amp;W); 1,263 in Apr 2025 (Colliers); 1,123 (JLL)</t>
  </si>
  <si>
    <t xml:space="preserve">1,789 − 178 (C&amp;W, derived); about 1,500 (MeitY); about 1.7 GW (CBRE); 387 MW added in 2025 (Rubix)</t>
  </si>
  <si>
    <t xml:space="preserve">H1 2026</t>
  </si>
  <si>
    <t xml:space="preserve">C&amp;W: 1,789 across 7 markets, 147 facilities, 33 providers, 14.9% vacancy; JLL: 1,637 MW (2026 Mid-Year Report, June 2026); PIB factsheet (14 Sep 2026): 1.57 GW as of Aug 2026</t>
  </si>
  <si>
    <t xml:space="preserve">2026E</t>
  </si>
  <si>
    <t xml:space="preserve">CBRE: about 2 GW by end-2026; C&amp;W: Mumbai to exceed 1 GW by end-2026</t>
  </si>
  <si>
    <t xml:space="preserve">E</t>
  </si>
  <si>
    <t xml:space="preserve">R11-T02  CAGR model: forward scenarios from 1,611 MW</t>
  </si>
  <si>
    <t xml:space="preserve">Source: Report 11 (Part 11 research report) · 1. Capacity (MW IT): data, three models, comparison, backtest › 1.2 Model (a): CAGR, C(t) = C₀(1+g)^t</t>
  </si>
  <si>
    <t xml:space="preserve">Note: Forward scenarios from C₀ = 1,611 MW (end-2025) [M]:</t>
  </si>
  <si>
    <t xml:space="preserve">Used in atlas: Ch 11 CAGR model option.</t>
  </si>
  <si>
    <t xml:space="preserve">Used to derive: Capacity path under constant growth.</t>
  </si>
  <si>
    <t xml:space="preserve">2027</t>
  </si>
  <si>
    <t xml:space="preserve">2028</t>
  </si>
  <si>
    <t xml:space="preserve">2030</t>
  </si>
  <si>
    <t xml:space="preserve">2033</t>
  </si>
  <si>
    <t xml:space="preserve">2035</t>
  </si>
  <si>
    <t xml:space="preserve">Low 18%</t>
  </si>
  <si>
    <t xml:space="preserve">Base 25%</t>
  </si>
  <si>
    <t xml:space="preserve">High 32%</t>
  </si>
  <si>
    <t xml:space="preserve">R11-T03  Logistic model parameters</t>
  </si>
  <si>
    <t xml:space="preserve">Source: Report 11 (Part 11 research report) · 1. Capacity (MW IT): data, three models, comparison, backtest › 1.3 Model (b): logistic S-curve, C(t) = K / (1 + e^(−r(t − t₀)))</t>
  </si>
  <si>
    <t xml:space="preserve">Note: t₀ = 2025 + ln(K/1,611 − 1) / r</t>
  </si>
  <si>
    <t xml:space="preserve">Used in atlas: Ch 11 S-curve sliders (K, r).</t>
  </si>
  <si>
    <t xml:space="preserve">Used to derive: Logistic midpoint t₀.</t>
  </si>
  <si>
    <t xml:space="preserve">Base</t>
  </si>
  <si>
    <t xml:space="preserve">High</t>
  </si>
  <si>
    <t xml:space="preserve">K (MW)</t>
  </si>
  <si>
    <t xml:space="preserve">r (/yr)</t>
  </si>
  <si>
    <t xml:space="preserve">t₀</t>
  </si>
  <si>
    <t xml:space="preserve">R11-T04  Logistic model output (MW)</t>
  </si>
  <si>
    <t xml:space="preserve">Note: Logistic output (MW) [M]:</t>
  </si>
  <si>
    <t xml:space="preserve">Used in atlas: Ch 11 S-curve model option.</t>
  </si>
  <si>
    <t xml:space="preserve">Used to derive: Capacity path to 2035.</t>
  </si>
  <si>
    <t xml:space="preserve">R11-T05  Forecast conversion evidence (backtest)</t>
  </si>
  <si>
    <t xml:space="preserve">Source: Report 11 (Part 11 research report) · 1. Capacity (MW IT): data, three models, comparison, backtest › 1.4 Model (c): pipeline conversion, C(t+1) = C(t) + Σ P_stage(t − L) × c_stage</t>
  </si>
  <si>
    <t xml:space="preserve">Note: Conversion evidence:</t>
  </si>
  <si>
    <t xml:space="preserve">Used in atlas: Ch 11 haircut KPI (0.58–0.87×).</t>
  </si>
  <si>
    <t xml:space="preserve">Used to derive: Delivery haircut on forecasts.</t>
  </si>
  <si>
    <t xml:space="preserve">Forecast</t>
  </si>
  <si>
    <t xml:space="preserve">Outcome</t>
  </si>
  <si>
    <t xml:space="preserve">JLL H1 2021 update</t>
  </si>
  <si>
    <t xml:space="preserve">499 → 1,008 MW by 2023 (+509)</t>
  </si>
  <si>
    <t xml:space="preserve">JLL's 2023 figure was not published in our sources. Interpolated between 722 (2022) and 1,030 (2024) it is about 875; C&amp;W reports 977</t>
  </si>
  <si>
    <t xml:space="preserve">Additions about 0.74; level about 0.87</t>
  </si>
  <si>
    <t xml:space="preserve">JLL (about 2023)</t>
  </si>
  <si>
    <t xml:space="preserve">+681 MW to 1,318 MW by end-2024</t>
  </si>
  <si>
    <t xml:space="preserve">1,030 MW (JLL 2024)</t>
  </si>
  <si>
    <t xml:space="preserve">Additions 0.58; level 0.78</t>
  </si>
  <si>
    <t xml:space="preserve">R/M</t>
  </si>
  <si>
    <t xml:space="preserve">C&amp;W, Feb 2022</t>
  </si>
  <si>
    <t xml:space="preserve">"over 1.0 GW incremental … in various stages of construction, expected to start operations over the next 4–5 years"</t>
  </si>
  <si>
    <t xml:space="preserve">About 1,070 MW added from end-2022 to H1 2026</t>
  </si>
  <si>
    <t xml:space="preserve">About 1.0 within 4.5 years</t>
  </si>
  <si>
    <t xml:space="preserve">ICRA, Oct 2024</t>
  </si>
  <si>
    <t xml:space="preserve">950 MW (FY24) → 2,000–2,100 MW by Mar 2027</t>
  </si>
  <si>
    <t xml:space="preserve">On track on C&amp;W's basis (1,789 at H1 2026); marginal on JLL's basis (1,637 MW at June 2026)</t>
  </si>
  <si>
    <t xml:space="preserve">About 0.9–1.0 (provisional)</t>
  </si>
  <si>
    <t xml:space="preserve">Arizton / ResearchAndMarkets</t>
  </si>
  <si>
    <t xml:space="preserve">3.5 GW by 2030 (Feb 2025), revised to 4.8 GW (Jul 2025)</t>
  </si>
  <si>
    <t xml:space="preserve">Forecast inflated by 37% in 5 months</t>
  </si>
  <si>
    <t xml:space="preserve">CEEW / Systemiq</t>
  </si>
  <si>
    <t xml:space="preserve">"Only about 50% of the USD ~95 bn worth of capital committed … between 2019 and 2025 has a …" (text truncated in source)</t>
  </si>
  <si>
    <t xml:space="preserve">Treated as a conversion ceiling for announcements of about 50%</t>
  </si>
  <si>
    <t xml:space="preserve">about 0.5</t>
  </si>
  <si>
    <t xml:space="preserve">R (partial)</t>
  </si>
  <si>
    <t xml:space="preserve">R11-T06  Pipeline conversion parameters</t>
  </si>
  <si>
    <t xml:space="preserve">Note: Parameters [E]:</t>
  </si>
  <si>
    <t xml:space="preserve">Used in atlas: Ch 11 pipeline-conversion sliders.</t>
  </si>
  <si>
    <t xml:space="preserve">Used to derive: Expected delivered MW from pipeline.</t>
  </si>
  <si>
    <t xml:space="preserve">Stage</t>
  </si>
  <si>
    <t xml:space="preserve">Conversion c</t>
  </si>
  <si>
    <t xml:space="preserve">Lag L</t>
  </si>
  <si>
    <t xml:space="preserve">Under construction</t>
  </si>
  <si>
    <t xml:space="preserve">Low 0.85 / Base 0.95 / High 1.0</t>
  </si>
  <si>
    <t xml:space="preserve">1–2 years</t>
  </si>
  <si>
    <t xml:space="preserve">Planned</t>
  </si>
  <si>
    <t xml:space="preserve">Low 0.40 / Base 0.60 / High 0.80</t>
  </si>
  <si>
    <t xml:space="preserve">2–4 years (base 3)</t>
  </si>
  <si>
    <t xml:space="preserve">MoU / announced only</t>
  </si>
  <si>
    <t xml:space="preserve">0.2–0.5</t>
  </si>
  <si>
    <t xml:space="preserve">3–5 years</t>
  </si>
  <si>
    <t xml:space="preserve">R11-T07  Pipeline-conversion path to 2030 (MW)</t>
  </si>
  <si>
    <t xml:space="preserve">Note: High: 1,789 + 509 + 2,681 = 4,979 MW, plus about 1,000 MW of gigawatt-campus phases outside C&amp;W's 7 markets (Visakhapatnam, Jamnagar) [E] = about 6,000 MW.</t>
  </si>
  <si>
    <t xml:space="preserve">Used in atlas: Ch 11 pipeline model option.</t>
  </si>
  <si>
    <t xml:space="preserve">Used to derive: Capacity to 2030.</t>
  </si>
  <si>
    <t xml:space="preserve">Path (MW)</t>
  </si>
  <si>
    <t xml:space="preserve">2026</t>
  </si>
  <si>
    <t xml:space="preserve">2029</t>
  </si>
  <si>
    <t xml:space="preserve">R11-T08  Integrated capacity path 2026–2035 (MW IT)</t>
  </si>
  <si>
    <t xml:space="preserve">Source: Report 11 (Part 11 research report) · 1. Capacity (MW IT): data, three models, comparison, backtest › 1.5 Integrated capacity path</t>
  </si>
  <si>
    <t xml:space="preserve">Note: 2031–2035: the logistic model, with the base case trimmed by about 10% to stay consistent with the conversion haircut.</t>
  </si>
  <si>
    <t xml:space="preserve">Used in atlas: Ch 11 integrated base case (default chart).</t>
  </si>
  <si>
    <t xml:space="preserve">Used to derive: Base / low / high capacity path.</t>
  </si>
  <si>
    <t xml:space="preserve">MW IT</t>
  </si>
  <si>
    <t xml:space="preserve">2031</t>
  </si>
  <si>
    <t xml:space="preserve">2032</t>
  </si>
  <si>
    <t xml:space="preserve">2034</t>
  </si>
  <si>
    <t xml:space="preserve">R11-T09  Published forecasts compared</t>
  </si>
  <si>
    <t xml:space="preserve">Source: Report 11 (Part 11 research report) · 1. Capacity (MW IT): data, three models, comparison, backtest › 1.6 Published forecasts compared</t>
  </si>
  <si>
    <t xml:space="preserve">Used in atlas: Ch 11 "Published forecasts compared" chart.</t>
  </si>
  <si>
    <t xml:space="preserve">Used to derive: Our base vs consultant median.</t>
  </si>
  <si>
    <t xml:space="preserve">Forecaster</t>
  </si>
  <si>
    <t xml:space="preserve">2026–27</t>
  </si>
  <si>
    <t xml:space="preserve">2028–29</t>
  </si>
  <si>
    <t xml:space="preserve">2031–35</t>
  </si>
  <si>
    <t xml:space="preserve">ICRA</t>
  </si>
  <si>
    <t xml:space="preserve">2,000–2,100 MW by Mar 2027; edge capacity 200–210 MW by 2027</t>
  </si>
  <si>
    <t xml:space="preserve">3.0–3.5 GW pipeline over 7–10 years, ₹2.0–2.3 lakh crore</t>
  </si>
  <si>
    <t xml:space="preserve">JLL</t>
  </si>
  <si>
    <t xml:space="preserve">about 2.1 GW (2027); earlier 1,825 MW (2027)</t>
  </si>
  <si>
    <t xml:space="preserve">6 GW (2029)</t>
  </si>
  <si>
    <t xml:space="preserve">CBRE</t>
  </si>
  <si>
    <t xml:space="preserve">about 2 GW (end-2026); about 500 MW of supply in 2026</t>
  </si>
  <si>
    <t xml:space="preserve">C&amp;W</t>
  </si>
  <si>
    <t xml:space="preserve">1,789 + 3,860 pipeline = about 5.6 GW if fully delivered; US$29.9 bn</t>
  </si>
  <si>
    <t xml:space="preserve">Colliers</t>
  </si>
  <si>
    <t xml:space="preserve">more than 4,500 MW (top 7 cities)</t>
  </si>
  <si>
    <t xml:space="preserve">CareEdge</t>
  </si>
  <si>
    <t xml:space="preserve">about 4 GW (FY30), about ₹1.5 lakh crore</t>
  </si>
  <si>
    <t xml:space="preserve">Arizton (via ResearchAndMarkets)</t>
  </si>
  <si>
    <t xml:space="preserve">4.8 GW</t>
  </si>
  <si>
    <t xml:space="preserve">Rubix</t>
  </si>
  <si>
    <t xml:space="preserve">6.5 GW</t>
  </si>
  <si>
    <t xml:space="preserve">Macquarie</t>
  </si>
  <si>
    <t xml:space="preserve">2× by 2027</t>
  </si>
  <si>
    <t xml:space="preserve">5× by 2030 (about 6.5–7.5 GW implied)</t>
  </si>
  <si>
    <t xml:space="preserve">R/E</t>
  </si>
  <si>
    <t xml:space="preserve">Jefferies</t>
  </si>
  <si>
    <t xml:space="preserve">8 GW; US$30 bn capex</t>
  </si>
  <si>
    <t xml:space="preserve">PIB factsheet (14 Sep 2026)</t>
  </si>
  <si>
    <t xml:space="preserve">"nearly 8 GW"; US$70 bn ongoing plus US$90 bn announced</t>
  </si>
  <si>
    <t xml:space="preserve">Wood Mackenzie</t>
  </si>
  <si>
    <t xml:space="preserve">12 GW (from 2.2 GW in 2025); AI capacity 275 → 6,546 MW</t>
  </si>
  <si>
    <t xml:space="preserve">CEA / Ministry of Power (demand, GW of power)</t>
  </si>
  <si>
    <t xml:space="preserve">17 GW (CEA) / 13.56 GW (MoP, Mar 2026) by 2031-32; 26.3 GW additional AI data-centre load (MoS Power, Jul 2026)</t>
  </si>
  <si>
    <t xml:space="preserve">This report (base)</t>
  </si>
  <si>
    <t xml:space="preserve">2.0 / 2.5 GW</t>
  </si>
  <si>
    <t xml:space="preserve">3.1 / 3.85 GW</t>
  </si>
  <si>
    <t xml:space="preserve">4.7 GW</t>
  </si>
  <si>
    <t xml:space="preserve">6.85 GW (2032); 10.8 GW (2035)</t>
  </si>
  <si>
    <t xml:space="preserve">R11-T10  Electricity, base case: MW, utilisation, PUE, TWh and share</t>
  </si>
  <si>
    <t xml:space="preserve">Source: Report 11 (Part 11 research report) · 2. Electricity (TWh) and share of the grid</t>
  </si>
  <si>
    <t xml:space="preserve">Note: Base case [M] (calendar-year data-centre energy against the matching fiscal year's requirement; year-end MW basis, so use the mid-year average to get figures about 8–10% lower):</t>
  </si>
  <si>
    <t xml:space="preserve">Used in atlas: Ch 11 electricity and share outputs.</t>
  </si>
  <si>
    <t xml:space="preserve">Used to derive: TWh and % of national demand.</t>
  </si>
  <si>
    <t xml:space="preserve">MW</t>
  </si>
  <si>
    <t xml:space="preserve">u</t>
  </si>
  <si>
    <t xml:space="preserve">IT TWh</t>
  </si>
  <si>
    <t xml:space="preserve">Facility TWh</t>
  </si>
  <si>
    <t xml:space="preserve">India requirement (BU)</t>
  </si>
  <si>
    <t xml:space="preserve">Data-centre share</t>
  </si>
  <si>
    <t xml:space="preserve">0.75%</t>
  </si>
  <si>
    <t xml:space="preserve">0.89%</t>
  </si>
  <si>
    <t xml:space="preserve">1.04%</t>
  </si>
  <si>
    <t xml:space="preserve">1.22%</t>
  </si>
  <si>
    <t xml:space="preserve">1.43%</t>
  </si>
  <si>
    <t xml:space="preserve">1.64%</t>
  </si>
  <si>
    <t xml:space="preserve">1.87%</t>
  </si>
  <si>
    <t xml:space="preserve">2.08%</t>
  </si>
  <si>
    <t xml:space="preserve">2.30%</t>
  </si>
  <si>
    <t xml:space="preserve">2.47%</t>
  </si>
  <si>
    <t xml:space="preserve">R11-T11  Electricity scenarios</t>
  </si>
  <si>
    <t xml:space="preserve">Note: Scenarios [M]:</t>
  </si>
  <si>
    <t xml:space="preserve">Used in atlas: Ch 11 scenario comparison.</t>
  </si>
  <si>
    <t xml:space="preserve">Used to derive: Low/base/high electricity.</t>
  </si>
  <si>
    <t xml:space="preserve">2030 TWh</t>
  </si>
  <si>
    <t xml:space="preserve">2030 share</t>
  </si>
  <si>
    <t xml:space="preserve">2035 TWh</t>
  </si>
  <si>
    <t xml:space="preserve">2035 share</t>
  </si>
  <si>
    <t xml:space="preserve">Year share reaches 1% / 2% / 3%</t>
  </si>
  <si>
    <t xml:space="preserve">Low (u 0.50→0.58; PUE 1.52→1.42)</t>
  </si>
  <si>
    <t xml:space="preserve">1.0%</t>
  </si>
  <si>
    <t xml:space="preserve">1.5%</t>
  </si>
  <si>
    <t xml:space="preserve">2030 / not reached / not reached</t>
  </si>
  <si>
    <t xml:space="preserve">2.5%</t>
  </si>
  <si>
    <t xml:space="preserve">2028 / 2033 / after 2035</t>
  </si>
  <si>
    <t xml:space="preserve">High (u 0.60→0.72; PUE 1.50→1.30)</t>
  </si>
  <si>
    <t xml:space="preserve">2.1%</t>
  </si>
  <si>
    <t xml:space="preserve">4.6%</t>
  </si>
  <si>
    <t xml:space="preserve">2027 / 2030 / about 2032</t>
  </si>
  <si>
    <t xml:space="preserve">R11-T12  State-level electricity shares, base case</t>
  </si>
  <si>
    <t xml:space="preserve">Note: State-level shares, base case [M; state denominators are E]. These are approximate state requirements, extrapolated about 6%/yr from FY25. Replace them with the state tables of the 20th EPS mid-term review before publishing.</t>
  </si>
  <si>
    <t xml:space="preserve">Used in atlas: Ch 11 state share outputs (denominators are estimates).</t>
  </si>
  <si>
    <t xml:space="preserve">Used to derive: Grid stress by state.</t>
  </si>
  <si>
    <t xml:space="preserve">State (data-centre cities)</t>
  </si>
  <si>
    <t xml:space="preserve">2030 DC TWh</t>
  </si>
  <si>
    <t xml:space="preserve">≈ State BU 2030 [E]</t>
  </si>
  <si>
    <t xml:space="preserve">2035 DC TWh</t>
  </si>
  <si>
    <t xml:space="preserve">≈ State BU 2035 [E]</t>
  </si>
  <si>
    <t xml:space="preserve">Maharashtra (Mumbai/Navi Mumbai, Pune)</t>
  </si>
  <si>
    <t xml:space="preserve">7.2%</t>
  </si>
  <si>
    <t xml:space="preserve">12.1%</t>
  </si>
  <si>
    <t xml:space="preserve">Telangana (Hyderabad)</t>
  </si>
  <si>
    <t xml:space="preserve">4.0%</t>
  </si>
  <si>
    <t xml:space="preserve">7.6%</t>
  </si>
  <si>
    <t xml:space="preserve">Tamil Nadu (Chennai)</t>
  </si>
  <si>
    <t xml:space="preserve">2.0%</t>
  </si>
  <si>
    <t xml:space="preserve">4.8%</t>
  </si>
  <si>
    <t xml:space="preserve">Andhra Pradesh (Visakhapatnam)</t>
  </si>
  <si>
    <t xml:space="preserve">3.5%</t>
  </si>
  <si>
    <t xml:space="preserve">Karnataka (Bengaluru, Mysuru)</t>
  </si>
  <si>
    <t xml:space="preserve">2.4%</t>
  </si>
  <si>
    <t xml:space="preserve">Uttar Pradesh (Noida/Greater Noida, about 70% of NCR)</t>
  </si>
  <si>
    <t xml:space="preserve">R11-T13  Grid emission factor history (CEA)</t>
  </si>
  <si>
    <t xml:space="preserve">Source: Report 11 (Part 11 research report) · 3. Carbon trajectory</t>
  </si>
  <si>
    <t xml:space="preserve">Note: Grid emission factor history (CEA CO₂ Baseline Database, weighted average including renewables) [R]:</t>
  </si>
  <si>
    <t xml:space="preserve">Used in atlas: Ch 11 carbon inputs; all calculators (0.710).</t>
  </si>
  <si>
    <t xml:space="preserve">Used to derive: Grid carbon trend.</t>
  </si>
  <si>
    <t xml:space="preserve">Fiscal year</t>
  </si>
  <si>
    <t xml:space="preserve">EF (tCO₂/MWh)</t>
  </si>
  <si>
    <t xml:space="preserve">FY14</t>
  </si>
  <si>
    <t xml:space="preserve">FY21</t>
  </si>
  <si>
    <t xml:space="preserve">0.703 (COVID year)</t>
  </si>
  <si>
    <t xml:space="preserve">FY23</t>
  </si>
  <si>
    <t xml:space="preserve">FY24</t>
  </si>
  <si>
    <t xml:space="preserve">FY25</t>
  </si>
  <si>
    <t xml:space="preserve">0.710 (v21: 1,234.19 Mt ÷ 1,739.06 BU)</t>
  </si>
  <si>
    <t xml:space="preserve">R11-T14  Emission-factor paths</t>
  </si>
  <si>
    <t xml:space="preserve">Note: EF paths (tCO₂/MWh) [E]:</t>
  </si>
  <si>
    <t xml:space="preserve">Used in atlas: Ch 11 EF slider paths.</t>
  </si>
  <si>
    <t xml:space="preserve">Used to derive: Future grid carbon.</t>
  </si>
  <si>
    <t xml:space="preserve">Slow</t>
  </si>
  <si>
    <t xml:space="preserve">Fast</t>
  </si>
  <si>
    <t xml:space="preserve">R11-T15  Emissions, base case</t>
  </si>
  <si>
    <t xml:space="preserve">Note: Emissions, base case [M]:</t>
  </si>
  <si>
    <t xml:space="preserve">Used in atlas: Ch 11 carbon outputs.</t>
  </si>
  <si>
    <t xml:space="preserve">Used to derive: Net and location-based CO₂.</t>
  </si>
  <si>
    <t xml:space="preserve">EF</t>
  </si>
  <si>
    <t xml:space="preserve">Clean share</t>
  </si>
  <si>
    <t xml:space="preserve">Net MtCO₂</t>
  </si>
  <si>
    <t xml:space="preserve">Location-based Mt (clean = 0)</t>
  </si>
  <si>
    <t xml:space="preserve">R11-T16  Build-cost data points</t>
  </si>
  <si>
    <t xml:space="preserve">Source: Report 11 (Part 11 research report) · 4. Costs: build cost per MW and GPU-hour prices › 4.1 Build cost</t>
  </si>
  <si>
    <t xml:space="preserve">Note: Data points:</t>
  </si>
  <si>
    <t xml:space="preserve">Used in atlas: Ch 11 cost inputs.</t>
  </si>
  <si>
    <t xml:space="preserve">Used to derive: Base cost and learning test.</t>
  </si>
  <si>
    <t xml:space="preserve">Implied ₹ crore/MW</t>
  </si>
  <si>
    <t xml:space="preserve">Turner &amp; Townsend 2025 index</t>
  </si>
  <si>
    <t xml:space="preserve">Mumbai US$6.64/W (₹589/W per IBEF); 51st of 52 markets. Tokyo US$15.2, Singapore US$14.5. Global +5.5% in 2025, +9.0% in 2024</t>
  </si>
  <si>
    <t xml:space="preserve">about 58.4</t>
  </si>
  <si>
    <t xml:space="preserve">ICRA (Oct 2024)</t>
  </si>
  <si>
    <t xml:space="preserve">₹50,000–55,000 crore for about 1,100 MW (FY25–27)</t>
  </si>
  <si>
    <t xml:space="preserve">about 47</t>
  </si>
  <si>
    <t xml:space="preserve">ICRA (Mar 2025)</t>
  </si>
  <si>
    <t xml:space="preserve">₹2.0–2.3 lakh crore for a 3.0–3.5 GW pipeline</t>
  </si>
  <si>
    <t xml:space="preserve">about 62–70</t>
  </si>
  <si>
    <t xml:space="preserve">US$29.9 bn for 3,860 MW</t>
  </si>
  <si>
    <t xml:space="preserve">about 69 (US$7.75m/MW)</t>
  </si>
  <si>
    <t xml:space="preserve">US$4–5m/MW</t>
  </si>
  <si>
    <t xml:space="preserve">36–45</t>
  </si>
  <si>
    <t xml:space="preserve">C&amp;W 2026 APAC guide (via secondary source)</t>
  </si>
  <si>
    <t xml:space="preserve">US$5.9–9.0m/MW across India's five major cities</t>
  </si>
  <si>
    <t xml:space="preserve">52–80</t>
  </si>
  <si>
    <t xml:space="preserve">R (secondary)</t>
  </si>
  <si>
    <t xml:space="preserve">4 GW by FY30 needs about ₹1.5 lakh crore; costs up 50–70% recently</t>
  </si>
  <si>
    <t xml:space="preserve">about 54</t>
  </si>
  <si>
    <t xml:space="preserve">US AI vs standard (Quartz, citing industry)</t>
  </si>
  <si>
    <t xml:space="preserve">US$20m+/MW vs US$10–12m/MW</t>
  </si>
  <si>
    <t xml:space="preserve">AI premium ×1.7–2.0</t>
  </si>
  <si>
    <t xml:space="preserve">R11-T17  Build-cost path (₹ crore/MW)</t>
  </si>
  <si>
    <t xml:space="preserve">Note: Cost path [M]:</t>
  </si>
  <si>
    <t xml:space="preserve">Used in atlas: Ch 11 cost outputs.</t>
  </si>
  <si>
    <t xml:space="preserve">Used to derive: ₹ crore per MW path.</t>
  </si>
  <si>
    <t xml:space="preserve">Air-cooled facility</t>
  </si>
  <si>
    <t xml:space="preserve">AI / liquid-cooled facility (×1.5)</t>
  </si>
  <si>
    <t xml:space="preserve">Blended new build</t>
  </si>
  <si>
    <t xml:space="preserve">R11-T18  Cumulative facility capex, base case</t>
  </si>
  <si>
    <t xml:space="preserve">Note: Cumulative facility capex, base case (2026 onward; excludes land and IT/GPU hardware) [M]:</t>
  </si>
  <si>
    <t xml:space="preserve">Used in atlas: Ch 11 capex outputs.</t>
  </si>
  <si>
    <t xml:space="preserve">Used to derive: Cumulative investment.</t>
  </si>
  <si>
    <t xml:space="preserve">ΔMW</t>
  </si>
  <si>
    <t xml:space="preserve">Annual ₹ crore</t>
  </si>
  <si>
    <t xml:space="preserve">Cumulative ₹ lakh crore</t>
  </si>
  <si>
    <t xml:space="preserve">Cumulative US$ bn</t>
  </si>
  <si>
    <t xml:space="preserve">R11-T19  India H100 commercial rates</t>
  </si>
  <si>
    <t xml:space="preserve">Source: Report 11 (Part 11 research report) · 4. Costs: build cost per MW and GPU-hour prices › 4.2 GPU-hour prices</t>
  </si>
  <si>
    <t xml:space="preserve">Note: India commercial rates:</t>
  </si>
  <si>
    <t xml:space="preserve">Used in atlas: Ch 7 market prices; Ch 11 GPU path start.</t>
  </si>
  <si>
    <t xml:space="preserve">Used to derive: GPU price base.</t>
  </si>
  <si>
    <t xml:space="preserve">Provider</t>
  </si>
  <si>
    <t xml:space="preserve">H100 rate</t>
  </si>
  <si>
    <t xml:space="preserve">JarvisLabs</t>
  </si>
  <si>
    <t xml:space="preserve">₹217.89/hr (US$2.69)</t>
  </si>
  <si>
    <t xml:space="preserve">Cyfuture</t>
  </si>
  <si>
    <t xml:space="preserve">₹219/hr (SXM)</t>
  </si>
  <si>
    <t xml:space="preserve">Neysa</t>
  </si>
  <si>
    <t xml:space="preserve">₹395/hr on demand; about ₹219/hr on a 36-month commitment</t>
  </si>
  <si>
    <t xml:space="preserve">Hyperscalers in India (8-GPU instances)</t>
  </si>
  <si>
    <t xml:space="preserve">about ₹850–1,050 per GPU-hour</t>
  </si>
  <si>
    <t xml:space="preserve">R11-T20  GPU-hour price path (₹)</t>
  </si>
  <si>
    <t xml:space="preserve">Note: We use −20%/yr as the base for an H100-class hour from 2026.</t>
  </si>
  <si>
    <t xml:space="preserve">Used in atlas: Ch 11 GPU price outputs.</t>
  </si>
  <si>
    <t xml:space="preserve">Used to derive: GPU-hour price path.</t>
  </si>
  <si>
    <t xml:space="preserve">₹ per GPU-hour (India commercial on-demand)</t>
  </si>
  <si>
    <t xml:space="preserve">H100-class, base (−20%/yr)</t>
  </si>
  <si>
    <t xml:space="preserve">H100-class, low decline (−10%/yr)</t>
  </si>
  <si>
    <t xml:space="preserve">H100-class, high decline (−30%/yr)</t>
  </si>
  <si>
    <t xml:space="preserve">Frontier class (B200/GB200 → successors) [E]</t>
  </si>
  <si>
    <t xml:space="preserve">about 450–550</t>
  </si>
  <si>
    <t xml:space="preserve">R11-T21  Dry/liquid share, WUE mix and national water</t>
  </si>
  <si>
    <t xml:space="preserve">Source: Report 11 (Part 11 research report) · 5. Water demand by city (MLD)</t>
  </si>
  <si>
    <t xml:space="preserve">Note: The evaporative share of the non-dry remainder falls from 69% to 50% by 2035 [E].</t>
  </si>
  <si>
    <t xml:space="preserve">Used in atlas: Ch 11 water outputs (Bass diffusion).</t>
  </si>
  <si>
    <t xml:space="preserve">Used to derive: National on-site MLD.</t>
  </si>
  <si>
    <t xml:space="preserve">Dry/liquid share</t>
  </si>
  <si>
    <t xml:space="preserve">WUE_mix (L/kWh)</t>
  </si>
  <si>
    <t xml:space="preserve">National on-site water, base (MLD)</t>
  </si>
  <si>
    <t xml:space="preserve">22%</t>
  </si>
  <si>
    <t xml:space="preserve">26%</t>
  </si>
  <si>
    <t xml:space="preserve">30%</t>
  </si>
  <si>
    <t xml:space="preserve">36%</t>
  </si>
  <si>
    <t xml:space="preserve">43%</t>
  </si>
  <si>
    <t xml:space="preserve">50%</t>
  </si>
  <si>
    <t xml:space="preserve">57%</t>
  </si>
  <si>
    <t xml:space="preserve">64%</t>
  </si>
  <si>
    <t xml:space="preserve">70%</t>
  </si>
  <si>
    <t xml:space="preserve">74%</t>
  </si>
  <si>
    <t xml:space="preserve">R11-T22  City water demand and supply</t>
  </si>
  <si>
    <t xml:space="preserve">Note: City supply figures are [R] via the subagent's sources.</t>
  </si>
  <si>
    <t xml:space="preserve">Used in atlas: Ch 11 city water outputs.</t>
  </si>
  <si>
    <t xml:space="preserve">Used to derive: DC share of city water supply.</t>
  </si>
  <si>
    <t xml:space="preserve">MW 2030</t>
  </si>
  <si>
    <t xml:space="preserve">MLD 2030</t>
  </si>
  <si>
    <t xml:space="preserve">MW 2035</t>
  </si>
  <si>
    <t xml:space="preserve">MLD 2035</t>
  </si>
  <si>
    <t xml:space="preserve">City supply (MLD)</t>
  </si>
  <si>
    <t xml:space="preserve">Data-centre share 2030 / 2035</t>
  </si>
  <si>
    <t xml:space="preserve">High-case 2035 MLD</t>
  </si>
  <si>
    <t xml:space="preserve">Mumbai MMR</t>
  </si>
  <si>
    <t xml:space="preserve">BMC about 4,100, against 4,600 demand (Oct 2026)</t>
  </si>
  <si>
    <t xml:space="preserve">0.57% / 0.63%</t>
  </si>
  <si>
    <t xml:space="preserve">about 85</t>
  </si>
  <si>
    <t xml:space="preserve">HMWSSB 545 MGD ≈ 2,478</t>
  </si>
  <si>
    <t xml:space="preserve">0.29% / 0.37%</t>
  </si>
  <si>
    <t xml:space="preserve">about 30</t>
  </si>
  <si>
    <t xml:space="preserve">Metrowater 1,245 (Apr 2025, incl. tankers)</t>
  </si>
  <si>
    <t xml:space="preserve">0.42% / 0.66%</t>
  </si>
  <si>
    <t xml:space="preserve">about 27</t>
  </si>
  <si>
    <t xml:space="preserve">DJB about 1,002 MGD target ≈ 4,555 (Delhi only)</t>
  </si>
  <si>
    <t xml:space="preserve">0.11% / 0.13%</t>
  </si>
  <si>
    <t xml:space="preserve">about 19</t>
  </si>
  <si>
    <t xml:space="preserve">PMC about 1,222 (older figure)</t>
  </si>
  <si>
    <t xml:space="preserve">0.29% / 0.33%</t>
  </si>
  <si>
    <t xml:space="preserve">about 13</t>
  </si>
  <si>
    <t xml:space="preserve">BWSSB about 1,935 supplied (2,225 capacity)</t>
  </si>
  <si>
    <t xml:space="preserve">0.13% / 0.15%</t>
  </si>
  <si>
    <t xml:space="preserve">about 10</t>
  </si>
  <si>
    <t xml:space="preserve">KMC 1,654–2,045 (sources conflict)</t>
  </si>
  <si>
    <t xml:space="preserve">about 0.05%</t>
  </si>
  <si>
    <t xml:space="preserve">about 3</t>
  </si>
  <si>
    <t xml:space="preserve">GVMC 84.44 MGD = 383.86</t>
  </si>
  <si>
    <t xml:space="preserve">0.73% / 0.96%</t>
  </si>
  <si>
    <t xml:space="preserve">about 17 (4.4%)</t>
  </si>
  <si>
    <t xml:space="preserve">R11-T23  Pipeline shares by city</t>
  </si>
  <si>
    <t xml:space="preserve">Source: Report 11 (Part 11 research report) · 6. Where new capacity goes, city by city</t>
  </si>
  <si>
    <t xml:space="preserve">Note: The pipeline shares (C&amp;W, on the 3,633 MW city-sum basis) are below.</t>
  </si>
  <si>
    <t xml:space="preserve">Used in atlas: Ch 11 city allocation (2026–30).</t>
  </si>
  <si>
    <t xml:space="preserve">Used to derive: Where new MW go.</t>
  </si>
  <si>
    <t xml:space="preserve">Pipeline MW</t>
  </si>
  <si>
    <t xml:space="preserve">Share of pipeline</t>
  </si>
  <si>
    <t xml:space="preserve">47.5%</t>
  </si>
  <si>
    <t xml:space="preserve">19.5%</t>
  </si>
  <si>
    <t xml:space="preserve">NCR</t>
  </si>
  <si>
    <t xml:space="preserve">10.7%</t>
  </si>
  <si>
    <t xml:space="preserve">10.1%</t>
  </si>
  <si>
    <t xml:space="preserve">7.1%</t>
  </si>
  <si>
    <t xml:space="preserve">R11-T24  Illustrative city scores for allocation</t>
  </si>
  <si>
    <t xml:space="preserve">Note: Illustrative scores used [E; substitute the chapter-10 values]:</t>
  </si>
  <si>
    <t xml:space="preserve">Used in atlas: Ch 11 city allocation (illustrative scores).</t>
  </si>
  <si>
    <t xml:space="preserve">Used to derive: Softmax share of growth.</t>
  </si>
  <si>
    <t xml:space="preserve">R11-T25  City capacity forecast</t>
  </si>
  <si>
    <t xml:space="preserve">Note: 2035: the 6,100 MW increment is allocated with α = 0.5, k = 8.</t>
  </si>
  <si>
    <t xml:space="preserve">Used in atlas: Ch 11 city capacity outputs.</t>
  </si>
  <si>
    <t xml:space="preserve">Used to derive: City MW 2030 and 2035.</t>
  </si>
  <si>
    <t xml:space="preserve">H1 2026 [R]</t>
  </si>
  <si>
    <t xml:space="preserve">2030 base</t>
  </si>
  <si>
    <t xml:space="preserve">2035 base</t>
  </si>
  <si>
    <t xml:space="preserve">2035 high (indicative)</t>
  </si>
  <si>
    <t xml:space="preserve">Share of national, 2035 base</t>
  </si>
  <si>
    <t xml:space="preserve">Mumbai MMR (incl. Navi Mumbai)</t>
  </si>
  <si>
    <t xml:space="preserve">about 7,700</t>
  </si>
  <si>
    <t xml:space="preserve">41.7%</t>
  </si>
  <si>
    <t xml:space="preserve">Hyderabad (incl. periphery)</t>
  </si>
  <si>
    <t xml:space="preserve">about 2,900</t>
  </si>
  <si>
    <t xml:space="preserve">14.7%</t>
  </si>
  <si>
    <t xml:space="preserve">about 2,600</t>
  </si>
  <si>
    <t xml:space="preserve">13.2%</t>
  </si>
  <si>
    <t xml:space="preserve">Delhi NCR (incl. Noida/Greater Noida)</t>
  </si>
  <si>
    <t xml:space="preserve">about 1,800</t>
  </si>
  <si>
    <t xml:space="preserve">9.5%</t>
  </si>
  <si>
    <t xml:space="preserve">about 1,200</t>
  </si>
  <si>
    <t xml:space="preserve">6.4%</t>
  </si>
  <si>
    <t xml:space="preserve">about 1,500</t>
  </si>
  <si>
    <t xml:space="preserve">Bengaluru (incl. Mysuru spill-over)</t>
  </si>
  <si>
    <t xml:space="preserve">about 850</t>
  </si>
  <si>
    <t xml:space="preserve">4.7%</t>
  </si>
  <si>
    <t xml:space="preserve">about 250</t>
  </si>
  <si>
    <t xml:space="preserve">Other (Jamnagar etc.)</t>
  </si>
  <si>
    <t xml:space="preserve">about 0 (inside the figures above)</t>
  </si>
  <si>
    <t xml:space="preserve">about 4,670</t>
  </si>
  <si>
    <t xml:space="preserve">about 10,770</t>
  </si>
  <si>
    <t xml:space="preserve">about 18,800</t>
  </si>
  <si>
    <t xml:space="preserve">R11-T26  Driver-based 2030 forecasts</t>
  </si>
  <si>
    <t xml:space="preserve">Source: Report 11 (Part 11 research report) · 7. Demand drivers (regression)</t>
  </si>
  <si>
    <t xml:space="preserve">Note: Driver-based forecasts for 2030 [M]:</t>
  </si>
  <si>
    <t xml:space="preserve">Used in atlas: Ch 11 driver cross-check (text).</t>
  </si>
  <si>
    <t xml:space="preserve">Used to derive: Demand-side view of 2030.</t>
  </si>
  <si>
    <t xml:space="preserve">Driver model</t>
  </si>
  <si>
    <t xml:space="preserve">2030 MW</t>
  </si>
  <si>
    <t xml:space="preserve">UPI (UPI +20%/yr)</t>
  </si>
  <si>
    <t xml:space="preserve">2.5 GW</t>
  </si>
  <si>
    <t xml:space="preserve">Traffic</t>
  </si>
  <si>
    <t xml:space="preserve">3.7 GW</t>
  </si>
  <si>
    <t xml:space="preserve">Cloud</t>
  </si>
  <si>
    <t xml:space="preserve">3.9–4.9 GW</t>
  </si>
  <si>
    <t xml:space="preserve">Mean</t>
  </si>
  <si>
    <t xml:space="preserve">about 3.7 GW</t>
  </si>
  <si>
    <t xml:space="preserve">R11-T27  Integrated base-case table 2026–2035</t>
  </si>
  <si>
    <t xml:space="preserve">Source: Report 11 (Part 11 research report) · 8. Integrated base-case table (2026–2035) [M]</t>
  </si>
  <si>
    <t xml:space="preserve">Used in atlas: Ch 11 integrated table and KPIs.</t>
  </si>
  <si>
    <t xml:space="preserve">Used to derive: Year-by-year base case.</t>
  </si>
  <si>
    <t xml:space="preserve">MW low / base / high</t>
  </si>
  <si>
    <t xml:space="preserve">% of India</t>
  </si>
  <si>
    <t xml:space="preserve">Water, national MLD</t>
  </si>
  <si>
    <t xml:space="preserve">Water, Mumbai / Chennai / Hyderabad MLD</t>
  </si>
  <si>
    <t xml:space="preserve">Cumulative capex ₹ lakh crore (US$ bn)</t>
  </si>
  <si>
    <t xml:space="preserve">₹ crore/MW (air / AI)</t>
  </si>
  <si>
    <t xml:space="preserve">₹/GPU-hr H100-class</t>
  </si>
  <si>
    <t xml:space="preserve">1,950 / 2,000 / 2,100</t>
  </si>
  <si>
    <t xml:space="preserve">14 / 3.5 / 2.0</t>
  </si>
  <si>
    <t xml:space="preserve">0.28 (3.1)</t>
  </si>
  <si>
    <t xml:space="preserve">59 / 89</t>
  </si>
  <si>
    <t xml:space="preserve">2,250 / 2,500 / 2,850</t>
  </si>
  <si>
    <t xml:space="preserve">16 / 4.0 / 3.0</t>
  </si>
  <si>
    <t xml:space="preserve">0.65 (7.3)</t>
  </si>
  <si>
    <t xml:space="preserve">60 / 91</t>
  </si>
  <si>
    <t xml:space="preserve">2,650 / 3,100 / 3,800</t>
  </si>
  <si>
    <t xml:space="preserve">19 / 4.4 / 4.3</t>
  </si>
  <si>
    <t xml:space="preserve">1.11 (12.5)</t>
  </si>
  <si>
    <t xml:space="preserve">62 / 92</t>
  </si>
  <si>
    <t xml:space="preserve">3,100 / 3,850 / 4,950</t>
  </si>
  <si>
    <t xml:space="preserve">21 / 4.8 / 5.7</t>
  </si>
  <si>
    <t xml:space="preserve">1.71 (19.2)</t>
  </si>
  <si>
    <t xml:space="preserve">63 / 94</t>
  </si>
  <si>
    <t xml:space="preserve">3,600 / 4,700 / 6,400</t>
  </si>
  <si>
    <t xml:space="preserve">23 / 5.2 / 7.1</t>
  </si>
  <si>
    <t xml:space="preserve">2.42 (27.2)</t>
  </si>
  <si>
    <t xml:space="preserve">64 / 96</t>
  </si>
  <si>
    <t xml:space="preserve">4,200 / 5,700 / 8,200</t>
  </si>
  <si>
    <t xml:space="preserve">24 / 6.0 / 7.6</t>
  </si>
  <si>
    <t xml:space="preserve">3.27 (36.7)</t>
  </si>
  <si>
    <t xml:space="preserve">65 / 98</t>
  </si>
  <si>
    <t xml:space="preserve">4,800 / 6,850 / 10,300</t>
  </si>
  <si>
    <t xml:space="preserve">25 / 6.8 / 8.1</t>
  </si>
  <si>
    <t xml:space="preserve">4.28 (48.1)</t>
  </si>
  <si>
    <t xml:space="preserve">67 / 100</t>
  </si>
  <si>
    <t xml:space="preserve">5,450 / 8,100 / 12,800</t>
  </si>
  <si>
    <t xml:space="preserve">25 / 7.4 / 8.5</t>
  </si>
  <si>
    <t xml:space="preserve">5.41 (60.8)</t>
  </si>
  <si>
    <t xml:space="preserve">68 / 102</t>
  </si>
  <si>
    <t xml:space="preserve">6,100 / 9,450 / 15,600</t>
  </si>
  <si>
    <t xml:space="preserve">26 / 7.8 / 8.9</t>
  </si>
  <si>
    <t xml:space="preserve">6.67 (75.0)</t>
  </si>
  <si>
    <t xml:space="preserve">70 / 104</t>
  </si>
  <si>
    <t xml:space="preserve">6,800 / 10,800 / 18,800</t>
  </si>
  <si>
    <t xml:space="preserve">26 / 8.2 / 9.2</t>
  </si>
  <si>
    <t xml:space="preserve">7.97 (89.6)</t>
  </si>
  <si>
    <t xml:space="preserve">72 / 107</t>
  </si>
  <si>
    <t xml:space="preserve">R11-T28  Calculator parameters and Monte Carlo distributions</t>
  </si>
  <si>
    <t xml:space="preserve">Source: Report 11 (Part 11 research report) · 9. Parameter table for the calculator, with Monte Carlo distributions</t>
  </si>
  <si>
    <t xml:space="preserve">Used in atlas: Ch 11 slider ranges and Monte Carlo band.</t>
  </si>
  <si>
    <t xml:space="preserve">Used to derive: Uncertainty range.</t>
  </si>
  <si>
    <t xml:space="preserve">Symbol</t>
  </si>
  <si>
    <t xml:space="preserve">Suggested distribution</t>
  </si>
  <si>
    <t xml:space="preserve">Starting capacity (end-2025)</t>
  </si>
  <si>
    <t xml:space="preserve">C₀</t>
  </si>
  <si>
    <t xml:space="preserve">Uniform</t>
  </si>
  <si>
    <t xml:space="preserve">R (MeitY / C&amp;W / CBRE)</t>
  </si>
  <si>
    <t xml:space="preserve">CAGR</t>
  </si>
  <si>
    <t xml:space="preserve">Triangular(0.15, 0.25, 0.33)</t>
  </si>
  <si>
    <t xml:space="preserve">M (fitted 0.279)</t>
  </si>
  <si>
    <t xml:space="preserve">Logistic ceiling</t>
  </si>
  <si>
    <t xml:space="preserve">Lognormal, median 25 GW, 90% CI 12–45 GW</t>
  </si>
  <si>
    <t xml:space="preserve">Logistic rate</t>
  </si>
  <si>
    <t xml:space="preserve">r</t>
  </si>
  <si>
    <t xml:space="preserve">Uniform(0.22, 0.32)</t>
  </si>
  <si>
    <t xml:space="preserve">Logistic midpoint</t>
  </si>
  <si>
    <t xml:space="preserve">Derived: t₀ = 2025 + ln(K/C₀ − 1)/r</t>
  </si>
  <si>
    <t xml:space="preserve">Conversion, under construction</t>
  </si>
  <si>
    <t xml:space="preserve">c_UC</t>
  </si>
  <si>
    <t xml:space="preserve">Beta(19, 1.5)</t>
  </si>
  <si>
    <t xml:space="preserve">Conversion, planned</t>
  </si>
  <si>
    <t xml:space="preserve">c_P</t>
  </si>
  <si>
    <t xml:space="preserve">Beta(6, 4)</t>
  </si>
  <si>
    <t xml:space="preserve">Conversion, MoU / announced</t>
  </si>
  <si>
    <t xml:space="preserve">c_A</t>
  </si>
  <si>
    <t xml:space="preserve">R (CEEW) / E</t>
  </si>
  <si>
    <t xml:space="preserve">Lag</t>
  </si>
  <si>
    <t xml:space="preserve">L (years)</t>
  </si>
  <si>
    <t xml:space="preserve">Discrete {2: 0.4, 3: 0.45, 4: 0.15}</t>
  </si>
  <si>
    <t xml:space="preserve">Forecast haircut (delivered/forecast)</t>
  </si>
  <si>
    <t xml:space="preserve">Triangular</t>
  </si>
  <si>
    <t xml:space="preserve">M (backtest)</t>
  </si>
  <si>
    <t xml:space="preserve">u(2026→2035)</t>
  </si>
  <si>
    <t xml:space="preserve">0.50→0.58</t>
  </si>
  <si>
    <t xml:space="preserve">0.55→0.65</t>
  </si>
  <si>
    <t xml:space="preserve">0.60→0.72</t>
  </si>
  <si>
    <t xml:space="preserve">Triangular on the 2030 value (0.52, 0.60, 0.68)</t>
  </si>
  <si>
    <t xml:space="preserve">PUE(2026→2035)</t>
  </si>
  <si>
    <t xml:space="preserve">1.52→1.42</t>
  </si>
  <si>
    <t xml:space="preserve">1.50→1.35</t>
  </si>
  <si>
    <t xml:space="preserve">1.50→1.30</t>
  </si>
  <si>
    <t xml:space="preserve">Triangular on 2030 (1.32, 1.42, 1.50)</t>
  </si>
  <si>
    <t xml:space="preserve">EF (2026 / 2030 / 2035)</t>
  </si>
  <si>
    <t xml:space="preserve">0.71 / 0.69 / 0.65</t>
  </si>
  <si>
    <t xml:space="preserve">0.70 / 0.62 / 0.535</t>
  </si>
  <si>
    <t xml:space="preserve">0.69 / 0.55 / 0.45</t>
  </si>
  <si>
    <t xml:space="preserve">Triangular on 2030 (0.55, 0.62, 0.69)</t>
  </si>
  <si>
    <t xml:space="preserve">R (CEA) / E</t>
  </si>
  <si>
    <t xml:space="preserve">c_clean (2026 / 2030 / 2035)</t>
  </si>
  <si>
    <t xml:space="preserve">0.25 / 0.32 / 0.40</t>
  </si>
  <si>
    <t xml:space="preserve">0.30 / 0.43 / 0.60</t>
  </si>
  <si>
    <t xml:space="preserve">0.35 / 0.60 / 0.85</t>
  </si>
  <si>
    <t xml:space="preserve">Triangular on 2030</t>
  </si>
  <si>
    <t xml:space="preserve">R (operators) / E</t>
  </si>
  <si>
    <t xml:space="preserve">Learning exponent</t>
  </si>
  <si>
    <t xml:space="preserve">Uniform(0.05, 0.15); LR = 1 − 2^(−b)</t>
  </si>
  <si>
    <t xml:space="preserve">Equipment inflation</t>
  </si>
  <si>
    <t xml:space="preserve">π</t>
  </si>
  <si>
    <t xml:space="preserve">R (T&amp;T 5.5–9%) / E</t>
  </si>
  <si>
    <t xml:space="preserve">Base build cost</t>
  </si>
  <si>
    <t xml:space="preserve">C₂₀₂₅ (₹ crore/MW)</t>
  </si>
  <si>
    <t xml:space="preserve">R (T&amp;T, C&amp;W)</t>
  </si>
  <si>
    <t xml:space="preserve">AI premium</t>
  </si>
  <si>
    <t xml:space="preserve">R (US) / E</t>
  </si>
  <si>
    <t xml:space="preserve">GPU price decline</t>
  </si>
  <si>
    <t xml:space="preserve">d (%/yr)</t>
  </si>
  <si>
    <t xml:space="preserve">10%</t>
  </si>
  <si>
    <t xml:space="preserve">20%</t>
  </si>
  <si>
    <t xml:space="preserve">Triangular(0.10, 0.20, 0.30)</t>
  </si>
  <si>
    <t xml:space="preserve">H100-class price, 2026</t>
  </si>
  <si>
    <t xml:space="preserve">P₀ (₹/hr)</t>
  </si>
  <si>
    <t xml:space="preserve">Bass innovation</t>
  </si>
  <si>
    <t xml:space="preserve">p</t>
  </si>
  <si>
    <t xml:space="preserve">E (Dell'Oro analogue)</t>
  </si>
  <si>
    <t xml:space="preserve">Bass imitation</t>
  </si>
  <si>
    <t xml:space="preserve">q</t>
  </si>
  <si>
    <t xml:space="preserve">Dry/liquid ceiling</t>
  </si>
  <si>
    <t xml:space="preserve">m</t>
  </si>
  <si>
    <t xml:space="preserve">WUE, evaporative</t>
  </si>
  <si>
    <t xml:space="preserve">WUE, adiabatic</t>
  </si>
  <si>
    <t xml:space="preserve">WUE, dry / liquid</t>
  </si>
  <si>
    <t xml:space="preserve">Allocation exponent</t>
  </si>
  <si>
    <t xml:space="preserve">k</t>
  </si>
  <si>
    <t xml:space="preserve">Incumbency weight</t>
  </si>
  <si>
    <t xml:space="preserve">α</t>
  </si>
  <si>
    <t xml:space="preserve">National demand growth</t>
  </si>
  <si>
    <t xml:space="preserve">g_grid</t>
  </si>
  <si>
    <t xml:space="preserve">6.41%</t>
  </si>
  <si>
    <t xml:space="preserve">7.3%</t>
  </si>
  <si>
    <t xml:space="preserve">R (CEA EPS; 7.35% FY21–25)</t>
  </si>
  <si>
    <t xml:space="preserve">FX rate</t>
  </si>
  <si>
    <t xml:space="preserve">₹/US$</t>
  </si>
  <si>
    <t xml:space="preserve">R12-T01  Water definitions and metrics</t>
  </si>
  <si>
    <t xml:space="preserve">Source: Report 12 (Part 12 research report) · 1. Direct (on-site) water › 1.1 Definitions and metrics</t>
  </si>
  <si>
    <t xml:space="preserve">Data basis: Source-derived, verified</t>
  </si>
  <si>
    <t xml:space="preserve">Used in atlas: Ch 12 definitions; Data register.</t>
  </si>
  <si>
    <t xml:space="preserve">Used to derive: Report withdrawal and consumption separately.</t>
  </si>
  <si>
    <t xml:space="preserve">Term</t>
  </si>
  <si>
    <t xml:space="preserve">Unit</t>
  </si>
  <si>
    <t xml:space="preserve">Water taken from any source (municipal, groundwater, tanker, STP-treated)</t>
  </si>
  <si>
    <t xml:space="preserve">kL, m³</t>
  </si>
  <si>
    <t xml:space="preserve">[Verified: LBNL24; WRI]</t>
  </si>
  <si>
    <t xml:space="preserve">Withdrawal minus discharge; mostly evaporation and drift</t>
  </si>
  <si>
    <t xml:space="preserve">kL</t>
  </si>
  <si>
    <t xml:space="preserve">[Verified: LBNL24 — "permanently removed from the immediate water cycle"]</t>
  </si>
  <si>
    <t xml:space="preserve">Blowdown, RO reject, sanitary sewage returned</t>
  </si>
  <si>
    <t xml:space="preserve">[Proxy: water-balance convention]</t>
  </si>
  <si>
    <t xml:space="preserve">WUE (site)</t>
  </si>
  <si>
    <t xml:space="preserve">Annual site water ÷ annual IT energy. Microsoft: "annual liters of water used for humidification and cooling" ÷ IT kWh</t>
  </si>
  <si>
    <t xml:space="preserve">L/kWh_IT</t>
  </si>
  <si>
    <t xml:space="preserve">[Verified: MSFT; LBNL24]</t>
  </si>
  <si>
    <t xml:space="preserve">WUE (source)</t>
  </si>
  <si>
    <t xml:space="preserve">Site WUE plus water used to generate the electricity consumed</t>
  </si>
  <si>
    <t xml:space="preserve">[Verified: LBNL24 — "source WUE accounts for the water required to generate the electricity"]</t>
  </si>
  <si>
    <t xml:space="preserve">Basis caveat</t>
  </si>
  <si>
    <t xml:space="preserve">NTT computes WUE as withdrawal ÷ IT energy; Microsoft's 0.30 is described as a "withdrawal WUE"</t>
  </si>
  <si>
    <t xml:space="preserve">[Verified: NTT; MSFT blog]</t>
  </si>
  <si>
    <t xml:space="preserve">International WUE standard (site and source categories)</t>
  </si>
  <si>
    <t xml:space="preserve">[Proxy: text not reviewed — obtain from ISO/BIS]</t>
  </si>
  <si>
    <t xml:space="preserve">EU EED reporting (Delegated Reg. 2024/1364)</t>
  </si>
  <si>
    <t xml:space="preserve">Sites ≥500 kW IT report total water input (W_IN, m³) and potable water input (W_IN-POT, m³); first returns due 15 Sep 2024, then 15 May 2025 and yearly</t>
  </si>
  <si>
    <t xml:space="preserve">m³</t>
  </si>
  <si>
    <t xml:space="preserve">[Verified: EU24]</t>
  </si>
  <si>
    <t xml:space="preserve">EU rating scheme (draft)</t>
  </si>
  <si>
    <t xml:space="preserve">A–G energy and water labels auto-generated from 15 Aug 2027; water grade from freshwater intake ÷ IT energy</t>
  </si>
  <si>
    <t xml:space="preserve">[Verified-secondary: EU24]</t>
  </si>
  <si>
    <t xml:space="preserve">R12-T02  Cooling-tower water components and physics</t>
  </si>
  <si>
    <t xml:space="preserve">Source: Report 12 (Part 12 research report) · 1. Direct (on-site) water › 1.2 Components and physics</t>
  </si>
  <si>
    <t xml:space="preserve">Used in atlas: Ch 12 "Inside a cooling tower" calculator.</t>
  </si>
  <si>
    <t xml:space="preserve">Used to derive: Tower WUE vs cycles of concentration.</t>
  </si>
  <si>
    <t xml:space="preserve">Formula / rule</t>
  </si>
  <si>
    <t xml:space="preserve">Typical</t>
  </si>
  <si>
    <t xml:space="preserve">Latent heat of vaporisation</t>
  </si>
  <si>
    <t xml:space="preserve">h_fg</t>
  </si>
  <si>
    <t xml:space="preserve">2,257 (100 °C)</t>
  </si>
  <si>
    <t xml:space="preserve">2,430 (30 °C)</t>
  </si>
  <si>
    <t xml:space="preserve">2,450 (20 °C)</t>
  </si>
  <si>
    <t xml:space="preserve">kJ/kg</t>
  </si>
  <si>
    <t xml:space="preserve">[Proxy: steam tables]</t>
  </si>
  <si>
    <t xml:space="preserve">Pure-evaporation water per kWh of heat</t>
  </si>
  <si>
    <t xml:space="preserve">3,600 ÷ h_fg</t>
  </si>
  <si>
    <t xml:space="preserve">L/kWh_th</t>
  </si>
  <si>
    <t xml:space="preserve">[Model]</t>
  </si>
  <si>
    <t xml:space="preserve">Latent share of tower heat rejection</t>
  </si>
  <si>
    <t xml:space="preserve">f_lat</t>
  </si>
  <si>
    <t xml:space="preserve">[Proxy: tower practice]</t>
  </si>
  <si>
    <t xml:space="preserve">E = Q_rej × f_lat × 3,600/h_fg</t>
  </si>
  <si>
    <t xml:space="preserve">Heat rejected per kWh IT (water-cooled chillers)</t>
  </si>
  <si>
    <t xml:space="preserve">1 + compressor + pump/fan heat</t>
  </si>
  <si>
    <t xml:space="preserve">kWh_th/kWh_IT</t>
  </si>
  <si>
    <t xml:space="preserve">[Proxy: chiller COP 5–7]</t>
  </si>
  <si>
    <t xml:space="preserve">B = E ÷ (CoC − 1)</t>
  </si>
  <si>
    <t xml:space="preserve">E/9 (CoC 10)</t>
  </si>
  <si>
    <t xml:space="preserve">E/3 (CoC 4)</t>
  </si>
  <si>
    <t xml:space="preserve">E/1 (CoC 2, hard water)</t>
  </si>
  <si>
    <t xml:space="preserve">0.001–0.005% of circulation (~86 L/kWh_th at ΔT 10 K)</t>
  </si>
  <si>
    <t xml:space="preserve">[Model: 3,600/(4.19×10)]</t>
  </si>
  <si>
    <t xml:space="preserve">M = E + B + D</t>
  </si>
  <si>
    <t xml:space="preserve">Tower-based WUE</t>
  </si>
  <si>
    <t xml:space="preserve">M × Q_rej/IT</t>
  </si>
  <si>
    <t xml:space="preserve">[Model]; NTT evaporative 1.42–2.93 [Verified: NTT]</t>
  </si>
  <si>
    <t xml:space="preserve">Humidification (air-cooled halls)</t>
  </si>
  <si>
    <t xml:space="preserve">[Proxy: LBNL24 "occasional humidification"]</t>
  </si>
  <si>
    <t xml:space="preserve">feed × (1 − recovery); recovery 65–80%</t>
  </si>
  <si>
    <t xml:space="preserve">L per L permeate</t>
  </si>
  <si>
    <t xml:space="preserve">[Proxy]</t>
  </si>
  <si>
    <t xml:space="preserve">Domestic/sanitary</t>
  </si>
  <si>
    <t xml:space="preserve">45 L/person/day × staff</t>
  </si>
  <si>
    <t xml:space="preserve">L/kWh_IT at &gt;10 MW</t>
  </si>
  <si>
    <t xml:space="preserve">[Proxy: NBC/CPHEEO norms]</t>
  </si>
  <si>
    <t xml:space="preserve">2–5 L/m²/day of green area</t>
  </si>
  <si>
    <t xml:space="preserve">[Proxy; use STP water]</t>
  </si>
  <si>
    <t xml:space="preserve">DG radiator cooling</t>
  </si>
  <si>
    <t xml:space="preserve">Closed loop</t>
  </si>
  <si>
    <t xml:space="preserve">Fire systems</t>
  </si>
  <si>
    <t xml:space="preserve">One-time fill plus tests; storage per NBC/TAC</t>
  </si>
  <si>
    <t xml:space="preserve">kL storage</t>
  </si>
  <si>
    <t xml:space="preserve">[Proxy: NBC Part 4]</t>
  </si>
  <si>
    <t xml:space="preserve">R12-T03  Published WUE and water values</t>
  </si>
  <si>
    <t xml:space="preserve">Source: Report 12 (Part 12 research report) · 1. Direct (on-site) water › 1.3 Published WUE and water values</t>
  </si>
  <si>
    <t xml:space="preserve">Used in atlas: Ch 12 power-vs-water chart (fleet dots); Data register verified figures.</t>
  </si>
  <si>
    <t xml:space="preserve">Used to derive: Benchmark WUE/PUE.</t>
  </si>
  <si>
    <t xml:space="preserve">Entity / scope</t>
  </si>
  <si>
    <t xml:space="preserve">US all data centres, average site WUE</t>
  </si>
  <si>
    <t xml:space="preserve">~0.36 L/kWh through 2023; 0.45–0.48 after 2023</t>
  </si>
  <si>
    <t xml:space="preserve">2023 / 2028</t>
  </si>
  <si>
    <t xml:space="preserve">[Verified: LBNL24]</t>
  </si>
  <si>
    <t xml:space="preserve">US direct water consumption</t>
  </si>
  <si>
    <t xml:space="preserve">66 billion L (2023); 21.2 billion L (2014); hyperscale 60–124 billion L in 2028</t>
  </si>
  <si>
    <t xml:space="preserve">US hyperscale aggregate median WUE</t>
  </si>
  <si>
    <t xml:space="preserve">0.32 L/kWh (0.40 if adiabatic runs at 0.2)</t>
  </si>
  <si>
    <t xml:space="preserve">Hyperscale adiabatic systems (self-reported)</t>
  </si>
  <si>
    <t xml:space="preserve">0.1–0.3 L/kWh</t>
  </si>
  <si>
    <t xml:space="preserve">Microsoft global WUE / PUE</t>
  </si>
  <si>
    <t xml:space="preserve">0.30 / 1.16 (FY24); 0.27 / 1.17 (FY25)</t>
  </si>
  <si>
    <t xml:space="preserve">FY24–25</t>
  </si>
  <si>
    <t xml:space="preserve">[Verified: MSFT]</t>
  </si>
  <si>
    <t xml:space="preserve">Microsoft Asia-Pacific WUE / PUE</t>
  </si>
  <si>
    <t xml:space="preserve">0.03 / 1.25 (FY24); 0.25 / 1.28 (FY25)</t>
  </si>
  <si>
    <t xml:space="preserve">Microsoft zero-water-for-cooling design</t>
  </si>
  <si>
    <t xml:space="preserve">Avoids &gt;125 million L/yr per datacenter</t>
  </si>
  <si>
    <t xml:space="preserve">from Aug 2024</t>
  </si>
  <si>
    <t xml:space="preserve">[Verified: MSFT blog]</t>
  </si>
  <si>
    <t xml:space="preserve">Microsoft India sites</t>
  </si>
  <si>
    <t xml:space="preserve">On-site WUE 0.000 L/kWh (dry cooling) in Li et al.'s table</t>
  </si>
  <si>
    <t xml:space="preserve">[Verified: LI]</t>
  </si>
  <si>
    <t xml:space="preserve">Google fleet PUE</t>
  </si>
  <si>
    <t xml:space="preserve">1.09 (2025)</t>
  </si>
  <si>
    <t xml:space="preserve">[Verified: GOOG25]</t>
  </si>
  <si>
    <t xml:space="preserve">Google WUE used in Gemini analysis</t>
  </si>
  <si>
    <t xml:space="preserve">1.15 L/kWh (fleet)</t>
  </si>
  <si>
    <t xml:space="preserve">[Verified-secondary: MDPI reconstruction of GOOG25]</t>
  </si>
  <si>
    <t xml:space="preserve">NTT DATA WUE, whole portfolio</t>
  </si>
  <si>
    <t xml:space="preserve">1.01 / 0.65 / 0.72 L/kWh</t>
  </si>
  <si>
    <t xml:space="preserve">FY22 / 23 / 24</t>
  </si>
  <si>
    <t xml:space="preserve">[Verified: NTT]</t>
  </si>
  <si>
    <t xml:space="preserve">NTT DATA WUE, evaporative sites</t>
  </si>
  <si>
    <t xml:space="preserve">2.93 / 2.77 / 1.42 L/kWh</t>
  </si>
  <si>
    <t xml:space="preserve">NTT DATA PUE</t>
  </si>
  <si>
    <t xml:space="preserve">1.40 / 1.38 / 1.38</t>
  </si>
  <si>
    <t xml:space="preserve">Equinix global / evaporative sites WUE</t>
  </si>
  <si>
    <t xml:space="preserve">0.91 / 1.41 L/kWh</t>
  </si>
  <si>
    <t xml:space="preserve">[Verified-secondary: Equinix 2025 report via Wikipedia]</t>
  </si>
  <si>
    <t xml:space="preserve">CtrlS total water</t>
  </si>
  <si>
    <t xml:space="preserve">409,037 kL (2023-24) vs 468,330 kL (2022-23); no WUE</t>
  </si>
  <si>
    <t xml:space="preserve">[Verified: DTE]</t>
  </si>
  <si>
    <t xml:space="preserve">Nxtra, CtrlS</t>
  </si>
  <si>
    <t xml:space="preserve">No published WUE</t>
  </si>
  <si>
    <t xml:space="preserve">Claims "extremely low WUE", no number</t>
  </si>
  <si>
    <t xml:space="preserve">India sector</t>
  </si>
  <si>
    <t xml:space="preserve">DCs ≈ 0.5% of national electricity (2025); ~271 DCs (Jan 2026); a 100 MW hyperscale "can take ~2 million litres of water per day"</t>
  </si>
  <si>
    <t xml:space="preserve">2025–26</t>
  </si>
  <si>
    <t xml:space="preserve">[Verified: CEEW]</t>
  </si>
  <si>
    <t xml:space="preserve">India sector share of water</t>
  </si>
  <si>
    <t xml:space="preserve">~0.02–0.03% of national water demand</t>
  </si>
  <si>
    <t xml:space="preserve">[Verified-secondary: CEEW author in Scroll]</t>
  </si>
  <si>
    <t xml:space="preserve">India siting</t>
  </si>
  <si>
    <t xml:space="preserve">~75% of DCs in water-stressed regions; ~25 million L per MW per year</t>
  </si>
  <si>
    <t xml:space="preserve">[Verified-secondary: DTE Apr 2026 via Substack]</t>
  </si>
  <si>
    <t xml:space="preserve">R12-T04  Water per AI query</t>
  </si>
  <si>
    <t xml:space="preserve">Source: Report 12 (Part 12 research report) · 1. Direct (on-site) water › 1.4 Water per AI query</t>
  </si>
  <si>
    <t xml:space="preserve">Used in atlas: Ch 12 "Water behind one AI prompt" chart.</t>
  </si>
  <si>
    <t xml:space="preserve">Used to derive: Per-prompt water with grid water.</t>
  </si>
  <si>
    <t xml:space="preserve">Google Gemini median text prompt (May 2025)</t>
  </si>
  <si>
    <t xml:space="preserve">0.24 Wh</t>
  </si>
  <si>
    <t xml:space="preserve">0.26 mL (0.15 mL narrow method); 0.03 gCO₂e</t>
  </si>
  <si>
    <t xml:space="preserve">On-site only</t>
  </si>
  <si>
    <t xml:space="preserve">OpenAI average ChatGPT query (Altman, Jun 2025)</t>
  </si>
  <si>
    <t xml:space="preserve">0.34 Wh</t>
  </si>
  <si>
    <t xml:space="preserve">~0.32 mL</t>
  </si>
  <si>
    <t xml:space="preserve">Undisclosed method</t>
  </si>
  <si>
    <t xml:space="preserve">[Verified-secondary: Towards Data Science]</t>
  </si>
  <si>
    <t xml:space="preserve">Li et al., GPT-3 medium request, India</t>
  </si>
  <si>
    <t xml:space="preserve">19.7 mL (0 on-site + 19.7 off-site); 25.4 requests per 500 mL; PUE 1.430, EWIF 3.445 L/kWh</t>
  </si>
  <si>
    <t xml:space="preserve">On-site + grid</t>
  </si>
  <si>
    <t xml:space="preserve">Gemini-like prompt, dry-cooled Indian DC</t>
  </si>
  <si>
    <t xml:space="preserve">0.24×10⁻³ kWh × (0.03 + 3.0) = 0.73 mL</t>
  </si>
  <si>
    <t xml:space="preserve">Same, evaporative Indian DC</t>
  </si>
  <si>
    <t xml:space="preserve">0.24×10⁻³ × (2.0 + 3.0) = 1.2 mL</t>
  </si>
  <si>
    <t xml:space="preserve">R12-T05  Water intensity of electricity generation</t>
  </si>
  <si>
    <t xml:space="preserve">Source: Report 12 (Part 12 research report) · 2. Indirect (off-site) water › 2.1 Water intensity of generation</t>
  </si>
  <si>
    <t xml:space="preserve">Used in atlas: Ch 12 "Where grid water comes from" chart.</t>
  </si>
  <si>
    <t xml:space="preserve">Used to derive: Water intensity by generation source.</t>
  </si>
  <si>
    <t xml:space="preserve">Technology</t>
  </si>
  <si>
    <t xml:space="preserve">Indian coal, once-through (legacy)</t>
  </si>
  <si>
    <t xml:space="preserve">small</t>
  </si>
  <si>
    <t xml:space="preserve">70–200 m³/MWh (CSE); 80–160 m³/MWh</t>
  </si>
  <si>
    <t xml:space="preserve">[Verified: PowerLine/CSE; SD23]</t>
  </si>
  <si>
    <t xml:space="preserve">Indian coal, closed-loop towers (actual)</t>
  </si>
  <si>
    <t xml:space="preserve">2.8–3.4 m³/MWh, about twice the world average of 1.2–1.5</t>
  </si>
  <si>
    <t xml:space="preserve">~4 m³/MWh average (CSE)</t>
  </si>
  <si>
    <t xml:space="preserve">[Verified: SD23; PowerLine/CSE]</t>
  </si>
  <si>
    <t xml:space="preserve">MoEFCC norm, existing CT plants</t>
  </si>
  <si>
    <t xml:space="preserve">≤3.5 m³/MWh (by 7 Dec 2017)</t>
  </si>
  <si>
    <t xml:space="preserve">[Verified: MOEF15]</t>
  </si>
  <si>
    <t xml:space="preserve">MoEFCC norm, plants after 1 Jan 2017</t>
  </si>
  <si>
    <t xml:space="preserve">2.5 m³/MWh with ZLD (2015), relaxed to 3.0 m³/MWh in June 2018</t>
  </si>
  <si>
    <t xml:space="preserve">[Verified: MOEF15 amendments]</t>
  </si>
  <si>
    <t xml:space="preserve">FGD additional consumption</t>
  </si>
  <si>
    <t xml:space="preserve">~0.3 m³/MWh</t>
  </si>
  <si>
    <t xml:space="preserve">[Verified: PowerLine/CSE]</t>
  </si>
  <si>
    <t xml:space="preserve">Coal with air-cooled condenser</t>
  </si>
  <si>
    <t xml:space="preserve">0.45–0.65 m³/MWh</t>
  </si>
  <si>
    <t xml:space="preserve">[Verified: SD23]</t>
  </si>
  <si>
    <t xml:space="preserve">Nuclear with towers (US median)</t>
  </si>
  <si>
    <t xml:space="preserve">672 gal/MWh = 2.54 L/kWh</t>
  </si>
  <si>
    <t xml:space="preserve">higher than coal</t>
  </si>
  <si>
    <t xml:space="preserve">[Verified: NREL]</t>
  </si>
  <si>
    <t xml:space="preserve">Tower-cooled thermal, upper bound</t>
  </si>
  <si>
    <t xml:space="preserve">~1,000 gal/MWh ≈ 3.8 L/kWh</t>
  </si>
  <si>
    <t xml:space="preserve">Gas CCGT with tower</t>
  </si>
  <si>
    <t xml:space="preserve">~0.7–0.8 L/kWh</t>
  </si>
  <si>
    <t xml:space="preserve">~1 L/kWh</t>
  </si>
  <si>
    <t xml:space="preserve">[Proxy: NREL medians via secondary sources]</t>
  </si>
  <si>
    <t xml:space="preserve">Hydro, reservoir evaporation (contested)</t>
  </si>
  <si>
    <t xml:space="preserve">~17 L/kWh gross; NREL excludes hydro "due to the wide range of estimates"</t>
  </si>
  <si>
    <t xml:space="preserve">[Verified-secondary: NREL caption + citing literature]</t>
  </si>
  <si>
    <t xml:space="preserve">Solar PV (cleaning)</t>
  </si>
  <si>
    <t xml:space="preserve">&lt;0.19 L/kWh; Indian dry robots lower</t>
  </si>
  <si>
    <t xml:space="preserve">[Verified-secondary: NREL-derived]</t>
  </si>
  <si>
    <t xml:space="preserve">Coastal seawater once-through plants</t>
  </si>
  <si>
    <t xml:space="preserve">Freshwater ≈ 0</t>
  </si>
  <si>
    <t xml:space="preserve">Seawater 70–200 L/kWh</t>
  </si>
  <si>
    <t xml:space="preserve">[Proxy: per plant]</t>
  </si>
  <si>
    <t xml:space="preserve">R12-T06  Indian grid-average water intensity, FY25</t>
  </si>
  <si>
    <t xml:space="preserve">Source: Report 12 (Part 12 research report) · 2. Indirect (off-site) water › 2.2 Indian grid-average water intensity</t>
  </si>
  <si>
    <t xml:space="preserve">Note: Generation base for FY2024-25: total 1,824 BU, thermal 1,363 BU (74.7%) [Verified: CREA], and RE 403.64 BU (22.13%, which appears to include large hydro) [Verified: MNRE25]. Nuclear is the residual, about 3%; large hydro about 8% [Proxy: residual allocation].</t>
  </si>
  <si>
    <t xml:space="preserve">Used in atlas: Ch 12 grid-water chart and calculator default (3.0 L/kWh).</t>
  </si>
  <si>
    <t xml:space="preserve">Used to derive: Indian grid water intensity.</t>
  </si>
  <si>
    <t xml:space="preserve">Consumption intensity (L/kWh)</t>
  </si>
  <si>
    <t xml:space="preserve">Contribution (L/kWh generated)</t>
  </si>
  <si>
    <t xml:space="preserve">Coal and lignite</t>
  </si>
  <si>
    <t xml:space="preserve">73%</t>
  </si>
  <si>
    <t xml:space="preserve">3.0 (2.8–3.4)</t>
  </si>
  <si>
    <t xml:space="preserve">Gas</t>
  </si>
  <si>
    <t xml:space="preserve">3%</t>
  </si>
  <si>
    <t xml:space="preserve">Solar, wind, bio</t>
  </si>
  <si>
    <t xml:space="preserve">14%</t>
  </si>
  <si>
    <t xml:space="preserve">Large hydro</t>
  </si>
  <si>
    <t xml:space="preserve">8%</t>
  </si>
  <si>
    <t xml:space="preserve">0 (operational) – 17 (gross evaporation)</t>
  </si>
  <si>
    <t xml:space="preserve">0 – 1.36</t>
  </si>
  <si>
    <t xml:space="preserve">Total at busbar</t>
  </si>
  <si>
    <t xml:space="preserve">2.29 – 3.65</t>
  </si>
  <si>
    <t xml:space="preserve">At consumer meter (÷ (1 − 17% losses) [Proxy])</t>
  </si>
  <si>
    <t xml:space="preserve">2.76 – 4.40</t>
  </si>
  <si>
    <t xml:space="preserve">R12-T07  State grid water proxies</t>
  </si>
  <si>
    <t xml:space="preserve">Note: State proxies (replace with SLDC/CEA mix and plant water data):</t>
  </si>
  <si>
    <t xml:space="preserve">Used in atlas: Ch 12 state ranges chart and calculator grid options.</t>
  </si>
  <si>
    <t xml:space="preserve">Used to derive: State grid water.</t>
  </si>
  <si>
    <t xml:space="preserve">Grid water proxy (L/kWh delivered)</t>
  </si>
  <si>
    <t xml:space="preserve">1.5–2.2</t>
  </si>
  <si>
    <t xml:space="preserve">RE was 48.10% of state generation in 2024-25</t>
  </si>
  <si>
    <t xml:space="preserve">[Verified: MNRE25 share]; [Proxy: intensity]</t>
  </si>
  <si>
    <t xml:space="preserve">1.8–2.6</t>
  </si>
  <si>
    <t xml:space="preserve">High wind/solar; seawater-cooled coastal plants</t>
  </si>
  <si>
    <t xml:space="preserve">2.0–3.0</t>
  </si>
  <si>
    <t xml:space="preserve">Coastal seawater plus inland coal</t>
  </si>
  <si>
    <t xml:space="preserve">2.8–3.4</t>
  </si>
  <si>
    <t xml:space="preserve">Coal-heavy MSEDCL portfolio</t>
  </si>
  <si>
    <t xml:space="preserve">Coal-heavy</t>
  </si>
  <si>
    <t xml:space="preserve">3.0–3.6</t>
  </si>
  <si>
    <t xml:space="preserve">Coal-heavy, inland freshwater</t>
  </si>
  <si>
    <t xml:space="preserve">R12-T08  Source WUE by case</t>
  </si>
  <si>
    <t xml:space="preserve">Source: Report 12 (Part 12 research report) · 2. Indirect (off-site) water › 2.3 Source WUE formula</t>
  </si>
  <si>
    <t xml:space="preserve">Note: Contracted mix: EWIF_eff = Σ (share_i × EWIF_i); RE-RTC (solar + wind + BESS) ≈ 0.05–0.15 L/kWh [Proxy: NREL]</t>
  </si>
  <si>
    <t xml:space="preserve">Used in atlas: Ch 12 source WUE in power-vs-water view.</t>
  </si>
  <si>
    <t xml:space="preserve">Used to derive: Total water per kWh of IT.</t>
  </si>
  <si>
    <t xml:space="preserve">WUE_site</t>
  </si>
  <si>
    <t xml:space="preserve">EWIF</t>
  </si>
  <si>
    <t xml:space="preserve">Source WUE</t>
  </si>
  <si>
    <t xml:space="preserve">Mumbai evaporative colo, grid</t>
  </si>
  <si>
    <t xml:space="preserve">Hyderabad adiabatic hyperscale, grid</t>
  </si>
  <si>
    <t xml:space="preserve">Bengaluru DLC dry-cooled AI, grid</t>
  </si>
  <si>
    <t xml:space="preserve">Same, 90% RE-RTC (0.1) + 10% grid (1.8) → EWIF 0.27</t>
  </si>
  <si>
    <t xml:space="preserve">R12-T09  Embedded water (scope 3)</t>
  </si>
  <si>
    <t xml:space="preserve">Source: Report 12 (Part 12 research report) · 2. Indirect (off-site) water › 2.4 Embedded water (scope 3), order of magnitude</t>
  </si>
  <si>
    <t xml:space="preserve">Used in atlas: Reference only (scope 3 water).</t>
  </si>
  <si>
    <t xml:space="preserve">Used to derive: Embedded water share.</t>
  </si>
  <si>
    <t xml:space="preserve">Global DC water 2023 (IEA): 560 billion L = 373 indirect + 140 direct + 47 hardware manufacturing</t>
  </si>
  <si>
    <t xml:space="preserve">[Verified-secondary: IEA via gpusmith]</t>
  </si>
  <si>
    <t xml:space="preserve">Hardware manufacturing share</t>
  </si>
  <si>
    <t xml:space="preserve">~8%</t>
  </si>
  <si>
    <t xml:space="preserve">[Model: 47/560]</t>
  </si>
  <si>
    <t xml:space="preserve">Concrete for a 100 MW campus</t>
  </si>
  <si>
    <t xml:space="preserve">~100,000–200,000 m³ × ~150–200 L/m³ ≈ 15–40 ML, one-time</t>
  </si>
  <si>
    <t xml:space="preserve">[Proxy: construction norms]</t>
  </si>
  <si>
    <t xml:space="preserve">Embedded water ≈ 1–3 years of a dry-cooled site's direct water, but under 5% of its grid water</t>
  </si>
  <si>
    <t xml:space="preserve">R12-T10  Water and energy by cooling technology (India)</t>
  </si>
  <si>
    <t xml:space="preserve">Source: Report 12 (Part 12 research report) · 3. Water by cooling technology</t>
  </si>
  <si>
    <t xml:space="preserve">Note: Annual averages for Indian climates [Proxy: engineering ranges cross-checked against LBNL24's ranking and operator data where noted].</t>
  </si>
  <si>
    <t xml:space="preserve">Used in atlas: Ch 12 power-vs-water boxes; calculator design defaults.</t>
  </si>
  <si>
    <t xml:space="preserve">Used to derive: PUE and WUE ranges per technology.</t>
  </si>
  <si>
    <t xml:space="preserve">WUE site (L/kWh_IT)</t>
  </si>
  <si>
    <t xml:space="preserve">Annual PUE (India)</t>
  </si>
  <si>
    <t xml:space="preserve">Energy penalty</t>
  </si>
  <si>
    <t xml:space="preserve">Climate driver</t>
  </si>
  <si>
    <t xml:space="preserve">Maturity</t>
  </si>
  <si>
    <t xml:space="preserve">Water-cooled chillers + open towers</t>
  </si>
  <si>
    <t xml:space="preserve">1.5–2.5 (to 3.5 at low CoC)</t>
  </si>
  <si>
    <t xml:space="preserve">1.35–1.60</t>
  </si>
  <si>
    <t xml:space="preserve">baseline</t>
  </si>
  <si>
    <t xml:space="preserve">Wet-bulb (coastal design WB ~28–29 °C)</t>
  </si>
  <si>
    <t xml:space="preserve">Mature; highest WUE per LBNL24</t>
  </si>
  <si>
    <t xml:space="preserve">Waterside economiser + towers (liquid IT)</t>
  </si>
  <si>
    <t xml:space="preserve">1.0–2.0</t>
  </si>
  <si>
    <t xml:space="preserve">lower</t>
  </si>
  <si>
    <t xml:space="preserve">Wet-bulb</t>
  </si>
  <si>
    <t xml:space="preserve">+0–10%</t>
  </si>
  <si>
    <t xml:space="preserve">Mature; LBNL: "consumes substantial amounts of water"</t>
  </si>
  <si>
    <t xml:space="preserve">Air-cooled chillers</t>
  </si>
  <si>
    <t xml:space="preserve">~0–0.05</t>
  </si>
  <si>
    <t xml:space="preserve">1.45–1.75</t>
  </si>
  <si>
    <t xml:space="preserve">+8–15%</t>
  </si>
  <si>
    <t xml:space="preserve">Dry-bulb; 45 °C+ Delhi peaks derate</t>
  </si>
  <si>
    <t xml:space="preserve">−5 to −10%</t>
  </si>
  <si>
    <t xml:space="preserve">Mature; LBNL: "use no water, they use more energy"</t>
  </si>
  <si>
    <t xml:space="preserve">Dry coolers (no adiabatic) + chiller trim</t>
  </si>
  <si>
    <t xml:space="preserve">1.30–1.55 air IT; 1.10–1.25 liquid IT</t>
  </si>
  <si>
    <t xml:space="preserve">+ air IT; ~0 W32–W45</t>
  </si>
  <si>
    <t xml:space="preserve">Dry-bulb</t>
  </si>
  <si>
    <t xml:space="preserve">+5–15%</t>
  </si>
  <si>
    <t xml:space="preserve">Adiabatic / hybrid dry coolers</t>
  </si>
  <si>
    <t xml:space="preserve">0.2–0.8</t>
  </si>
  <si>
    <t xml:space="preserve">1.20–1.40</t>
  </si>
  <si>
    <t xml:space="preserve">Wet mode above ~26–30 °C dry-bulb</t>
  </si>
  <si>
    <t xml:space="preserve">+10–20%</t>
  </si>
  <si>
    <t xml:space="preserve">Direct evaporative (air-side)</t>
  </si>
  <si>
    <t xml:space="preserve">0.3–1.2</t>
  </si>
  <si>
    <t xml:space="preserve">1.10–1.25</t>
  </si>
  <si>
    <t xml:space="preserve">low</t>
  </si>
  <si>
    <t xml:space="preserve">Needs low WB and clean air</t>
  </si>
  <si>
    <t xml:space="preserve">Limited Indian fit</t>
  </si>
  <si>
    <t xml:space="preserve">Indirect evaporative (IEC)</t>
  </si>
  <si>
    <t xml:space="preserve">0.3–1.0</t>
  </si>
  <si>
    <t xml:space="preserve">1.15–1.30</t>
  </si>
  <si>
    <t xml:space="preserve">WB; no outside air in hall</t>
  </si>
  <si>
    <t xml:space="preserve">+15–30%</t>
  </si>
  <si>
    <t xml:space="preserve">Rear-door heat exchangers</t>
  </si>
  <si>
    <t xml:space="preserve">per heat-rejection plant</t>
  </si>
  <si>
    <t xml:space="preserve">Facility water temperature</t>
  </si>
  <si>
    <t xml:space="preserve">+per rack</t>
  </si>
  <si>
    <t xml:space="preserve">Mature to 40–70 kW/rack</t>
  </si>
  <si>
    <t xml:space="preserve">Direct-to-chip single-phase + dry coolers</t>
  </si>
  <si>
    <t xml:space="preserve">0–0.05</t>
  </si>
  <si>
    <t xml:space="preserve">Dry-bulb vs W32–W45</t>
  </si>
  <si>
    <t xml:space="preserve">Mainstream for GB200 (NVL72 ~120 kW/rack) [Verified: NVDA]</t>
  </si>
  <si>
    <t xml:space="preserve">Direct-to-chip two-phase</t>
  </si>
  <si>
    <t xml:space="preserve">1.08–1.20</t>
  </si>
  <si>
    <t xml:space="preserve">Higher</t>
  </si>
  <si>
    <t xml:space="preserve">Immersion single-phase</t>
  </si>
  <si>
    <t xml:space="preserve">1.05–1.15</t>
  </si>
  <si>
    <t xml:space="preserve">lowest fans</t>
  </si>
  <si>
    <t xml:space="preserve">+20–40%</t>
  </si>
  <si>
    <t xml:space="preserve">Growing</t>
  </si>
  <si>
    <t xml:space="preserve">Immersion two-phase</t>
  </si>
  <si>
    <t xml:space="preserve">1.03–1.10</t>
  </si>
  <si>
    <t xml:space="preserve">lowest</t>
  </si>
  <si>
    <t xml:space="preserve">Highest; fluorocarbon risk</t>
  </si>
  <si>
    <t xml:space="preserve">Niche</t>
  </si>
  <si>
    <t xml:space="preserve">Seawater / lake once-through</t>
  </si>
  <si>
    <t xml:space="preserve">Sea 27–31 °C off India</t>
  </si>
  <si>
    <t xml:space="preserve">High (CRZ, intake/outfall)</t>
  </si>
  <si>
    <t xml:space="preserve">CEEW: coastal hyperscalers "leverage seawater cooling" [Verified: CEEW]</t>
  </si>
  <si>
    <t xml:space="preserve">Air-side economiser (free cooling)</t>
  </si>
  <si>
    <t xml:space="preserve">1.15–1.30 in Bengaluru/Pune winters</t>
  </si>
  <si>
    <t xml:space="preserve">Dry-bulb below ~24–27 °C</t>
  </si>
  <si>
    <t xml:space="preserve">Limited hours</t>
  </si>
  <si>
    <t xml:space="preserve">R12-T11  Wet-mode hours and design wet-bulb by city</t>
  </si>
  <si>
    <t xml:space="preserve">Note: Hours of adiabatic/IEC wet mode per year (above ~28 °C dry-bulb) [Proxy: climatology; replace with ISHRAE TMY]:</t>
  </si>
  <si>
    <t xml:space="preserve">Used in atlas: Ch 12 wet-hours chart; checked by the 8,760-hour model.</t>
  </si>
  <si>
    <t xml:space="preserve">Used to derive: Adiabatic water by city.</t>
  </si>
  <si>
    <t xml:space="preserve">Wet-mode hours/yr</t>
  </si>
  <si>
    <t xml:space="preserve">Tower design WB (0.4%)</t>
  </si>
  <si>
    <t xml:space="preserve">1,000–1,800</t>
  </si>
  <si>
    <t xml:space="preserve">~23–24 °C</t>
  </si>
  <si>
    <t xml:space="preserve">Best Indian climate for dry/adiabatic</t>
  </si>
  <si>
    <t xml:space="preserve">1,800–2,800</t>
  </si>
  <si>
    <t xml:space="preserve">~24–25 °C</t>
  </si>
  <si>
    <t xml:space="preserve">Good</t>
  </si>
  <si>
    <t xml:space="preserve">3,000–4,000</t>
  </si>
  <si>
    <t xml:space="preserve">~25–26 °C</t>
  </si>
  <si>
    <t xml:space="preserve">Dry heat suits adiabatic; spiky April–May</t>
  </si>
  <si>
    <t xml:space="preserve">3,000–3,800</t>
  </si>
  <si>
    <t xml:space="preserve">~28 °C</t>
  </si>
  <si>
    <t xml:space="preserve">45 °C+ peaks; humid monsoon</t>
  </si>
  <si>
    <t xml:space="preserve">3,500–5,000</t>
  </si>
  <si>
    <t xml:space="preserve">Humidity cuts adiabatic gain</t>
  </si>
  <si>
    <t xml:space="preserve">5,000–6,500</t>
  </si>
  <si>
    <t xml:space="preserve">~28–29 °C</t>
  </si>
  <si>
    <t xml:space="preserve">STP/seawater key</t>
  </si>
  <si>
    <t xml:space="preserve">3,500–4,500</t>
  </si>
  <si>
    <t xml:space="preserve">~29 °C</t>
  </si>
  <si>
    <t xml:space="preserve">Hot-humid</t>
  </si>
  <si>
    <t xml:space="preserve">4,500–6,000</t>
  </si>
  <si>
    <t xml:space="preserve">Seawater option</t>
  </si>
  <si>
    <t xml:space="preserve">R12-T12  Peak water factors</t>
  </si>
  <si>
    <t xml:space="preserve">Source: Report 12 (Part 12 research report) · 4. Peak water demand › 4.1 Peak factors (calculator inputs)</t>
  </si>
  <si>
    <t xml:space="preserve">Used in atlas: Ch 12 "Peaks size the pipes" chart; calculator peak factors.</t>
  </si>
  <si>
    <t xml:space="preserve">Used to derive: Peak-day and peak-hour water.</t>
  </si>
  <si>
    <t xml:space="preserve">Peak-month / avg</t>
  </si>
  <si>
    <t xml:space="preserve">Peak-day / avg</t>
  </si>
  <si>
    <t xml:space="preserve">Peak-hour / avg hour</t>
  </si>
  <si>
    <t xml:space="preserve">Peak season</t>
  </si>
  <si>
    <t xml:space="preserve">Towers, Mumbai/Chennai</t>
  </si>
  <si>
    <t xml:space="preserve">1.3–1.6</t>
  </si>
  <si>
    <t xml:space="preserve">1.5–1.9</t>
  </si>
  <si>
    <t xml:space="preserve">Apr–May; Oct</t>
  </si>
  <si>
    <t xml:space="preserve">[Model: Example A]</t>
  </si>
  <si>
    <t xml:space="preserve">Adiabatic/hybrid, Hyderabad/Delhi</t>
  </si>
  <si>
    <t xml:space="preserve">1.8–2.5</t>
  </si>
  <si>
    <t xml:space="preserve">2.0–2.5</t>
  </si>
  <si>
    <t xml:space="preserve">3.5–5.0</t>
  </si>
  <si>
    <t xml:space="preserve">Apr–Jun</t>
  </si>
  <si>
    <t xml:space="preserve">[Model: Example B]</t>
  </si>
  <si>
    <t xml:space="preserve">Adiabatic, monsoon months</t>
  </si>
  <si>
    <t xml:space="preserve">0.3–0.6</t>
  </si>
  <si>
    <t xml:space="preserve">Jul–Sep</t>
  </si>
  <si>
    <t xml:space="preserve">Dry/DLC (domestic only)</t>
  </si>
  <si>
    <t xml:space="preserve">1.0–1.1</t>
  </si>
  <si>
    <t xml:space="preserve">1.1–1.3</t>
  </si>
  <si>
    <t xml:space="preserve">2–3</t>
  </si>
  <si>
    <t xml:space="preserve">R12-T13  IT load profile archetypes</t>
  </si>
  <si>
    <t xml:space="preserve">Source: Report 12 (Part 12 research report) · 5. Hourly water and electricity profiles › 5.1 IT load profile archetypes</t>
  </si>
  <si>
    <t xml:space="preserve">Used in atlas: Ch 12 utilisation assumptions.</t>
  </si>
  <si>
    <t xml:space="preserve">Used to derive: Average IT load by archetype.</t>
  </si>
  <si>
    <t xml:space="preserve">Archetype</t>
  </si>
  <si>
    <t xml:space="preserve">Avg / design IT</t>
  </si>
  <si>
    <t xml:space="preserve">Diurnal swing</t>
  </si>
  <si>
    <t xml:space="preserve">Sub-minute behaviour</t>
  </si>
  <si>
    <t xml:space="preserve">Enterprise/colo</t>
  </si>
  <si>
    <t xml:space="preserve">60–80% (lease fill); colo server utilisation 21% (2014) → 35% (2027)</t>
  </si>
  <si>
    <t xml:space="preserve">±3–8%</t>
  </si>
  <si>
    <t xml:space="preserve">Smooth</t>
  </si>
  <si>
    <t xml:space="preserve">[Verified: LBNL24]; [Proxy: fill]</t>
  </si>
  <si>
    <t xml:space="preserve">Hyperscale cloud</t>
  </si>
  <si>
    <t xml:space="preserve">70–85%; utilisation 45% → 50%</t>
  </si>
  <si>
    <t xml:space="preserve">±5–10%</t>
  </si>
  <si>
    <t xml:space="preserve">[Verified: LBNL24]; [Proxy]</t>
  </si>
  <si>
    <t xml:space="preserve">AI training</t>
  </si>
  <si>
    <t xml:space="preserve">80% operational time at ~70% of rated; saturated 8×H100 node 7.9 kW (~78%)</t>
  </si>
  <si>
    <t xml:space="preserve">Flat</t>
  </si>
  <si>
    <t xml:space="preserve">"Square-wave" drops at synchronisation</t>
  </si>
  <si>
    <t xml:space="preserve">AI inference</t>
  </si>
  <si>
    <t xml:space="preserve">40% operational time; power half of training</t>
  </si>
  <si>
    <t xml:space="preserve">Diurnal</t>
  </si>
  <si>
    <t xml:space="preserve">Bursty</t>
  </si>
  <si>
    <t xml:space="preserve">Idle floor</t>
  </si>
  <si>
    <t xml:space="preserve">AI ~20% of rated; conventional 36% of max (2023) → 27% (2028)</t>
  </si>
  <si>
    <t xml:space="preserve">R12-T14  Hot-day hourly profile: 50 MW Hyderabad, adiabatic</t>
  </si>
  <si>
    <t xml:space="preserve">Source: Report 12 (Part 12 research report) · 5. Hourly water and electricity profiles › 5.3 Hot-day profile: 50 MW hyperscale, Hyderabad, adiabatic (Example B), May design day</t>
  </si>
  <si>
    <t xml:space="preserve">Note: IT is held at a flat 42 MW [Proxy]. Temperatures follow a sinusoid from 27 °C at 05:00 to 40 °C at 15:00 [Proxy: replace with ISHRAE TMY]. IEX prices are shaped to June 2026 averages: trough ₹1.17 at 11:00, peak ₹9.90 at 22:30, 08–16 h average ₹1.63, 18–23 h average ₹8.10 [Verified-secondary: earthsync; Proxy: shape]. Shown every two hours; totals come from the full 24-hour model.</t>
  </si>
  <si>
    <t xml:space="preserve">Used in atlas: Ch 12 "One hot day, hour by hour" chart.</t>
  </si>
  <si>
    <t xml:space="preserve">Used to derive: Hourly water, power and price; dry-at-noon saving.</t>
  </si>
  <si>
    <t xml:space="preserve">Hour</t>
  </si>
  <si>
    <t xml:space="preserve">T_db (°C)</t>
  </si>
  <si>
    <t xml:space="preserve">Facility MW</t>
  </si>
  <si>
    <t xml:space="preserve">WUE (L/kWh_IT)</t>
  </si>
  <si>
    <t xml:space="preserve">Water (kL/h)</t>
  </si>
  <si>
    <t xml:space="preserve">IEX DAM proxy (₹/kWh)</t>
  </si>
  <si>
    <t xml:space="preserve">Day (24 h)</t>
  </si>
  <si>
    <t xml:space="preserve">avg 1.347</t>
  </si>
  <si>
    <t xml:space="preserve">1,357.7 MWh</t>
  </si>
  <si>
    <t xml:space="preserve">avg 0.90</t>
  </si>
  <si>
    <t xml:space="preserve">905.9 kL</t>
  </si>
  <si>
    <t xml:space="preserve">R12-T15  Tariff time-of-day structures</t>
  </si>
  <si>
    <t xml:space="preserve">Source: Report 12 (Part 12 research report) · 5. Hourly water and electricity profiles › 5.4 Tariff time structures</t>
  </si>
  <si>
    <t xml:space="preserve">Used in atlas: Ch 12 hourly context; Ch 5 load shift.</t>
  </si>
  <si>
    <t xml:space="preserve">Used to derive: ToD saving potential.</t>
  </si>
  <si>
    <t xml:space="preserve">ToD rule for HT</t>
  </si>
  <si>
    <t xml:space="preserve">Telangana (FY26)</t>
  </si>
  <si>
    <t xml:space="preserve">+₹1.00/unit 06–10 and 18–22; −₹1.50/unit 22–06</t>
  </si>
  <si>
    <t xml:space="preserve">[Verified: TGERC]</t>
  </si>
  <si>
    <t xml:space="preserve">Maharashtra (FY26–30)</t>
  </si>
  <si>
    <t xml:space="preserve">HT industrial/commercial ToD charge 25%; solar-hour rebates from −15% (FY26)</t>
  </si>
  <si>
    <t xml:space="preserve">[Verified: MERC]</t>
  </si>
  <si>
    <t xml:space="preserve">Lowest in solar hours, highest in evening; India weighted average declined from 0.774 tCO₂/MWh (FY2013-14) to 0.710 tCO₂/MWh in FY2024-25 (1,234.19 MT ÷ 1,739.06 BU)</t>
  </si>
  <si>
    <t xml:space="preserve">[Verified: CEA CO2 Baseline Database User Guide V21.0, Nov 2025]</t>
  </si>
  <si>
    <t xml:space="preserve">R12-T16  DISCOM HT/EHT tariffs, FY2025-26</t>
  </si>
  <si>
    <t xml:space="preserve">Source: Report 12 (Part 12 research report) · 6. Grid electricity options in India › 6.1 DISCOM HT/EHT tariffs (FY2025-26 unless noted)</t>
  </si>
  <si>
    <t xml:space="preserve">Used in atlas: Ch 12 cost-vs-water chart (landed ₹/kWh).</t>
  </si>
  <si>
    <t xml:space="preserve">Used to derive: Landed power cost by state and category.</t>
  </si>
  <si>
    <t xml:space="preserve">State / DISCOM</t>
  </si>
  <si>
    <t xml:space="preserve">Energy charge</t>
  </si>
  <si>
    <t xml:space="preserve">Demand charge</t>
  </si>
  <si>
    <t xml:space="preserve">Other</t>
  </si>
  <si>
    <t xml:space="preserve">Maharashtra MSEDCL</t>
  </si>
  <si>
    <t xml:space="preserve">HT-I(A) industry</t>
  </si>
  <si>
    <t xml:space="preserve">₹7.48/kVAh (FY26); then 7.27, 7.11</t>
  </si>
  <si>
    <t xml:space="preserve">₹555/kVA/mo (then 560, 565)</t>
  </si>
  <si>
    <t xml:space="preserve">Wheeling ~₹0.62 HT; 10% wheeling discount for DCs on OA or green tariff</t>
  </si>
  <si>
    <t xml:space="preserve">[Verified: MERC]; a secondary claim of ₹8.68/kVAh after the Mar 2026 review is unverified</t>
  </si>
  <si>
    <t xml:space="preserve">HT-II commercial</t>
  </si>
  <si>
    <t xml:space="preserve">₹9.26 + ₹0.62 = ₹9.88/kVAh</t>
  </si>
  <si>
    <t xml:space="preserve">₹555/kVA/mo</t>
  </si>
  <si>
    <t xml:space="preserve">Mumbai TPC-D</t>
  </si>
  <si>
    <t xml:space="preserve">HT-II / EHV commercial</t>
  </si>
  <si>
    <t xml:space="preserve">₹5.89 + ₹0.69 wheeling / ₹5.89</t>
  </si>
  <si>
    <t xml:space="preserve">₹300/kVA/mo</t>
  </si>
  <si>
    <t xml:space="preserve">Green power tariff ₹0.25/kWh</t>
  </si>
  <si>
    <t xml:space="preserve">[Verified: MERC TPC-D]</t>
  </si>
  <si>
    <t xml:space="preserve">Telangana TGSPDCL</t>
  </si>
  <si>
    <t xml:space="preserve">₹7.65 / 7.15 / 6.65 per kVAh (11 / 33 / ≥132 kV)</t>
  </si>
  <si>
    <t xml:space="preserve">₹500/kVA/mo</t>
  </si>
  <si>
    <t xml:space="preserve">Green tariff ₹0.66/unit</t>
  </si>
  <si>
    <t xml:space="preserve">HT-II(A) commercial</t>
  </si>
  <si>
    <t xml:space="preserve">₹8.80 / 8.00 / 7.80 per kVAh</t>
  </si>
  <si>
    <t xml:space="preserve">Karnataka (all ESCOMs)</t>
  </si>
  <si>
    <t xml:space="preserve">HT-2(a) industry</t>
  </si>
  <si>
    <t xml:space="preserve">660 paise/kWh (FY26, FY27); 650 (FY28)</t>
  </si>
  <si>
    <t xml:space="preserve">₹345 / 350 / 355 per kVA/mo</t>
  </si>
  <si>
    <t xml:space="preserve">P&amp;G surcharge 36 paise (FY26), 35 (FY27); BESCOM true-up +56 paise (May 2026–Apr 2027)</t>
  </si>
  <si>
    <t xml:space="preserve">[Verified: KERC; true-up Verified-secondary]</t>
  </si>
  <si>
    <t xml:space="preserve">Tamil Nadu TNPDCL</t>
  </si>
  <si>
    <t xml:space="preserve">HT-I (incl. IT) / HT-III commercial</t>
  </si>
  <si>
    <t xml:space="preserve">₹7.50 / ₹9.40 per kWh</t>
  </si>
  <si>
    <t xml:space="preserve">₹608/kVA/mo</t>
  </si>
  <si>
    <t xml:space="preserve">Wheeling HT ₹1.04/kWh</t>
  </si>
  <si>
    <t xml:space="preserve">[Verified-secondary: TNERC summary]</t>
  </si>
  <si>
    <t xml:space="preserve">R12-T17  Open access and procurement options</t>
  </si>
  <si>
    <t xml:space="preserve">Source: Report 12 (Part 12 research report) · 6. Grid electricity options in India › 6.2 Open access and procurement options</t>
  </si>
  <si>
    <t xml:space="preserve">Used in atlas: Ch 12 cost-vs-water chart (procurement options).</t>
  </si>
  <si>
    <t xml:space="preserve">Used to derive: Landed cost of each procurement route.</t>
  </si>
  <si>
    <t xml:space="preserve">Option</t>
  </si>
  <si>
    <t xml:space="preserve">Key conditions</t>
  </si>
  <si>
    <t xml:space="preserve">Generation price</t>
  </si>
  <si>
    <t xml:space="preserve">Adders</t>
  </si>
  <si>
    <t xml:space="preserve">Carbon / water</t>
  </si>
  <si>
    <t xml:space="preserve">DISCOM green tariff</t>
  </si>
  <si>
    <t xml:space="preserve">Premium over normal tariff</t>
  </si>
  <si>
    <t xml:space="preserve">+₹0.25 (TPC-D), +₹0.66 (Telangana)</t>
  </si>
  <si>
    <t xml:space="preserve">RE attribute; physical grid water unchanged unless additional RE</t>
  </si>
  <si>
    <t xml:space="preserve">[Verified: MERC TPC-D; TGERC]</t>
  </si>
  <si>
    <t xml:space="preserve">GEOA Rules 2022</t>
  </si>
  <si>
    <t xml:space="preserve">Threshold 100 kW; CSS may not rise &gt;50% over 12 years from grant year; additional surcharge not applicable if consumer pays fixed charges; monthly banking ≥30% of consumption</t>
  </si>
  <si>
    <t xml:space="preserve">CSS, wheeling, transmission, losses, banking</t>
  </si>
  <si>
    <t xml:space="preserve">Additional RE → EWIF ~0.1</t>
  </si>
  <si>
    <t xml:space="preserve">[Verified: GEOA gazette]; 100 kW [Proxy: verify amendment]</t>
  </si>
  <si>
    <t xml:space="preserve">FOR model GEOA regulations</t>
  </si>
  <si>
    <t xml:space="preserve">CSS shall not exceed 20% of tariff or ABR</t>
  </si>
  <si>
    <t xml:space="preserve">[Verified: GEOA FOR]</t>
  </si>
  <si>
    <t xml:space="preserve">CSS, Telangana FY26</t>
  </si>
  <si>
    <t xml:space="preserve">HT-I ₹1.82 / 1.56 / 1.46; HT-II(A) ₹2.15 / 1.86 / 1.79 per kWh (11 / 33 / 132 kV)</t>
  </si>
  <si>
    <t xml:space="preserve">CSS, Tamil Nadu</t>
  </si>
  <si>
    <t xml:space="preserve">Industrial ₹1.99/kWh; commercial ₹2.57/kWh</t>
  </si>
  <si>
    <t xml:space="preserve">Additional surcharge, Karnataka</t>
  </si>
  <si>
    <t xml:space="preserve">BESCOM proposed ₹1.65/kWh (not approved)</t>
  </si>
  <si>
    <t xml:space="preserve">[Verified-secondary: SolarQuarter]</t>
  </si>
  <si>
    <t xml:space="preserve">TN banking</t>
  </si>
  <si>
    <t xml:space="preserve">8% of banked energy, in kind (TN GEOA Regs 2025)</t>
  </si>
  <si>
    <t xml:space="preserve">≥26% equity, ≥51% consumption (Electricity Rules 2005); CSS/AS exempt</t>
  </si>
  <si>
    <t xml:space="preserve">₹4.0–5.25</t>
  </si>
  <si>
    <t xml:space="preserve">Wheeling, transmission, losses, banking</t>
  </si>
  <si>
    <t xml:space="preserve">Near-zero water if RE</t>
  </si>
  <si>
    <t xml:space="preserve">[Proxy: rules]; TN exemption [Verified-secondary]</t>
  </si>
  <si>
    <t xml:space="preserve">ISTS RE / FDRE via third party</t>
  </si>
  <si>
    <t xml:space="preserve">ISTS charges levied at 25% for COD Jul 2025–Jun 2026, 50%, 75%, then 100% after 1 Jul 2028; waiver worth ₹0.4–1.8/unit per industry</t>
  </si>
  <si>
    <t xml:space="preserve">FDRE-RTC ₹5.25; 4-h peak ₹5.99; RTC-IV ₹5.06–5.07; SJVN FDRE-3 ₹4.82–4.91</t>
  </si>
  <si>
    <t xml:space="preserve">ISTS + state charges + CSS + AS</t>
  </si>
  <si>
    <t xml:space="preserve">Near-zero water</t>
  </si>
  <si>
    <t xml:space="preserve">[Verified: ISTS; SECI; SaurEnergy]</t>
  </si>
  <si>
    <t xml:space="preserve">IEX G-DAM</t>
  </si>
  <si>
    <t xml:space="preserve">FY25 weighted avg ₹4.01/unit; Jan 2026 ₹4.06; Feb 2026 ₹3.43</t>
  </si>
  <si>
    <t xml:space="preserve">OA charges + fees</t>
  </si>
  <si>
    <t xml:space="preserve">RE attribute</t>
  </si>
  <si>
    <t xml:space="preserve">[Verified: IEX]</t>
  </si>
  <si>
    <t xml:space="preserve">IEX DAM</t>
  </si>
  <si>
    <t xml:space="preserve">Jan 2026 ₹3.86; Feb 2026 ₹3.58</t>
  </si>
  <si>
    <t xml:space="preserve">Grid mix</t>
  </si>
  <si>
    <t xml:space="preserve">On-site solar</t>
  </si>
  <si>
    <t xml:space="preserve">Rooftop ≈ 0.1–0.3 MWp per MW IT; negligible for large sites</t>
  </si>
  <si>
    <t xml:space="preserve">₹3–4.5/kWh</t>
  </si>
  <si>
    <t xml:space="preserve">Maharashtra GSC ₹1.40/unit HT</t>
  </si>
  <si>
    <t xml:space="preserve">[Proxy]; GSC [Verified-secondary: MERC order]</t>
  </si>
  <si>
    <t xml:space="preserve">Captive gas / DG</t>
  </si>
  <si>
    <t xml:space="preserve">Backup only; DG ₹25–35/kWh (diesel ~₹90/L × 0.27 L/kWh)</t>
  </si>
  <si>
    <t xml:space="preserve">High CO₂</t>
  </si>
  <si>
    <t xml:space="preserve">Unbundled; no physical additionality</t>
  </si>
  <si>
    <t xml:space="preserve">No physical water change</t>
  </si>
  <si>
    <t xml:space="preserve">DCs not yet obligated entities (as understood)</t>
  </si>
  <si>
    <t xml:space="preserve">[Proxy: verify with BEE]</t>
  </si>
  <si>
    <t xml:space="preserve">R12-T18  Supply voltage by facility size</t>
  </si>
  <si>
    <t xml:space="preserve">Source: Report 12 (Part 12 research report) · 6. Grid electricity options in India › 6.3 Reliability and connection</t>
  </si>
  <si>
    <t xml:space="preserve">Used in atlas: Ch 12 calculator contract demand note.</t>
  </si>
  <si>
    <t xml:space="preserve">Used to derive: Supply voltage per project size.</t>
  </si>
  <si>
    <t xml:space="preserve">MW (facility)</t>
  </si>
  <si>
    <t xml:space="preserve">Typical supply voltage</t>
  </si>
  <si>
    <t xml:space="preserve">&lt;5 MVA</t>
  </si>
  <si>
    <t xml:space="preserve">11 kV</t>
  </si>
  <si>
    <t xml:space="preserve">[Proxy: state supply codes]</t>
  </si>
  <si>
    <t xml:space="preserve">5–20 MVA</t>
  </si>
  <si>
    <t xml:space="preserve">33 kV</t>
  </si>
  <si>
    <t xml:space="preserve">20–60 MVA</t>
  </si>
  <si>
    <t xml:space="preserve">66/110/132 kV</t>
  </si>
  <si>
    <t xml:space="preserve">60–200 MVA</t>
  </si>
  <si>
    <t xml:space="preserve">132/220 kV</t>
  </si>
  <si>
    <t xml:space="preserve">&gt;200 MVA</t>
  </si>
  <si>
    <t xml:space="preserve">220/400 kV, ISTS or dedicated substation</t>
  </si>
  <si>
    <t xml:space="preserve">R12-T19  Typical energy parameter values</t>
  </si>
  <si>
    <t xml:space="preserve">Source: Report 12 (Part 12 research report) · 7. Energy calculations › 7.2 Typical parameter values</t>
  </si>
  <si>
    <t xml:space="preserve">Used in atlas: Ch 12 calculator parameters.</t>
  </si>
  <si>
    <t xml:space="preserve">Used to derive: Energy, MVA, DG and UPS sizing.</t>
  </si>
  <si>
    <t xml:space="preserve">Global average PUE</t>
  </si>
  <si>
    <t xml:space="preserve">1.54 (2025)</t>
  </si>
  <si>
    <t xml:space="preserve">1.56 (2024)</t>
  </si>
  <si>
    <t xml:space="preserve">1.58 (2023)</t>
  </si>
  <si>
    <t xml:space="preserve">[Verified: UPT25; Uptime blog]</t>
  </si>
  <si>
    <t xml:space="preserve">New facilities / &gt;20 MW</t>
  </si>
  <si>
    <t xml:space="preserve">1.44 (&gt;20 MW)</t>
  </si>
  <si>
    <t xml:space="preserve">1.48 (last 5 yrs)</t>
  </si>
  <si>
    <t xml:space="preserve">[Verified: UPT25 — "Facilities commissioned within five years of the survey (from around early 2020) achieved an average PUE of 1.48"]</t>
  </si>
  <si>
    <t xml:space="preserve">US modelled average PUE</t>
  </si>
  <si>
    <t xml:space="preserve">1.15–1.35 (2028)</t>
  </si>
  <si>
    <t xml:space="preserve">1.4 (2023)</t>
  </si>
  <si>
    <t xml:space="preserve">1.6 (2014)</t>
  </si>
  <si>
    <t xml:space="preserve">Hyperscaler fleets</t>
  </si>
  <si>
    <t xml:space="preserve">1.09 (Google 2025)</t>
  </si>
  <si>
    <t xml:space="preserve">1.17 (Microsoft FY25)</t>
  </si>
  <si>
    <t xml:space="preserve">1.28 (MSFT APAC FY25)</t>
  </si>
  <si>
    <t xml:space="preserve">[Verified: GOOG25; MSFT]</t>
  </si>
  <si>
    <t xml:space="preserve">Indian colo PUE</t>
  </si>
  <si>
    <t xml:space="preserve">1.45–1.55</t>
  </si>
  <si>
    <t xml:space="preserve">[Verified: Uptime Field Report 183 — Asia-Pacific (excl. China) average annual PUE 1.52 (n=79) vs global 1.54; Proxy for India range]</t>
  </si>
  <si>
    <t xml:space="preserve">UPS efficiency</t>
  </si>
  <si>
    <t xml:space="preserve">77–85% (edge)</t>
  </si>
  <si>
    <t xml:space="preserve">80–94% (colo)</t>
  </si>
  <si>
    <t xml:space="preserve">90–99% (hyperscale/AI)</t>
  </si>
  <si>
    <t xml:space="preserve">Transformer loss per stage</t>
  </si>
  <si>
    <t xml:space="preserve">Power factor</t>
  </si>
  <si>
    <t xml:space="preserve">most 10–30 kW; few &gt;30 kW</t>
  </si>
  <si>
    <t xml:space="preserve">AI 120–142 kW</t>
  </si>
  <si>
    <t xml:space="preserve">[Verified: UPT25; NVDA]</t>
  </si>
  <si>
    <t xml:space="preserve">DGX H100 (8 GPU) rated</t>
  </si>
  <si>
    <t xml:space="preserve">10.2 kW</t>
  </si>
  <si>
    <t xml:space="preserve">DGX B200 max</t>
  </si>
  <si>
    <t xml:space="preserve">14.3 kW</t>
  </si>
  <si>
    <t xml:space="preserve">[Verified: NVDA]</t>
  </si>
  <si>
    <t xml:space="preserve">~120 kW (NVIDIA)</t>
  </si>
  <si>
    <t xml:space="preserve">132 kW (HPE nominal)</t>
  </si>
  <si>
    <t xml:space="preserve">GB300: 135–142 kW</t>
  </si>
  <si>
    <t xml:space="preserve">[Verified-secondary: NVDA summaries]</t>
  </si>
  <si>
    <t xml:space="preserve">AI annualised power</t>
  </si>
  <si>
    <t xml:space="preserve">60–80% of rated</t>
  </si>
  <si>
    <t xml:space="preserve">Energy per AI prompt</t>
  </si>
  <si>
    <t xml:space="preserve">0.10 Wh (narrow)</t>
  </si>
  <si>
    <t xml:space="preserve">0.24 Wh (Gemini)</t>
  </si>
  <si>
    <t xml:space="preserve">0.34 Wh (ChatGPT avg)</t>
  </si>
  <si>
    <t xml:space="preserve">[Verified: GOOG25; secondary for OpenAI]</t>
  </si>
  <si>
    <t xml:space="preserve">R12-T20  Scale snapshot by archetype</t>
  </si>
  <si>
    <t xml:space="preserve">Source: Report 12 (Part 12 research report) · 7. Energy calculations › 7.3 Scale snapshot</t>
  </si>
  <si>
    <t xml:space="preserve">Used in atlas: Reference for Ch 12 calculator.</t>
  </si>
  <si>
    <t xml:space="preserve">Used to derive: Energy and connection per archetype.</t>
  </si>
  <si>
    <t xml:space="preserve">IT design</t>
  </si>
  <si>
    <t xml:space="preserve">IT MU/yr</t>
  </si>
  <si>
    <t xml:space="preserve">Facility MU/yr</t>
  </si>
  <si>
    <t xml:space="preserve">Contract MVA</t>
  </si>
  <si>
    <t xml:space="preserve">DG fuel at full load (L/h)</t>
  </si>
  <si>
    <t xml:space="preserve">5 MW enterprise (Pune)</t>
  </si>
  <si>
    <t xml:space="preserve">5 MW</t>
  </si>
  <si>
    <t xml:space="preserve">20 MW colo (Mumbai)</t>
  </si>
  <si>
    <t xml:space="preserve">50 MW hyperscale (Hyderabad)</t>
  </si>
  <si>
    <t xml:space="preserve">100 MW AI campus (Bengaluru)</t>
  </si>
  <si>
    <t xml:space="preserve">75%</t>
  </si>
  <si>
    <t xml:space="preserve">R12-T21  Example A: 20 MW Mumbai colo, step by step</t>
  </si>
  <si>
    <t xml:space="preserve">Source: Report 12 (Part 12 research report) · 8. Worked examples › Example A: 20 MW IT colocation, Mumbai (Navi Mumbai), water-cooled chillers + open cooling towers</t>
  </si>
  <si>
    <t xml:space="preserve">Used in atlas: Ch 12 "Where the water goes" and cost-vs-water charts (Example A).</t>
  </si>
  <si>
    <t xml:space="preserve">Used to derive: Water and cost for a Mumbai colo.</t>
  </si>
  <si>
    <t xml:space="preserve">Step</t>
  </si>
  <si>
    <t xml:space="preserve">Average IT</t>
  </si>
  <si>
    <t xml:space="preserve">20 MW × 70%</t>
  </si>
  <si>
    <t xml:space="preserve">14 MW</t>
  </si>
  <si>
    <t xml:space="preserve">[Proxy: colo fill]</t>
  </si>
  <si>
    <t xml:space="preserve">14 × 8,760</t>
  </si>
  <si>
    <t xml:space="preserve">122,640 MWh = 122.6 MU</t>
  </si>
  <si>
    <t xml:space="preserve">Hot-humid tower plant</t>
  </si>
  <si>
    <t xml:space="preserve">[Proxy: Uptime 1.54 avg]</t>
  </si>
  <si>
    <t xml:space="preserve">122,640 × 1.5</t>
  </si>
  <si>
    <t xml:space="preserve">183,960 MWh ≈ 184 MU</t>
  </si>
  <si>
    <t xml:space="preserve">1.25 × 0.85 × 1.48 = 1.57 evaporation + CoC-4 blowdown 0.52 ≈ 2.1 → use 2.0</t>
  </si>
  <si>
    <t xml:space="preserve">2.0 L/kWh</t>
  </si>
  <si>
    <t xml:space="preserve">[Model; NTT 1.42–2.93 Verified]</t>
  </si>
  <si>
    <t xml:space="preserve">Direct water</t>
  </si>
  <si>
    <t xml:space="preserve">122.64 M kWh × 2.0</t>
  </si>
  <si>
    <t xml:space="preserve">245,280 kL/yr = 0.67 MLD average</t>
  </si>
  <si>
    <t xml:space="preserve">Indirect water</t>
  </si>
  <si>
    <t xml:space="preserve">183.96 M kWh × 3.0</t>
  </si>
  <si>
    <t xml:space="preserve">551,880 kL/yr</t>
  </si>
  <si>
    <t xml:space="preserve">Total water</t>
  </si>
  <si>
    <t xml:space="preserve">797,160 kL/yr (source WUE 6.5)</t>
  </si>
  <si>
    <t xml:space="preserve">Peak day</t>
  </si>
  <si>
    <t xml:space="preserve">20 MW × 24 h × 2.2 L/kWh</t>
  </si>
  <si>
    <t xml:space="preserve">1,056 kL/day (1.57× average)</t>
  </si>
  <si>
    <t xml:space="preserve">Peak hour</t>
  </si>
  <si>
    <t xml:space="preserve">20,000 kWh × 2.3</t>
  </si>
  <si>
    <t xml:space="preserve">46 kL/h</t>
  </si>
  <si>
    <t xml:space="preserve">Storage (48 h at peak)</t>
  </si>
  <si>
    <t xml:space="preserve">46 × 48</t>
  </si>
  <si>
    <t xml:space="preserve">~2,200 kL</t>
  </si>
  <si>
    <t xml:space="preserve">20 × PUE_peak 1.65 = 33 MW ÷ 0.95</t>
  </si>
  <si>
    <t xml:space="preserve">~35 MVA (110/220 kV)</t>
  </si>
  <si>
    <t xml:space="preserve">DG fuel</t>
  </si>
  <si>
    <t xml:space="preserve">33,000 kW × 0.26</t>
  </si>
  <si>
    <t xml:space="preserve">8,580 L/h; 24 h = 206 kL</t>
  </si>
  <si>
    <t xml:space="preserve">R12-T22  Example A: landed electricity cost by option</t>
  </si>
  <si>
    <t xml:space="preserve">Note: Landed electricity cost (184 MU; 35,000 kVA):</t>
  </si>
  <si>
    <t xml:space="preserve">Used in atlas: Ch 12 cost-vs-water chart (Example A dots).</t>
  </si>
  <si>
    <t xml:space="preserve">Used to derive: Cheapest procurement route.</t>
  </si>
  <si>
    <t xml:space="preserve">₹/kWh</t>
  </si>
  <si>
    <t xml:space="preserve">1. MSEDCL HT-I industry (if DC gets industrial status)</t>
  </si>
  <si>
    <t xml:space="preserve">184 × (7.48 + 0.62) = 149.0 + demand 35,000 × 555 × 12 = 23.3</t>
  </si>
  <si>
    <t xml:space="preserve">[Model on MERC rates; excl. duty, ToD]</t>
  </si>
  <si>
    <t xml:space="preserve">1b. MSEDCL HT-II commercial</t>
  </si>
  <si>
    <t xml:space="preserve">184 × 9.88 = 181.8 + 23.3</t>
  </si>
  <si>
    <t xml:space="preserve">2. HT-I + green tariff (₹0.25 TPC-D benchmark)</t>
  </si>
  <si>
    <t xml:space="preserve">+184 × 0.25 = 4.6</t>
  </si>
  <si>
    <t xml:space="preserve">[Model; MSEDCL premium not confirmed]</t>
  </si>
  <si>
    <t xml:space="preserve">3. Group-captive RE-RTC (intra-state)</t>
  </si>
  <si>
    <t xml:space="preserve">5.25 + wheeling 0.62 + transmission/losses ~0.6 + banking ~0.2 = 6.67 × 184 = 122.7 + 23.3</t>
  </si>
  <si>
    <t xml:space="preserve">[Model; adders Proxy]</t>
  </si>
  <si>
    <t xml:space="preserve">4. Third-party ISTS FDRE</t>
  </si>
  <si>
    <t xml:space="preserve">5.25 + ISTS ~0.6 + 0.62 + CSS ~1.8 [Proxy] + losses 0.4 = 8.67 × 184 = 159.5 + 23.3</t>
  </si>
  <si>
    <t xml:space="preserve">R12-T23  Example B: 50 MW Hyderabad hyperscale, step by step</t>
  </si>
  <si>
    <t xml:space="preserve">Source: Report 12 (Part 12 research report) · 8. Worked examples › Example B: 50 MW IT hyperscale, Hyderabad, air-side economiser / adiabatic-assisted cooling</t>
  </si>
  <si>
    <t xml:space="preserve">Used in atlas: Ch 12 charts (Example B) and hourly profile.</t>
  </si>
  <si>
    <t xml:space="preserve">Used to derive: Water and cost for a Hyderabad hyperscale site.</t>
  </si>
  <si>
    <t xml:space="preserve">50 × 80%</t>
  </si>
  <si>
    <t xml:space="preserve">40 MW</t>
  </si>
  <si>
    <t xml:space="preserve">40 × 8,760</t>
  </si>
  <si>
    <t xml:space="preserve">350,400 MWh</t>
  </si>
  <si>
    <t xml:space="preserve">PUE annual</t>
  </si>
  <si>
    <t xml:space="preserve">[Proxy: MSFT APAC 1.25–1.28 Verified]</t>
  </si>
  <si>
    <t xml:space="preserve">350,400 × 1.30</t>
  </si>
  <si>
    <t xml:space="preserve">455,520 MWh</t>
  </si>
  <si>
    <t xml:space="preserve">Site WUE annual</t>
  </si>
  <si>
    <t xml:space="preserve">LBNL hyperscale 0.32–0.40; MSFT APAC 0.25</t>
  </si>
  <si>
    <t xml:space="preserve">0.45 L/kWh</t>
  </si>
  <si>
    <t xml:space="preserve">[Proxy: ~3,000–4,000 wet-mode hours]</t>
  </si>
  <si>
    <t xml:space="preserve">350.4 M × 0.45</t>
  </si>
  <si>
    <t xml:space="preserve">157,680 kL/yr (432 kL/d avg)</t>
  </si>
  <si>
    <t xml:space="preserve">455.52 M × 2.8</t>
  </si>
  <si>
    <t xml:space="preserve">1,275,456 kL/yr</t>
  </si>
  <si>
    <t xml:space="preserve">1,433,136 kL/yr (source WUE 4.09)</t>
  </si>
  <si>
    <t xml:space="preserve">Peak day (Section 5.3)</t>
  </si>
  <si>
    <t xml:space="preserve">42 MW × Σ WUE</t>
  </si>
  <si>
    <t xml:space="preserve">906 kL/day (2.1× average)</t>
  </si>
  <si>
    <t xml:space="preserve">42,000 × 1.60</t>
  </si>
  <si>
    <t xml:space="preserve">67.2 kL/h (3.7× the 18 kL/h average hour)</t>
  </si>
  <si>
    <t xml:space="preserve">24 h at peak-day rate</t>
  </si>
  <si>
    <t xml:space="preserve">~900 kL; 48 h ≈ 1,800 kL</t>
  </si>
  <si>
    <t xml:space="preserve">50 × 1.45 = 72.5 MW ÷ 0.95</t>
  </si>
  <si>
    <t xml:space="preserve">~76 MVA (220 kV)</t>
  </si>
  <si>
    <t xml:space="preserve">72,500 × 0.26</t>
  </si>
  <si>
    <t xml:space="preserve">18,850 L/h</t>
  </si>
  <si>
    <t xml:space="preserve">R12-T24  Example B: landed electricity cost by option</t>
  </si>
  <si>
    <t xml:space="preserve">Note: Landed electricity cost (455.5 MU; 76,000 kVA → demand ₹45.6 cr/yr = ₹1.00/kWh):</t>
  </si>
  <si>
    <t xml:space="preserve">Used in atlas: Ch 12 cost-vs-water chart (Example B dots).</t>
  </si>
  <si>
    <t xml:space="preserve">1. TGSPDCL HT-I(A) ≥132 kV + ToD</t>
  </si>
  <si>
    <t xml:space="preserve">6.65 + 1.00 demand − 0.17 ToD net (flat load: +1.00 × 8 h, −1.50 × 8 h)</t>
  </si>
  <si>
    <t xml:space="preserve">7.48 (₹340.7 cr)</t>
  </si>
  <si>
    <t xml:space="preserve">[Model on TGERC rates]</t>
  </si>
  <si>
    <t xml:space="preserve">1b. HT-II(A) commercial ≥132 kV</t>
  </si>
  <si>
    <t xml:space="preserve">7.80 + 1.00 − 0.17</t>
  </si>
  <si>
    <t xml:space="preserve">2. HT-I + green tariff</t>
  </si>
  <si>
    <t xml:space="preserve">7.48 + 0.66</t>
  </si>
  <si>
    <t xml:space="preserve">[Model; TGERC Verified]</t>
  </si>
  <si>
    <t xml:space="preserve">3. Group captive RE-RTC</t>
  </si>
  <si>
    <t xml:space="preserve">5.25 + ISTS/STU ~0.6 + wheeling ~0.4 [Proxy] + losses 0.3 + demand 1.00 (CSS/AS exempt)</t>
  </si>
  <si>
    <t xml:space="preserve">4. Third-party OA FDRE</t>
  </si>
  <si>
    <t xml:space="preserve">5.25 + 0.6 + 0.4 + CSS 1.46 (HT-I 132 kV) + AS ~0.5 [Proxy] + 0.3 + 1.00</t>
  </si>
  <si>
    <t xml:space="preserve">[Model; CSS Verified]</t>
  </si>
  <si>
    <t xml:space="preserve">R12-T25  Example C: 100 MW Bengaluru AI campus, step by step</t>
  </si>
  <si>
    <t xml:space="preserve">Source: Report 12 (Part 12 research report) · 8. Worked examples › Example C: 100 MW IT AI campus, Bengaluru (alt.: Visakhapatnam), direct-to-chip liquid cooling + dry coolers</t>
  </si>
  <si>
    <t xml:space="preserve">Used in atlas: Ch 12 charts (Example C).</t>
  </si>
  <si>
    <t xml:space="preserve">Used to derive: Water and cost for a Bengaluru AI campus.</t>
  </si>
  <si>
    <t xml:space="preserve">Racks</t>
  </si>
  <si>
    <t xml:space="preserve">100,000 kW ÷ 120 kW (NVL72)</t>
  </si>
  <si>
    <t xml:space="preserve">~833 racks ≈ 60,000 GPUs</t>
  </si>
  <si>
    <t xml:space="preserve">[Model; NVDA]</t>
  </si>
  <si>
    <t xml:space="preserve">100 × 75%</t>
  </si>
  <si>
    <t xml:space="preserve">[Proxy: LBNL training 80% × 70% rated, plus inference]</t>
  </si>
  <si>
    <t xml:space="preserve">75 × 8,760</t>
  </si>
  <si>
    <t xml:space="preserve">657,000 MWh</t>
  </si>
  <si>
    <t xml:space="preserve">Mild climate; ~80% heat to liquid at W32–W40</t>
  </si>
  <si>
    <t xml:space="preserve">657,000 × 1.25</t>
  </si>
  <si>
    <t xml:space="preserve">821,250 MWh</t>
  </si>
  <si>
    <t xml:space="preserve">Closed loop; domestic + humidification</t>
  </si>
  <si>
    <t xml:space="preserve">0.03 L/kWh</t>
  </si>
  <si>
    <t xml:space="preserve">[Proxy; Microsoft zero-water design Verified]</t>
  </si>
  <si>
    <t xml:space="preserve">657 M × 0.03</t>
  </si>
  <si>
    <t xml:space="preserve">19,710 kL/yr (54 kL/d)</t>
  </si>
  <si>
    <t xml:space="preserve">821.25 M × 1.8 (Karnataka proxy)</t>
  </si>
  <si>
    <t xml:space="preserve">1,478,250 kL/yr</t>
  </si>
  <si>
    <t xml:space="preserve">1,497,960 kL/yr (source WUE 2.28)</t>
  </si>
  <si>
    <t xml:space="preserve">With 90% RE-RTC</t>
  </si>
  <si>
    <t xml:space="preserve">821.25 M × 0.27 + 19.7 ML</t>
  </si>
  <si>
    <t xml:space="preserve">~241,400 kL/yr</t>
  </si>
  <si>
    <t xml:space="preserve">Peak water day</t>
  </si>
  <si>
    <t xml:space="preserve">Domestic-driven; ~1.2×</t>
  </si>
  <si>
    <t xml:space="preserve">~65 kL/d (+ one-time loop fill)</t>
  </si>
  <si>
    <t xml:space="preserve">Hot-day electricity</t>
  </si>
  <si>
    <t xml:space="preserve">April afternoon 34–35 °C → PUE 1.35 at 100 MW</t>
  </si>
  <si>
    <t xml:space="preserve">135 MW</t>
  </si>
  <si>
    <t xml:space="preserve">135 ÷ 0.95 ≈ 142 → 150 MVA</t>
  </si>
  <si>
    <t xml:space="preserve">220/400 kV</t>
  </si>
  <si>
    <t xml:space="preserve">Load swings</t>
  </si>
  <si>
    <t xml:space="preserve">Training square-wave drops</t>
  </si>
  <si>
    <t xml:space="preserve">Specify BESS/UPS smoothing and ride-through</t>
  </si>
  <si>
    <t xml:space="preserve">[Verified: LBNL24 Fig 3.4; NERC]</t>
  </si>
  <si>
    <t xml:space="preserve">135,000 × 0.26</t>
  </si>
  <si>
    <t xml:space="preserve">35,100 L/h; 24 h ≈ 842 kL</t>
  </si>
  <si>
    <t xml:space="preserve">R12-T26  Example C: landed electricity cost by option</t>
  </si>
  <si>
    <t xml:space="preserve">Note: Landed electricity cost (821.25 MU; 150,000 kVA → demand ₹62.1 cr = ₹0.76/kWh):</t>
  </si>
  <si>
    <t xml:space="preserve">Used in atlas: Ch 12 cost-vs-water chart (Example C dots).</t>
  </si>
  <si>
    <t xml:space="preserve">1. KERC HT-2(a) via BESCOM</t>
  </si>
  <si>
    <t xml:space="preserve">6.60 + 0.76 demand + 0.36 P&amp;G + 0.56 true-up</t>
  </si>
  <si>
    <t xml:space="preserve">8.28 (₹679.7 cr)</t>
  </si>
  <si>
    <t xml:space="preserve">[Model on KERC rates; P&amp;G/true-up applicability to HT Proxy]</t>
  </si>
  <si>
    <t xml:space="preserve">2. Intra-state group captive (solar + wind + BESS)</t>
  </si>
  <si>
    <t xml:space="preserve">4.5–5.25 + wheeling/transmission 0.8–1.2 [Proxy] + banking 0.2 + demand 0.76</t>
  </si>
  <si>
    <t xml:space="preserve">6.3–7.4</t>
  </si>
  <si>
    <t xml:space="preserve">3. Third-party ISTS FDRE</t>
  </si>
  <si>
    <t xml:space="preserve">5.25 + ISTS 0.6–1.0 + CSS ~1.5 [Proxy] + AS 0–1.65 (BESCOM proposal; GEOA exempts if fixed charges paid) + wheeling 0.5 + 0.76</t>
  </si>
  <si>
    <t xml:space="preserve">8.6–10.7</t>
  </si>
  <si>
    <t xml:space="preserve">R12-T27  Bottom line across the three examples</t>
  </si>
  <si>
    <t xml:space="preserve">Used in atlas: Ch 12 "Where the water goes" chart.</t>
  </si>
  <si>
    <t xml:space="preserve">Used to derive: Direct vs indirect water across examples.</t>
  </si>
  <si>
    <t xml:space="preserve">A: Mumbai colo</t>
  </si>
  <si>
    <t xml:space="preserve">B: Hyderabad hyperscale</t>
  </si>
  <si>
    <t xml:space="preserve">C: Bengaluru AI</t>
  </si>
  <si>
    <t xml:space="preserve">Direct water (ML/yr)</t>
  </si>
  <si>
    <t xml:space="preserve">Indirect water (ML/yr)</t>
  </si>
  <si>
    <t xml:space="preserve">Total (ML/yr)</t>
  </si>
  <si>
    <t xml:space="preserve">Direct L per facility kWh</t>
  </si>
  <si>
    <t xml:space="preserve">Cheapest modelled landed ₹/kWh</t>
  </si>
  <si>
    <t xml:space="preserve">7.94 (captive)</t>
  </si>
  <si>
    <t xml:space="preserve">7.48 (HT-I)</t>
  </si>
  <si>
    <t xml:space="preserve">6.3–7.4 (captive)</t>
  </si>
  <si>
    <t xml:space="preserve">R12-T28  Data gaps and how to close them</t>
  </si>
  <si>
    <t xml:space="preserve">Source: Report 12 (Part 12 research report) · Data gaps and how to close them</t>
  </si>
  <si>
    <t xml:space="preserve">Used in atlas: Data register "Data gaps" tab.</t>
  </si>
  <si>
    <t xml:space="preserve">Used to derive: Next data to collect.</t>
  </si>
  <si>
    <t xml:space="preserve">Gap</t>
  </si>
  <si>
    <t xml:space="preserve">Request from</t>
  </si>
  <si>
    <t xml:space="preserve">Site WUE (withdrawal/consumption), source split, CoC</t>
  </si>
  <si>
    <t xml:space="preserve">Nxtra, CtrlS, Yotta, Sify, STT GDC, AdaniConneX, NTT India</t>
  </si>
  <si>
    <t xml:space="preserve">ESG/BRSR requests; Karnataka plant-wise PUE/WUE filings [Verified: KADC]</t>
  </si>
  <si>
    <t xml:space="preserve">Water allocations and consents</t>
  </si>
  <si>
    <t xml:space="preserve">State PCBs (CTE/CTO), MIDC, CMWSSB, HMWSSB, BWSSB, GVMC</t>
  </si>
  <si>
    <t xml:space="preserve">RTI for CTO water quantities and STP/ZLD conditions</t>
  </si>
  <si>
    <t xml:space="preserve">EIA water figures</t>
  </si>
  <si>
    <t xml:space="preserve">MoEFCC PARIVESH</t>
  </si>
  <si>
    <t xml:space="preserve">Portal downloads</t>
  </si>
  <si>
    <t xml:space="preserve">CSS, AS, wheeling (MSEDCL, KERC); MSEDCL green tariff</t>
  </si>
  <si>
    <t xml:space="preserve">MERC Tables 446–447; KERC tariff/OA orders</t>
  </si>
  <si>
    <t xml:space="preserve">Regulator PDFs</t>
  </si>
  <si>
    <t xml:space="preserve">Hourly DC load data</t>
  </si>
  <si>
    <t xml:space="preserve">Grid-India / SLDCs, DISCOM AMR</t>
  </si>
  <si>
    <t xml:space="preserve">Data-sharing MoU</t>
  </si>
  <si>
    <t xml:space="preserve">Hourly climate</t>
  </si>
  <si>
    <t xml:space="preserve">ISHRAE TMY for eight cities</t>
  </si>
  <si>
    <t xml:space="preserve">Licence</t>
  </si>
  <si>
    <t xml:space="preserve">Plant-level water intensity</t>
  </si>
  <si>
    <t xml:space="preserve">CEA, plant CTO returns, WRI India</t>
  </si>
  <si>
    <t xml:space="preserve">RTI; WRI satellite method</t>
  </si>
  <si>
    <t xml:space="preserve">US/EU permit examples</t>
  </si>
  <si>
    <t xml:space="preserve">The Dalles, Mesa, Goodyear/Quincy, Irish/Dutch permits</t>
  </si>
  <si>
    <t xml:space="preserve">Follow-up research</t>
  </si>
  <si>
    <t xml:space="preserve">Uptime Tier water/fuel autonomy text</t>
  </si>
  <si>
    <t xml:space="preserve">Uptime Institute</t>
  </si>
  <si>
    <t xml:space="preserve">Tier Standard: Topology</t>
  </si>
  <si>
    <t xml:space="preserve">67 tables. Source line under each title; "Note" gives the context sentence from the report.</t>
  </si>
  <si>
    <t xml:space="preserve">ATL-T01  Report 1: Five ways to classify a data centre</t>
  </si>
  <si>
    <t xml:space="preserve">Source: Atlas Ch 1 (from Report 1)</t>
  </si>
  <si>
    <t xml:space="preserve">Used in atlas: Shown in atlas Ch 1 Types (chart, table or calculator data built from the report).</t>
  </si>
  <si>
    <t xml:space="preserve">Used to derive: Same purpose as the matching report table; restated in the form the atlas displays.</t>
  </si>
  <si>
    <t xml:space="preserve">Axis</t>
  </si>
  <si>
    <t xml:space="preserve">Question It Answers</t>
  </si>
  <si>
    <t xml:space="preserve">Main Categories</t>
  </si>
  <si>
    <t xml:space="preserve">Business model</t>
  </si>
  <si>
    <t xml:space="preserve">Who owns and pays?</t>
  </si>
  <si>
    <t xml:space="preserve">Enterprise, retail colo, wholesale colo, hyperscale, managed/cloud, edge</t>
  </si>
  <si>
    <t xml:space="preserve">What runs inside?</t>
  </si>
  <si>
    <t xml:space="preserve">General cloud, AI/HPC "AI factories", sovereign/government</t>
  </si>
  <si>
    <t xml:space="preserve">Physical form</t>
  </si>
  <si>
    <t xml:space="preserve">How is it built?</t>
  </si>
  <si>
    <t xml:space="preserve">Traditional, modular/prefab, underground, underwater (experimental)</t>
  </si>
  <si>
    <t xml:space="preserve">How often can it fail?</t>
  </si>
  <si>
    <t xml:space="preserve">Uptime Tier I–IV; ANSI/TIA-942 Rated 1–4</t>
  </si>
  <si>
    <t xml:space="preserve">How is heat removed?</t>
  </si>
  <si>
    <t xml:space="preserve">Air, rear-door, direct-to-chip, immersion (see chapter 3)</t>
  </si>
  <si>
    <t xml:space="preserve">ATL-T02  Report 1: Six data-centre business models</t>
  </si>
  <si>
    <t xml:space="preserve">Source: Atlas Ch 1 (from Report 1); industry sources</t>
  </si>
  <si>
    <t xml:space="preserve">Cost</t>
  </si>
  <si>
    <t xml:space="preserve">Strengths</t>
  </si>
  <si>
    <t xml:space="preserve">Weaknesses</t>
  </si>
  <si>
    <t xml:space="preserve">Direction</t>
  </si>
  <si>
    <t xml:space="preserve">Enterprise on-prem</t>
  </si>
  <si>
    <t xml:space="preserve">&lt;1–20 MW</t>
  </si>
  <si>
    <t xml:space="preserve">An organisation owns and runs its own facility, from a server room to a corporate campus.</t>
  </si>
  <si>
    <t xml:space="preserve">All capex on the owner; low utilisation is common; modal rack ~7.5 kW.</t>
  </si>
  <si>
    <t xml:space="preserve">Full control, data sovereignty, custom compliance.</t>
  </si>
  <si>
    <t xml:space="preserve">Poor scale economics, older plant, hard to upgrade for AI.</t>
  </si>
  <si>
    <t xml:space="preserve">Banks, government, defence, hospitals, manufacturers.</t>
  </si>
  <si>
    <t xml:space="preserve">Share 56% (2018) → 32% (2026) → 19% (2031).</t>
  </si>
  <si>
    <t xml:space="preserve">1 rack – 1 MW</t>
  </si>
  <si>
    <t xml:space="preserve">Operator leases racks, cages or suites with power, cooling and security; the tenant brings servers.</t>
  </si>
  <si>
    <t xml:space="preserve">Monthly rent per rack/kW plus cross-connects; India ~₹10,000–20,000 per kW-month all-in, 1.5–2.5× wholesale.</t>
  </si>
  <si>
    <t xml:space="preserve">Capex becomes opex, carrier-neutral interconnection, fast.</t>
  </si>
  <si>
    <t xml:space="preserve">Higher per-kW price, contract lock-in.</t>
  </si>
  <si>
    <t xml:space="preserve">Enterprises, BFSI, networks, SaaS.</t>
  </si>
  <si>
    <t xml:space="preserve">Where Indian banks move from captive rooms.</t>
  </si>
  <si>
    <t xml:space="preserve">Wholesale colo / BTS</t>
  </si>
  <si>
    <t xml:space="preserve">10–100+ MW halls</t>
  </si>
  <si>
    <t xml:space="preserve">Operator leases whole halls or buildings, often to one hyperscaler on a long lease.</t>
  </si>
  <si>
    <t xml:space="preserve">Operator funds the build against an anchor lease; power passed through. India ~₹6,000–7,500/kW-month for 5 MW+.</t>
  </si>
  <si>
    <t xml:space="preserve">Speed for hyperscalers, bankable cash flows; best risk-adjusted Indian return (~14–15%).</t>
  </si>
  <si>
    <t xml:space="preserve">Tenant concentration, thin margins.</t>
  </si>
  <si>
    <t xml:space="preserve">AWS, Microsoft, Google, Meta, AI labs.</t>
  </si>
  <si>
    <t xml:space="preserve">Hyperscalers take 60–70% of new Indian colo demand.</t>
  </si>
  <si>
    <t xml:space="preserve">Hyperscale self-build</t>
  </si>
  <si>
    <t xml:space="preserve">30 MW – 1 GW+</t>
  </si>
  <si>
    <t xml:space="preserve">Cloud giants design, own and operate their own campuses.</t>
  </si>
  <si>
    <t xml:space="preserve">Balance-sheet capex; lowest unit cost; self-build ~13–27% cheaper than leasing in India.</t>
  </si>
  <si>
    <t xml:space="preserve">Lowest cost per MW, custom hardware, best PUE (~1.44 for &amp;gt;20 MW sites).</t>
  </si>
  <si>
    <t xml:space="preserve">Concentrated power and water draw, local opposition, grid queues.</t>
  </si>
  <si>
    <t xml:space="preserve">AWS, Microsoft, Google, Meta, Alibaba, Oracle.</t>
  </si>
  <si>
    <t xml:space="preserve">41% (2024) → 48% (2026) → ~67% (2031).</t>
  </si>
  <si>
    <t xml:space="preserve">AI factory / GPU cloud</t>
  </si>
  <si>
    <t xml:space="preserve">50 MW – 5 GW</t>
  </si>
  <si>
    <t xml:space="preserve">Facilities built around thousands of networked accelerators for training and inference.</t>
  </si>
  <si>
    <t xml:space="preserve">IT dominates: ~₹266 cr/MW of GPUs on a ~₹72.5 cr/MW building. JLL sees 60% lease premiums.</t>
  </si>
  <si>
    <t xml:space="preserve">Fast-growing demand; AI ~25% of workloads in 2025, ~50% by 2030 (JLL).</t>
  </si>
  <si>
    <t xml:space="preserve">Hardware obsolescence, huge single-site power, utilisation risk.</t>
  </si>
  <si>
    <t xml:space="preserve">Neoclouds, hyperscalers, IndiaAI empanelled providers.</t>
  </si>
  <si>
    <t xml:space="preserve">IEA: accelerated server power grows ~30% a year.</t>
  </si>
  <si>
    <t xml:space="preserve">50 kW – 5 MW</t>
  </si>
  <si>
    <t xml:space="preserve">Small modular sites near users: telecom exchanges, towers, factories, cities.</t>
  </si>
  <si>
    <t xml:space="preserve">Low capex per site, high cost per kW, many sites to run.</t>
  </si>
  <si>
    <t xml:space="preserve">Low latency, data reduction, local resilience.</t>
  </si>
  <si>
    <t xml:space="preserve">Hard to run at scale, uneven demand, little GPU density.</t>
  </si>
  <si>
    <t xml:space="preserve">Telcos (5G), CDNs/OTT, payments, industrial IoT. Nxtra runs 120+ edge sites.</t>
  </si>
  <si>
    <t xml:space="preserve">Real but small in MW; a complement, not a core.</t>
  </si>
  <si>
    <t xml:space="preserve">ATL-T03  Report 1: Uptime Tier levels</t>
  </si>
  <si>
    <t xml:space="preserve">Source: Atlas Ch 1 (from Report 1); Uptime Institute Tier Standard</t>
  </si>
  <si>
    <t xml:space="preserve">Design availability</t>
  </si>
  <si>
    <t xml:space="preserve">Downtime a year</t>
  </si>
  <si>
    <t xml:space="preserve">Tier I</t>
  </si>
  <si>
    <t xml:space="preserve">28.8 h</t>
  </si>
  <si>
    <t xml:space="preserve">Tier II</t>
  </si>
  <si>
    <t xml:space="preserve">22 h</t>
  </si>
  <si>
    <t xml:space="preserve">Tier III</t>
  </si>
  <si>
    <t xml:space="preserve">1.6 h</t>
  </si>
  <si>
    <t xml:space="preserve">N+1, concurrently maintainable</t>
  </si>
  <si>
    <t xml:space="preserve">Colocation, cloud, banking production</t>
  </si>
  <si>
    <t xml:space="preserve">Tier IV</t>
  </si>
  <si>
    <t xml:space="preserve">26 min</t>
  </si>
  <si>
    <t xml:space="preserve">2N, fault tolerant</t>
  </si>
  <si>
    <t xml:space="preserve">ATL-T04  Report 1: Share of global data-centre capacity by owner type (%)</t>
  </si>
  <si>
    <t xml:space="preserve">Source: Synergy Research Group (Apr 2026); 2031 is a projection</t>
  </si>
  <si>
    <t xml:space="preserve">Hyperscale</t>
  </si>
  <si>
    <t xml:space="preserve">Colocation</t>
  </si>
  <si>
    <t xml:space="preserve">2031 (proj.)</t>
  </si>
  <si>
    <t xml:space="preserve">ATL-T05  Report 1: India capacity by city, H1 2026 (MW IT)</t>
  </si>
  <si>
    <t xml:space="preserve">Source: Cushman &amp; Wakefield India Data Centre H1 2026 Update</t>
  </si>
  <si>
    <t xml:space="preserve">Note: City pipeline sums to 3,633 MW; C&amp;W total is 3,860 MW (509 under construction, 3,351 planned).</t>
  </si>
  <si>
    <t xml:space="preserve">Pipeline to 2030 (MW)</t>
  </si>
  <si>
    <t xml:space="preserve">Total (7 markets)</t>
  </si>
  <si>
    <t xml:space="preserve">ATL-T06  Report 2: Global data-centre electricity (TWh)</t>
  </si>
  <si>
    <t xml:space="preserve">Source: IEA, Energy and AI (Apr 2025), base case; 2035 extrapolated</t>
  </si>
  <si>
    <t xml:space="preserve">Note: 2030 high case exceeds 1,260 TWh. IEA 2026 update: 485 → 950 TWh.</t>
  </si>
  <si>
    <t xml:space="preserve">Used in atlas: Shown in atlas Ch 2 AI vs conventional (chart, table or calculator data built from the report).</t>
  </si>
  <si>
    <t xml:space="preserve">TWh</t>
  </si>
  <si>
    <t xml:space="preserve">ATL-T07  Report 2: Share of facility electricity by use and facility class (%)</t>
  </si>
  <si>
    <t xml:space="preserve">Source: Series synthesis from PUE ranges and IEA component shares (estimate)</t>
  </si>
  <si>
    <t xml:space="preserve">Facility class</t>
  </si>
  <si>
    <t xml:space="preserve">IT</t>
  </si>
  <si>
    <t xml:space="preserve">Power losses</t>
  </si>
  <si>
    <t xml:space="preserve">Lighting &amp; other</t>
  </si>
  <si>
    <t xml:space="preserve">Legacy (PUE ~1.9)</t>
  </si>
  <si>
    <t xml:space="preserve">Enterprise/colo (~1.55)</t>
  </si>
  <si>
    <t xml:space="preserve">Hyperscale (~1.15)</t>
  </si>
  <si>
    <t xml:space="preserve">AI liquid (~1.2)</t>
  </si>
  <si>
    <t xml:space="preserve">ATL-T08  Report 2: Rack power density by design (kW per rack)</t>
  </si>
  <si>
    <t xml:space="preserve">Source: Nvidia specifications and GTC roadmap; industry estimates (Rubin)</t>
  </si>
  <si>
    <t xml:space="preserve">Design point</t>
  </si>
  <si>
    <t xml:space="preserve">Enterprise modal</t>
  </si>
  <si>
    <t xml:space="preserve">Air practical limit</t>
  </si>
  <si>
    <t xml:space="preserve">Active RDHx</t>
  </si>
  <si>
    <t xml:space="preserve">GB200/GB300 NVL72</t>
  </si>
  <si>
    <t xml:space="preserve">Vera Rubin</t>
  </si>
  <si>
    <t xml:space="preserve">Kyber (2027)</t>
  </si>
  <si>
    <t xml:space="preserve">ATL-T09  Report 2: Power-chain losses, grid to chip</t>
  </si>
  <si>
    <t xml:space="preserve">Source: Atlas Ch 2 (Report 2); typical industry ranges</t>
  </si>
  <si>
    <t xml:space="preserve">Typical loss</t>
  </si>
  <si>
    <t xml:space="preserve">Transformer</t>
  </si>
  <si>
    <t xml:space="preserve">1–2%</t>
  </si>
  <si>
    <t xml:space="preserve">UPS</t>
  </si>
  <si>
    <t xml:space="preserve">2–8%</t>
  </si>
  <si>
    <t xml:space="preserve">PDU / busway</t>
  </si>
  <si>
    <t xml:space="preserve">Server PSU</t>
  </si>
  <si>
    <t xml:space="preserve">4–10%</t>
  </si>
  <si>
    <t xml:space="preserve">ATL-T10  Report 2: Energy per workload</t>
  </si>
  <si>
    <t xml:space="preserve">Source: Atlas Ch 2 (from Report 2)</t>
  </si>
  <si>
    <t xml:space="preserve">~0.3 Wh</t>
  </si>
  <si>
    <t xml:space="preserve">Google, 2009 figure</t>
  </si>
  <si>
    <t xml:space="preserve">Median Gemini text prompt</t>
  </si>
  <si>
    <t xml:space="preserve">Google, May 2025 (33× lower than a year earlier)</t>
  </si>
  <si>
    <t xml:space="preserve">~0.34 Wh</t>
  </si>
  <si>
    <t xml:space="preserve">Altman, June 2025</t>
  </si>
  <si>
    <t xml:space="preserve">GPT-4o, 500 output tokens</t>
  </si>
  <si>
    <t xml:space="preserve">Long input, 10k / 100k tokens</t>
  </si>
  <si>
    <t xml:space="preserve">2.5 / 40 Wh</t>
  </si>
  <si>
    <t xml:space="preserve">Llama 3.1 405B training</t>
  </si>
  <si>
    <t xml:space="preserve">≤21.6 GWh</t>
  </si>
  <si>
    <t xml:space="preserve">30.84 M H100-hours (IT only, upper bound)</t>
  </si>
  <si>
    <t xml:space="preserve">GPT-4 training (unofficial)</t>
  </si>
  <si>
    <t xml:space="preserve">~50–62 GWh</t>
  </si>
  <si>
    <t xml:space="preserve">Estimates</t>
  </si>
  <si>
    <t xml:space="preserve">ATL-T11  Report 2: Conventional vs AI data centre</t>
  </si>
  <si>
    <t xml:space="preserve">Conventional</t>
  </si>
  <si>
    <t xml:space="preserve">Ai Data Centre</t>
  </si>
  <si>
    <t xml:space="preserve">5–15 kW (modal ~7–9)</t>
  </si>
  <si>
    <t xml:space="preserve">120–142 kW (GB200/GB300) → 190–230 kW (Rubin) → 600 kW+ (Kyber)</t>
  </si>
  <si>
    <t xml:space="preserve">Air, CRAH, containment</t>
  </si>
  <si>
    <t xml:space="preserve">Direct-to-chip liquid mandatory; 85–100% of heat to liquid</t>
  </si>
  <si>
    <t xml:space="preserve">400/415 V AC, 12 V boards</t>
  </si>
  <si>
    <t xml:space="preserve">415/480 V AC + 54 V busbars now; 800 V DC from 2027; site batteries</t>
  </si>
  <si>
    <t xml:space="preserve">North–south, 10–100 GbE</t>
  </si>
  <si>
    <t xml:space="preserve">East–west fabric, 400–800 Gb/s per GPU, many times more fibre</t>
  </si>
  <si>
    <t xml:space="preserve">Campus size</t>
  </si>
  <si>
    <t xml:space="preserve">1–50 MW</t>
  </si>
  <si>
    <t xml:space="preserve">100 MW to multi-GW (Stargate Abilene ~1.2 GW, Meta Hyperion 2→5 GW)</t>
  </si>
  <si>
    <t xml:space="preserve">Latency-first, near users</t>
  </si>
  <si>
    <t xml:space="preserve">Power-first for training; metro for inference</t>
  </si>
  <si>
    <t xml:space="preserve">JLL shell ≈US$11.3 m/MW; India ₹50–55 cr/MW</t>
  </si>
  <si>
    <t xml:space="preserve">+ up to US$25 m/MW fit-out before GPUs; India up to ₹75 cr/MW</t>
  </si>
  <si>
    <t xml:space="preserve">Tier III/IV, 2N</t>
  </si>
  <si>
    <t xml:space="preserve">Training often N+1 (checkpoints); inference Tier III+</t>
  </si>
  <si>
    <t xml:space="preserve">Refresh every 5–7 years</t>
  </si>
  <si>
    <t xml:space="preserve">New GPU generation yearly; economic life 3–6 years (contested)</t>
  </si>
  <si>
    <t xml:space="preserve">ATL-T12  Report 2: Training vs inference sites</t>
  </si>
  <si>
    <t xml:space="preserve">Training</t>
  </si>
  <si>
    <t xml:space="preserve">Inference</t>
  </si>
  <si>
    <t xml:space="preserve">Metro or edge, near users</t>
  </si>
  <si>
    <t xml:space="preserve">300 MW – 5 GW</t>
  </si>
  <si>
    <t xml:space="preserve">Huge internal fabric</t>
  </si>
  <si>
    <t xml:space="preserve">Strong external peering</t>
  </si>
  <si>
    <t xml:space="preserve">Tier III+</t>
  </si>
  <si>
    <t xml:space="preserve">Most AI electricity by 2030</t>
  </si>
  <si>
    <t xml:space="preserve">ATL-T13  Report 3: Heat a cubic metre of fluid carries per degree (kJ/m³·K)</t>
  </si>
  <si>
    <t xml:space="preserve">Source: Standard physical properties</t>
  </si>
  <si>
    <t xml:space="preserve">Used in atlas: Shown in atlas Ch 3 Cooling (chart, table or calculator data built from the report).</t>
  </si>
  <si>
    <t xml:space="preserve">kJ/m³·K</t>
  </si>
  <si>
    <t xml:space="preserve">Dielectric oil (1-phase)</t>
  </si>
  <si>
    <t xml:space="preserve">Two-phase fluid (sensible)</t>
  </si>
  <si>
    <t xml:space="preserve">PG25 coolant</t>
  </si>
  <si>
    <t xml:space="preserve">ATL-T14  Report 3: Heat-rejection options: water, energy and fit for India</t>
  </si>
  <si>
    <t xml:space="preserve">Source: Atlas Ch 3 (from Report 3)</t>
  </si>
  <si>
    <t xml:space="preserve">Heat Rejection</t>
  </si>
  <si>
    <t xml:space="preserve">Wue L/Kwh</t>
  </si>
  <si>
    <t xml:space="preserve">Fits India</t>
  </si>
  <si>
    <t xml:space="preserve">1.4–2.5</t>
  </si>
  <si>
    <t xml:space="preserve">Lowest; cuts summer peak 25–35%</t>
  </si>
  <si>
    <t xml:space="preserve">Only on recycled water</t>
  </si>
  <si>
    <t xml:space="preserve">0.1–0.5</t>
  </si>
  <si>
    <t xml:space="preserve">Most Indian cities</t>
  </si>
  <si>
    <t xml:space="preserve">0.5–0.7</t>
  </si>
  <si>
    <t xml:space="preserve">Near-evaporative</t>
  </si>
  <si>
    <t xml:space="preserve">Mixed climates</t>
  </si>
  <si>
    <t xml:space="preserve">+5–15% (more in heat)</t>
  </si>
  <si>
    <t xml:space="preserve">Water-stressed zones</t>
  </si>
  <si>
    <t xml:space="preserve">0–0.1</t>
  </si>
  <si>
    <t xml:space="preserve">Small penalty</t>
  </si>
  <si>
    <t xml:space="preserve">AI halls everywhere</t>
  </si>
  <si>
    <t xml:space="preserve">Seawater heat exchange</t>
  </si>
  <si>
    <t xml:space="preserve">~0 fresh</t>
  </si>
  <si>
    <t xml:space="preserve">Pumping only</t>
  </si>
  <si>
    <t xml:space="preserve">Coastal (Vizag, Chennai, Mumbai)</t>
  </si>
  <si>
    <t xml:space="preserve">ATL-T15  Report 3: Liquid cooling technologies compared</t>
  </si>
  <si>
    <t xml:space="preserve">Source: Atlas Ch 3 (from Report 3); vendor-reported PUE</t>
  </si>
  <si>
    <t xml:space="preserve">1-Phase Dlc</t>
  </si>
  <si>
    <t xml:space="preserve">2-Phase Dlc</t>
  </si>
  <si>
    <t xml:space="preserve">1-Phase Immersion</t>
  </si>
  <si>
    <t xml:space="preserve">2-Phase Immersion</t>
  </si>
  <si>
    <t xml:space="preserve">50–250 kW+</t>
  </si>
  <si>
    <t xml:space="preserve">100–250 kW/tank</t>
  </si>
  <si>
    <t xml:space="preserve">200 kW+/tank</t>
  </si>
  <si>
    <t xml:space="preserve">PUE (reported)</t>
  </si>
  <si>
    <t xml:space="preserve">PG25/water</t>
  </si>
  <si>
    <t xml:space="preserve">Dielectric refrigerant</t>
  </si>
  <si>
    <t xml:space="preserve">Hydrocarbon oil</t>
  </si>
  <si>
    <t xml:space="preserve">Fluorocarbon/HFO</t>
  </si>
  <si>
    <t xml:space="preserve">Maturity 2026</t>
  </si>
  <si>
    <t xml:space="preserve">mainstream</t>
  </si>
  <si>
    <t xml:space="preserve">early</t>
  </si>
  <si>
    <t xml:space="preserve">niche</t>
  </si>
  <si>
    <t xml:space="preserve">PFAS risk</t>
  </si>
  <si>
    <t xml:space="preserve">ATL-T16  Report 3: Liquid-cooling manufacturer revenue (US$ bn)</t>
  </si>
  <si>
    <t xml:space="preserve">Source: Dell'Oro Group (Jan 2026); 2029 projection</t>
  </si>
  <si>
    <t xml:space="preserve">Note: India: US$113 m (2026) → US$790 m (2031), MarketsandMarkets.</t>
  </si>
  <si>
    <t xml:space="preserve">US$ bn</t>
  </si>
  <si>
    <t xml:space="preserve">2029 (proj.)</t>
  </si>
  <si>
    <t xml:space="preserve">ATL-T17  Report 3: Cooling-sector acquisitions 2024–26</t>
  </si>
  <si>
    <t xml:space="preserve">Source: Company announcements</t>
  </si>
  <si>
    <t xml:space="preserve">Deal</t>
  </si>
  <si>
    <t xml:space="preserve">Eaton → Boyd Thermal</t>
  </si>
  <si>
    <t xml:space="preserve">$9.5 bn</t>
  </si>
  <si>
    <t xml:space="preserve">Ecolab → CoolIT</t>
  </si>
  <si>
    <t xml:space="preserve">$4.75 bn</t>
  </si>
  <si>
    <t xml:space="preserve">Vertiv → PurgeRite</t>
  </si>
  <si>
    <t xml:space="preserve">~$1 bn</t>
  </si>
  <si>
    <t xml:space="preserve">Schneider → Motivair</t>
  </si>
  <si>
    <t xml:space="preserve">$0.85 bn</t>
  </si>
  <si>
    <t xml:space="preserve">Trane → LiquidStack</t>
  </si>
  <si>
    <t xml:space="preserve">n/d</t>
  </si>
  <si>
    <t xml:space="preserve">ATL-T18  Report 3: India HFC phase-down schedule (Kigali Amendment)</t>
  </si>
  <si>
    <t xml:space="preserve">Source: Kigali Amendment to the Montreal Protocol (India, Group 2)</t>
  </si>
  <si>
    <t xml:space="preserve">Milestone</t>
  </si>
  <si>
    <t xml:space="preserve">Year / step</t>
  </si>
  <si>
    <t xml:space="preserve">Baseline years</t>
  </si>
  <si>
    <t xml:space="preserve">2024–26</t>
  </si>
  <si>
    <t xml:space="preserve">Freeze</t>
  </si>
  <si>
    <t xml:space="preserve">1 Jan 2028</t>
  </si>
  <si>
    <t xml:space="preserve">−10%</t>
  </si>
  <si>
    <t xml:space="preserve">−20%</t>
  </si>
  <si>
    <t xml:space="preserve">−30%</t>
  </si>
  <si>
    <t xml:space="preserve">−85%</t>
  </si>
  <si>
    <t xml:space="preserve">ATL-T19  Report 3: City design temperatures used in the cooling chapter</t>
  </si>
  <si>
    <t xml:space="preserve">Source: Atlas Ch 3 (from Report 3); indicative 0.4% summer conditions (estimate)</t>
  </si>
  <si>
    <t xml:space="preserve">Design dry-bulb (°C)</t>
  </si>
  <si>
    <t xml:space="preserve">Design wet-bulb (°C)</t>
  </si>
  <si>
    <t xml:space="preserve">ATL-T20  Report 3: What to use where in India</t>
  </si>
  <si>
    <t xml:space="preserve">Use Case</t>
  </si>
  <si>
    <t xml:space="preserve">Inside The Room</t>
  </si>
  <si>
    <t xml:space="preserve">AI ≥40 kW/rack, any city</t>
  </si>
  <si>
    <t xml:space="preserve">Single-phase DLC at W32–W45 + RDHx for residual</t>
  </si>
  <si>
    <t xml:space="preserve">Dry coolers, adiabatic on peak days</t>
  </si>
  <si>
    <t xml:space="preserve">PUE 1.15–1.25 · WUE &lt;0.2</t>
  </si>
  <si>
    <t xml:space="preserve">AI on the coast</t>
  </si>
  <si>
    <t xml:space="preserve">DLC</t>
  </si>
  <si>
    <t xml:space="preserve">Seawater or treated sewage water</t>
  </si>
  <si>
    <t xml:space="preserve">PUE ~1.2 · freshwater ~0</t>
  </si>
  <si>
    <t xml:space="preserve">Cloud 8–20 kW, Bengaluru/Hyderabad/Pune</t>
  </si>
  <si>
    <t xml:space="preserve">Hot-aisle containment, fan walls</t>
  </si>
  <si>
    <t xml:space="preserve">Indirect evaporative or free-cooling chillers</t>
  </si>
  <si>
    <t xml:space="preserve">PUE 1.3–1.4</t>
  </si>
  <si>
    <t xml:space="preserve">Cloud in Mumbai/Chennai</t>
  </si>
  <si>
    <t xml:space="preserve">Containment, 18–20 °C chilled water</t>
  </si>
  <si>
    <t xml:space="preserve">Magnetic-bearing chillers on recycled water</t>
  </si>
  <si>
    <t xml:space="preserve">Edge, dusty sites</t>
  </si>
  <si>
    <t xml:space="preserve">Sealed DX or immersion pods</t>
  </si>
  <si>
    <t xml:space="preserve">ATL-T21  Report 3: Practical rack-density ceiling by cooling method (kW)</t>
  </si>
  <si>
    <t xml:space="preserve">Source: Atlas Ch 3 cooling selector (estimate)</t>
  </si>
  <si>
    <t xml:space="preserve">Method</t>
  </si>
  <si>
    <t xml:space="preserve">Perimeter air (CRAH)</t>
  </si>
  <si>
    <t xml:space="preserve">Active rear-door HX</t>
  </si>
  <si>
    <t xml:space="preserve">Direct-to-chip liquid</t>
  </si>
  <si>
    <t xml:space="preserve">Immersion</t>
  </si>
  <si>
    <t xml:space="preserve">ATL-T22  Report 4: Bengaluru's water sources</t>
  </si>
  <si>
    <t xml:space="preserve">Source: Atlas Ch 4 (from Report 4); BWSSB, Karnataka groundwater assessment</t>
  </si>
  <si>
    <t xml:space="preserve">Used in atlas: Shown in atlas Ch 4 Bengaluru (chart, table or calculator data built from the report).</t>
  </si>
  <si>
    <t xml:space="preserve">Cauvery (BWSSB)</t>
  </si>
  <si>
    <t xml:space="preserve">~1,935 MLD delivered of 2,225 MLD capacity; Stage V supplying ~485 of 775 MLD; industrial tariff ₹99/kL</t>
  </si>
  <si>
    <t xml:space="preserve">Groundwater</t>
  </si>
  <si>
    <t xml:space="preserve">1,457 MLD extracted in 2024 (from 600 in 2020); every taluk over-exploited; Bangalore East ~305%, Devanahalli 169%</t>
  </si>
  <si>
    <t xml:space="preserve">Tankers</t>
  </si>
  <si>
    <t xml:space="preserve">Mostly peri-urban borewell water; prices spike March–May</t>
  </si>
  <si>
    <t xml:space="preserve">Treated wastewater</t>
  </si>
  <si>
    <t xml:space="preserve">~1,348.5 MLD STP capacity; only ~30 MLD reused commercially; ₹10–20/kL</t>
  </si>
  <si>
    <t xml:space="preserve">ATL-T23  Report 4: Grid connection by contract demand (Karnataka)</t>
  </si>
  <si>
    <t xml:space="preserve">Source: KERC conditions of supply (as reported)</t>
  </si>
  <si>
    <t xml:space="preserve">Contract Demand</t>
  </si>
  <si>
    <t xml:space="preserve">Voltage</t>
  </si>
  <si>
    <t xml:space="preserve">Fits</t>
  </si>
  <si>
    <t xml:space="preserve">Up to 20 MVA</t>
  </si>
  <si>
    <t xml:space="preserve">66 kV</t>
  </si>
  <si>
    <t xml:space="preserve">Small colo</t>
  </si>
  <si>
    <t xml:space="preserve">Up to 35 MVA (55 MVA since June 2025, if feasible)</t>
  </si>
  <si>
    <t xml:space="preserve">20 MW colo (~35 MVA)</t>
  </si>
  <si>
    <t xml:space="preserve">Above 20 MVA</t>
  </si>
  <si>
    <t xml:space="preserve">220 kV, dual circuit</t>
  </si>
  <si>
    <t xml:space="preserve">50–100 MW (80–140 MVA)</t>
  </si>
  <si>
    <t xml:space="preserve">300 MW+ campuses</t>
  </si>
  <si>
    <t xml:space="preserve">400 kV</t>
  </si>
  <si>
    <t xml:space="preserve">Multi-phase AI parks</t>
  </si>
  <si>
    <t xml:space="preserve">ATL-T24  Report 4: Water use compared with other users (MLD)</t>
  </si>
  <si>
    <t xml:space="preserve">Source: Atlas Ch 4 (from Report 4)</t>
  </si>
  <si>
    <t xml:space="preserve">User</t>
  </si>
  <si>
    <t xml:space="preserve">MLD</t>
  </si>
  <si>
    <t xml:space="preserve">JSW Vijayanagar (allocation)</t>
  </si>
  <si>
    <t xml:space="preserve">~130</t>
  </si>
  <si>
    <t xml:space="preserve">IT campus, 10 m sq ft</t>
  </si>
  <si>
    <t xml:space="preserve">~6</t>
  </si>
  <si>
    <t xml:space="preserve">Toyota Bidadi</t>
  </si>
  <si>
    <t xml:space="preserve">Brewery, 2 m hl/yr</t>
  </si>
  <si>
    <t xml:space="preserve">50 MW DC, evaporative</t>
  </si>
  <si>
    <t xml:space="preserve">20 MW colo, evaporative</t>
  </si>
  <si>
    <t xml:space="preserve">1,000-flat apartments</t>
  </si>
  <si>
    <t xml:space="preserve">100 MW AI, DLC + dry</t>
  </si>
  <si>
    <t xml:space="preserve">ATL-T25  Report 4: Bengaluru data centres' water use today: estimates (MLD)</t>
  </si>
  <si>
    <t xml:space="preserve">Source: Down To Earth; Karnataka IT dept; series model; WELL Labs</t>
  </si>
  <si>
    <t xml:space="preserve">DTE: permitted volumes</t>
  </si>
  <si>
    <t xml:space="preserve">~2.2</t>
  </si>
  <si>
    <t xml:space="preserve">Karnataka IT dept (32 DCs)</t>
  </si>
  <si>
    <t xml:space="preserve">~4</t>
  </si>
  <si>
    <t xml:space="preserve">Series model, mixed cooling</t>
  </si>
  <si>
    <t xml:space="preserve">Series model, all evaporative</t>
  </si>
  <si>
    <t xml:space="preserve">~8.8</t>
  </si>
  <si>
    <t xml:space="preserve">~20</t>
  </si>
  <si>
    <t xml:space="preserve">ATL-T26  Report 4: Scaling to Karnataka's 1 GW target: on-site water by cooling choice (MLD)</t>
  </si>
  <si>
    <t xml:space="preserve">Source: Report 4 model, 75% utilisation</t>
  </si>
  <si>
    <t xml:space="preserve">Added capacity</t>
  </si>
  <si>
    <t xml:space="preserve">Evaporative (WUE 1.8)</t>
  </si>
  <si>
    <t xml:space="preserve">Adiabatic (0.4)</t>
  </si>
  <si>
    <t xml:space="preserve">Power-station water</t>
  </si>
  <si>
    <t xml:space="preserve">+100 MW</t>
  </si>
  <si>
    <t xml:space="preserve">+500 MW</t>
  </si>
  <si>
    <t xml:space="preserve">+1 GW</t>
  </si>
  <si>
    <t xml:space="preserve">ATL-T27  Report 4: Bengaluru campus central cases</t>
  </si>
  <si>
    <t xml:space="preserve">Source: Report 4 model</t>
  </si>
  <si>
    <t xml:space="preserve">Note: Only the values shown in the atlas are listed; dashes are not given there.</t>
  </si>
  <si>
    <t xml:space="preserve">IT MW</t>
  </si>
  <si>
    <t xml:space="preserve">WUE (L/kWh)</t>
  </si>
  <si>
    <t xml:space="preserve">Facility energy (MU/yr)</t>
  </si>
  <si>
    <t xml:space="preserve">On-site water (MLD)</t>
  </si>
  <si>
    <t xml:space="preserve">20 MW colo, air</t>
  </si>
  <si>
    <t xml:space="preserve">~33 MVA, 110 kV</t>
  </si>
  <si>
    <t xml:space="preserve">50 MW hyperscale, evaporative</t>
  </si>
  <si>
    <t xml:space="preserve">80–140 MVA band</t>
  </si>
  <si>
    <t xml:space="preserve">100 MW AI, liquid + dry</t>
  </si>
  <si>
    <t xml:space="preserve">~841</t>
  </si>
  <si>
    <t xml:space="preserve">~140 MVA, 220 kV</t>
  </si>
  <si>
    <t xml:space="preserve">ATL-T28  Report 4: Recommended Karnataka roadmap</t>
  </si>
  <si>
    <t xml:space="preserve">When</t>
  </si>
  <si>
    <t xml:space="preserve">Operational guidelines; mandatory metering and disclosure; ban groundwater for cooling in over-exploited taluks; data-centre water tariff (₹150–200/kL potable); publish grid hosting-capacity map</t>
  </si>
  <si>
    <t xml:space="preserve">WUE ≤0.4 and PUE ≤1.3 in consents for new builds; treated-water pipelines to Hoskote and Whitefield; ≥70% renewable rule above 50 MW; batteries and demand response</t>
  </si>
  <si>
    <t xml:space="preserve">Existing fleet to WUE ≤1.0 and PUE ≤1.45; hourly renewable matching; independent audits; review the 1 GW target</t>
  </si>
  <si>
    <t xml:space="preserve">ATL-T29  Report 5: Carbon of 1 TWh of data-centre load, by supply (Mt CO₂)</t>
  </si>
  <si>
    <t xml:space="preserve">Source: Report 5 comparison (CEA, Ember, IPCC)</t>
  </si>
  <si>
    <t xml:space="preserve">Used in atlas: Shown in atlas Ch 5 Carbon (chart, table or calculator data built from the report).</t>
  </si>
  <si>
    <t xml:space="preserve">Supply</t>
  </si>
  <si>
    <t xml:space="preserve">Mt CO₂ per TWh</t>
  </si>
  <si>
    <t xml:space="preserve">India grid avg (+8% losses)</t>
  </si>
  <si>
    <t xml:space="preserve">Karnataka mix</t>
  </si>
  <si>
    <t xml:space="preserve">Marginal coal, evening peak</t>
  </si>
  <si>
    <t xml:space="preserve">24/7 RE + battery (90% CFE)</t>
  </si>
  <si>
    <t xml:space="preserve">France (nuclear)</t>
  </si>
  <si>
    <t xml:space="preserve">Norway (hydro)</t>
  </si>
  <si>
    <t xml:space="preserve">Nuclear with towers</t>
  </si>
  <si>
    <t xml:space="preserve">ATL-T30  Report 5: Karnataka illustrative hourly grid intensity, dry season (gCO₂/kWh)</t>
  </si>
  <si>
    <t xml:space="preserve">Source: Modelled from a third-party dashboard; no official hourly factor exists</t>
  </si>
  <si>
    <t xml:space="preserve">Average intensity</t>
  </si>
  <si>
    <t xml:space="preserve">Marginal unit (coal)</t>
  </si>
  <si>
    <t xml:space="preserve">ATL-T31  Report 5: Lifecycle carbon by source (gCO₂e/kWh)</t>
  </si>
  <si>
    <t xml:space="preserve">Source: IPCC AR5 Annex III medians</t>
  </si>
  <si>
    <t xml:space="preserve">Note: Indian coal units actually run at 900–1,100 g; CEA grid average 710 g (FY25).</t>
  </si>
  <si>
    <t xml:space="preserve">gCO₂e/kWh</t>
  </si>
  <si>
    <t xml:space="preserve">Coal</t>
  </si>
  <si>
    <t xml:space="preserve">Hydro</t>
  </si>
  <si>
    <t xml:space="preserve">ATL-T32  Report 5: Water consumed by generation source (L/MWh)</t>
  </si>
  <si>
    <t xml:space="preserve">Source: CSE, NREL, CEA research</t>
  </si>
  <si>
    <t xml:space="preserve">L/MWh</t>
  </si>
  <si>
    <t xml:space="preserve">Coal, tower (India actual)</t>
  </si>
  <si>
    <t xml:space="preserve">~3,400</t>
  </si>
  <si>
    <t xml:space="preserve">CSP, wet tower</t>
  </si>
  <si>
    <t xml:space="preserve">~3,250</t>
  </si>
  <si>
    <t xml:space="preserve">Nuclear, tower</t>
  </si>
  <si>
    <t xml:space="preserve">~2,600</t>
  </si>
  <si>
    <t xml:space="preserve">Gas CCGT, tower</t>
  </si>
  <si>
    <t xml:space="preserve">~850</t>
  </si>
  <si>
    <t xml:space="preserve">20–100</t>
  </si>
  <si>
    <t xml:space="preserve">ATL-T33  Report 5: Microsoft Scope 2 emissions (Mt CO₂e)</t>
  </si>
  <si>
    <t xml:space="preserve">Source: Microsoft sustainability reports</t>
  </si>
  <si>
    <t xml:space="preserve">FY20</t>
  </si>
  <si>
    <t xml:space="preserve">ATL-T34  Report 5: Carbon per IT-kWh, worked (CUE = PUE × grid factor)</t>
  </si>
  <si>
    <t xml:space="preserve">Source: Atlas Ch 5 (from Report 5)</t>
  </si>
  <si>
    <t xml:space="preserve">Kgco₂/It-Kwh</t>
  </si>
  <si>
    <t xml:space="preserve">PUE 1.5 on Indian grid (0.77 at meter)</t>
  </si>
  <si>
    <t xml:space="preserve">PUE 1.5 on Karnataka mix (0.50)</t>
  </si>
  <si>
    <t xml:space="preserve">PUE 1.5 with 90% hourly clean energy</t>
  </si>
  <si>
    <t xml:space="preserve">Same compute in France</t>
  </si>
  <si>
    <t xml:space="preserve">~0.05–0.09</t>
  </si>
  <si>
    <t xml:space="preserve">ATL-T35  Report 5: Five-factor scorecard weights</t>
  </si>
  <si>
    <t xml:space="preserve">Source: Report 5 framework</t>
  </si>
  <si>
    <t xml:space="preserve">Weight</t>
  </si>
  <si>
    <t xml:space="preserve">Carbon</t>
  </si>
  <si>
    <t xml:space="preserve">25%</t>
  </si>
  <si>
    <t xml:space="preserve">15%</t>
  </si>
  <si>
    <t xml:space="preserve">ATL-T36  Report 6: Monthly withdrawal, 50 MW evaporative site (MLD)</t>
  </si>
  <si>
    <t xml:space="preserve">Source: Report 6 model</t>
  </si>
  <si>
    <t xml:space="preserve">Used in atlas: Shown in atlas Ch 6 Water impact (chart, table or calculator data built from the report).</t>
  </si>
  <si>
    <t xml:space="preserve">Month</t>
  </si>
  <si>
    <t xml:space="preserve">Withdrawal (MLD)</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</si>
  <si>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</si>
  <si>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</si>
  <si>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</si>
  <si>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</si>
  <si>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</si>
  <si>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</si>
  <si>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</si>
  <si>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</si>
  <si>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</si>
  <si>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</si>
  <si>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</si>
  <si>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</si>
  <si>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ATL-T37  Report 6: Scarcity-weighted water footprint, 50 MW (Mm³-eq/yr)</t>
  </si>
  <si>
    <t xml:space="preserve">Source: Report 6 model; illustrative AWARE-style weights</t>
  </si>
  <si>
    <t xml:space="preserve">On site</t>
  </si>
  <si>
    <t xml:space="preserve">Off site (power plants)</t>
  </si>
  <si>
    <t xml:space="preserve">A · Evap, East groundwater</t>
  </si>
  <si>
    <t xml:space="preserve">B · Evap, potable</t>
  </si>
  <si>
    <t xml:space="preserve">C · Evap, treated + RO</t>
  </si>
  <si>
    <t xml:space="preserve">D · Dry + grid</t>
  </si>
  <si>
    <t xml:space="preserve">E · Dry + renewable PPA</t>
  </si>
  <si>
    <t xml:space="preserve">ATL-T38  Report 6: Water per AI prompt, by boundary (mL)</t>
  </si>
  <si>
    <t xml:space="preserve">Source: Google; Li et al.; Mistral LCA; Report 6 model</t>
  </si>
  <si>
    <t xml:space="preserve">mL</t>
  </si>
  <si>
    <t xml:space="preserve">Bengaluru DLC, site only</t>
  </si>
  <si>
    <t xml:space="preserve">Google Gemini, on-site</t>
  </si>
  <si>
    <t xml:space="preserve">Bengaluru DLC, site + grid</t>
  </si>
  <si>
    <t xml:space="preserve">0.5–0.9</t>
  </si>
  <si>
    <t xml:space="preserve">Same site on coal power</t>
  </si>
  <si>
    <t xml:space="preserve">~2</t>
  </si>
  <si>
    <t xml:space="preserve">GPT-3, India case (UCR)</t>
  </si>
  <si>
    <t xml:space="preserve">Mistral Large 2, full LCA</t>
  </si>
  <si>
    <t xml:space="preserve">ATL-T39  Report 6: Impact scorecard</t>
  </si>
  <si>
    <t xml:space="preserve">Source: Atlas Ch 6 (from Report 6)</t>
  </si>
  <si>
    <t xml:space="preserve">Decision</t>
  </si>
  <si>
    <t xml:space="preserve">A · Evaporative, Bangalore East groundwater</t>
  </si>
  <si>
    <t xml:space="preserve">B · Evaporative, BWSSB potable</t>
  </si>
  <si>
    <t xml:space="preserve">C · Evaporative, treated water + RO</t>
  </si>
  <si>
    <t xml:space="preserve">F · 100 MW AI, DLC on treated water</t>
  </si>
  <si>
    <t xml:space="preserve">D · Dry cooling</t>
  </si>
  <si>
    <t xml:space="preserve">ATL-T40  Report 6: Bengaluru scenarios: site and source water</t>
  </si>
  <si>
    <t xml:space="preserve">Source: Atlas Ch 6 (from Report 6) model</t>
  </si>
  <si>
    <t xml:space="preserve">Bengaluru Scenario</t>
  </si>
  <si>
    <t xml:space="preserve">Site Wue</t>
  </si>
  <si>
    <t xml:space="preserve">Source Wue</t>
  </si>
  <si>
    <t xml:space="preserve">L Per H100-Hour (Site/Total)</t>
  </si>
  <si>
    <t xml:space="preserve">Ml Per Prompt (Site/Total)</t>
  </si>
  <si>
    <t xml:space="preserve">S1 · 20 MW colo, evaporative</t>
  </si>
  <si>
    <t xml:space="preserve">S2 · 50 MW hyperscale, evaporative CoC 5</t>
  </si>
  <si>
    <t xml:space="preserve">S3 · 50 MW dry</t>
  </si>
  <si>
    <t xml:space="preserve">S4 · 100 MW AI, DLC + adiabatic</t>
  </si>
  <si>
    <t xml:space="preserve">ATL-T41  Report 6: Suggested water thresholds</t>
  </si>
  <si>
    <t xml:space="preserve">Source: Atlas Ch 6 (from Report 6) (proposal)</t>
  </si>
  <si>
    <t xml:space="preserve">Groundwater for cooling, over-exploited taluk</t>
  </si>
  <si>
    <t xml:space="preserve">ATL-T42  Report 6: Cooling-tower water balance, 50 MW (default CoC 5)</t>
  </si>
  <si>
    <t xml:space="preserve">350.4 GWh/yr (50 MW × 80%)</t>
  </si>
  <si>
    <t xml:space="preserve">504.6 ML/yr</t>
  </si>
  <si>
    <t xml:space="preserve">1.2 ML/yr</t>
  </si>
  <si>
    <t xml:space="preserve">Non-cooling use</t>
  </si>
  <si>
    <t xml:space="preserve">14.6 ML/yr (80% returned)</t>
  </si>
  <si>
    <t xml:space="preserve">646.6 ML/yr (1.77 MLD)</t>
  </si>
  <si>
    <t xml:space="preserve">508.7 ML/yr (1.39 MLD)</t>
  </si>
  <si>
    <t xml:space="preserve">Withdrawal WUE</t>
  </si>
  <si>
    <t xml:space="preserve">1.85 L/kWh</t>
  </si>
  <si>
    <t xml:space="preserve">Consumption WUE</t>
  </si>
  <si>
    <t xml:space="preserve">1.45 L/kWh</t>
  </si>
  <si>
    <t xml:space="preserve">RO recovery</t>
  </si>
  <si>
    <t xml:space="preserve">ATL-T43  Report 7: Data-centre construction cost by market (US$/W)</t>
  </si>
  <si>
    <t xml:space="preserve">Source: Turner &amp; Townsend Data Centre Cost Index 2025</t>
  </si>
  <si>
    <t xml:space="preserve">Used in atlas: Shown in atlas Ch 7 Unit economics (chart, table or calculator data built from the report).</t>
  </si>
  <si>
    <t xml:space="preserve">Phoenix</t>
  </si>
  <si>
    <t xml:space="preserve">ATL-T44  Report 7: Capex per MW by category, three cases (₹ crore/MW)</t>
  </si>
  <si>
    <t xml:space="preserve">Source: Report 7 model</t>
  </si>
  <si>
    <t xml:space="preserve">Shell &amp; core</t>
  </si>
  <si>
    <t xml:space="preserve">Electrical</t>
  </si>
  <si>
    <t xml:space="preserve">Fire, BMS, network</t>
  </si>
  <si>
    <t xml:space="preserve">Soft, contingency, IDC</t>
  </si>
  <si>
    <t xml:space="preserve">A · 20 MW colo</t>
  </si>
  <si>
    <t xml:space="preserve">B · 50 MW hyperscale</t>
  </si>
  <si>
    <t xml:space="preserve">C · 100 MW AI</t>
  </si>
  <si>
    <t xml:space="preserve">ATL-T45  Report 7: Capex line by line: A · 20 MW Tier III colo</t>
  </si>
  <si>
    <t xml:space="preserve">Note: ₹56.1 cr/MW = US$6.2/W, consistent with Turner &amp; Townsend Mumbai (US$6.64/W) and SBI (₹50–55 cr/MW before soft costs).</t>
  </si>
  <si>
    <t xml:space="preserve">₹ cr/MW</t>
  </si>
  <si>
    <t xml:space="preserve">₹ crore</t>
  </si>
  <si>
    <t xml:space="preserve">Land (0.25 acre/MW at ₹20 cr/acre)</t>
  </si>
  <si>
    <t xml:space="preserve">Shell &amp; core, civil/structural</t>
  </si>
  <si>
    <t xml:space="preserve">Electrical (substation, transformers, switchgear, 2N UPS, PDUs, busway)</t>
  </si>
  <si>
    <t xml:space="preserve">Fire, BMS/DCIM, security</t>
  </si>
  <si>
    <t xml:space="preserve">Networking (meet-me rooms, fibre)</t>
  </si>
  <si>
    <t xml:space="preserve">Design, permits, PMC</t>
  </si>
  <si>
    <t xml:space="preserve">ATL-T46  Report 7: Capex line by line: B · 50 MW hyperscale BTS</t>
  </si>
  <si>
    <t xml:space="preserve">Note: A powered-shell-only variant (building, substation, utility yard) costs ~₹12–15 cr/MW, with returns closer to industrial real estate.</t>
  </si>
  <si>
    <t xml:space="preserve">Land (0.4 acre/MW at ₹8 cr/acre)</t>
  </si>
  <si>
    <t xml:space="preserve">Soft costs</t>
  </si>
  <si>
    <t xml:space="preserve">ATL-T47  Report 7: Capex line by line: C · 100 MW AI campus</t>
  </si>
  <si>
    <t xml:space="preserve">Note: IT is 3.7× the facility. At the US$6.0–6.5 m GB300 price some sources quote, the campus would cost ~₹45,000 crore.</t>
  </si>
  <si>
    <t xml:space="preserve">Land (0.3 acre/MW at ₹5 cr/acre)</t>
  </si>
  <si>
    <t xml:space="preserve">9.7%</t>
  </si>
  <si>
    <t xml:space="preserve">Electrical (400/220 kV, busway, UPS)</t>
  </si>
  <si>
    <t xml:space="preserve">Network infrastructure</t>
  </si>
  <si>
    <t xml:space="preserve">Soft / contingency / IDC</t>
  </si>
  <si>
    <t xml:space="preserve">GPU racks: ~590 × GB300 NVL72 at ~US$4.2 m</t>
  </si>
  <si>
    <t xml:space="preserve">Campus total incl. 42,480 GPUs</t>
  </si>
  <si>
    <t xml:space="preserve">ATL-T48  Report 7: Colocation opex, Case A (₹ crore a year)</t>
  </si>
  <si>
    <t xml:space="preserve">Electricity</t>
  </si>
  <si>
    <t xml:space="preserve">Maintenance (AMC)</t>
  </si>
  <si>
    <t xml:space="preserve">Personnel</t>
  </si>
  <si>
    <t xml:space="preserve">DG fuel &amp; testing</t>
  </si>
  <si>
    <t xml:space="preserve">Water &amp; chemicals</t>
  </si>
  <si>
    <t xml:space="preserve">ATL-T49  Report 7: What moves the colo LCOD (₹ per IT-kWh; base 29.7)</t>
  </si>
  <si>
    <t xml:space="preserve">Better case</t>
  </si>
  <si>
    <t xml:space="preserve">Worse case</t>
  </si>
  <si>
    <t xml:space="preserve">Utilisation (full vs 70% billed)</t>
  </si>
  <si>
    <t xml:space="preserve">Capex ±10%</t>
  </si>
  <si>
    <t xml:space="preserve">PUE 1.35 / 1.65</t>
  </si>
  <si>
    <t xml:space="preserve">Tariff ±₹1/kWh</t>
  </si>
  <si>
    <t xml:space="preserve">ATL-T50  Report 7: GPU-hour market prices, H100-class (Oct 2026)</t>
  </si>
  <si>
    <t xml:space="preserve">Source: IndiaAI; provider price pages; OCPI index</t>
  </si>
  <si>
    <t xml:space="preserve">₹/Gpu-Hr</t>
  </si>
  <si>
    <t xml:space="preserve">IndiaAI L1 rate (users pay ~₹92 after subsidy)</t>
  </si>
  <si>
    <t xml:space="preserve">Global OCPI-H100 index (US$2.79)</t>
  </si>
  <si>
    <t xml:space="preserve">E2E Networks on-demand</t>
  </si>
  <si>
    <t xml:space="preserve">Yotta Shakti dedicated / on-demand</t>
  </si>
  <si>
    <t xml:space="preserve">~269 / 356</t>
  </si>
  <si>
    <t xml:space="preserve">Hyperscaler on-demand (US$6–12)</t>
  </si>
  <si>
    <t xml:space="preserve">540–1,080</t>
  </si>
  <si>
    <t xml:space="preserve">ATL-T51  Report 7: Returns by business model</t>
  </si>
  <si>
    <t xml:space="preserve">Colo (A)</t>
  </si>
  <si>
    <t xml:space="preserve">Hyperscale (B)</t>
  </si>
  <si>
    <t xml:space="preserve">Ai Neocloud (C)</t>
  </si>
  <si>
    <t xml:space="preserve">Capex/MW</t>
  </si>
  <si>
    <t xml:space="preserve">₹61 cr</t>
  </si>
  <si>
    <t xml:space="preserve">₹42 cr</t>
  </si>
  <si>
    <t xml:space="preserve">₹340 cr</t>
  </si>
  <si>
    <t xml:space="preserve">EBITDA margin</t>
  </si>
  <si>
    <t xml:space="preserve">42%</t>
  </si>
  <si>
    <t xml:space="preserve">84% of rent</t>
  </si>
  <si>
    <t xml:space="preserve">90%</t>
  </si>
  <si>
    <t xml:space="preserve">Payback</t>
  </si>
  <si>
    <t xml:space="preserve">9.6 yrs</t>
  </si>
  <si>
    <t xml:space="preserve">7.1 yrs</t>
  </si>
  <si>
    <t xml:space="preserve">3.2 yrs</t>
  </si>
  <si>
    <t xml:space="preserve">Unlevered IRR</t>
  </si>
  <si>
    <t xml:space="preserve">21.5% → negative</t>
  </si>
  <si>
    <t xml:space="preserve">ATL-T52  Report 7: India vs US vs Singapore</t>
  </si>
  <si>
    <t xml:space="preserve">Source: C&amp;W, CBRE, JLL, Turner &amp; Townsend</t>
  </si>
  <si>
    <t xml:space="preserve">Build (US$/W)</t>
  </si>
  <si>
    <t xml:space="preserve">Rent (US$/kW/mo)</t>
  </si>
  <si>
    <t xml:space="preserve">160–225</t>
  </si>
  <si>
    <t xml:space="preserve">300–475</t>
  </si>
  <si>
    <t xml:space="preserve">Electricity (US$ m/MW/yr)</t>
  </si>
  <si>
    <t xml:space="preserve">ATL-T53  Report 7: Land and power by hub</t>
  </si>
  <si>
    <t xml:space="preserve">Source: Market reports; state tariff orders</t>
  </si>
  <si>
    <t xml:space="preserve">₹ Cr/Acre</t>
  </si>
  <si>
    <t xml:space="preserve">Ht Energy ₹/Kwh</t>
  </si>
  <si>
    <t xml:space="preserve">15–40 (in-fill ~80)</t>
  </si>
  <si>
    <t xml:space="preserve">7.27 (MH)</t>
  </si>
  <si>
    <t xml:space="preserve">Chennai Ambattur / Oragadam</t>
  </si>
  <si>
    <t xml:space="preserve">8–15 / 3–8</t>
  </si>
  <si>
    <t xml:space="preserve">7.50 (TN)</t>
  </si>
  <si>
    <t xml:space="preserve">6.65 at 132 kV</t>
  </si>
  <si>
    <t xml:space="preserve">Bengaluru Devanahalli/Hoskote</t>
  </si>
  <si>
    <t xml:space="preserve">4–10 (est.)</t>
  </si>
  <si>
    <t xml:space="preserve">~6.70 (KA)</t>
  </si>
  <si>
    <t xml:space="preserve">RTC renewable (SECI tranche V)</t>
  </si>
  <si>
    <t xml:space="preserve">5.25–5.26 at bus</t>
  </si>
  <si>
    <t xml:space="preserve">ATL-T54  Report 7: GPU cost model inputs</t>
  </si>
  <si>
    <t xml:space="preserve">Source: Report 7 assumptions</t>
  </si>
  <si>
    <t xml:space="preserve">Input</t>
  </si>
  <si>
    <t xml:space="preserve">H100 HGX (8 GPUs)</t>
  </si>
  <si>
    <t xml:space="preserve">~US$275k</t>
  </si>
  <si>
    <t xml:space="preserve">H200 HGX (8 GPUs)</t>
  </si>
  <si>
    <t xml:space="preserve">~US$315k</t>
  </si>
  <si>
    <t xml:space="preserve">B200 HGX (8 GPUs)</t>
  </si>
  <si>
    <t xml:space="preserve">~US$450k</t>
  </si>
  <si>
    <t xml:space="preserve">kW per GPU incl. server share</t>
  </si>
  <si>
    <t xml:space="preserve">H100/H200 1.4; B200 2.0</t>
  </si>
  <si>
    <t xml:space="preserve">1.35 (1.30 for B200)</t>
  </si>
  <si>
    <t xml:space="preserve">Colo hosting</t>
  </si>
  <si>
    <t xml:space="preserve">₹7,000 per kW-month</t>
  </si>
  <si>
    <t xml:space="preserve">Support, software, spares</t>
  </si>
  <si>
    <t xml:space="preserve">₹70,000 a year</t>
  </si>
  <si>
    <t xml:space="preserve">Economic life</t>
  </si>
  <si>
    <t xml:space="preserve">5 years</t>
  </si>
  <si>
    <t xml:space="preserve">WACC</t>
  </si>
  <si>
    <t xml:space="preserve">11%</t>
  </si>
  <si>
    <t xml:space="preserve">Result: H100 at 80% use</t>
  </si>
  <si>
    <t xml:space="preserve">~₹178 per GPU-hour</t>
  </si>
  <si>
    <t xml:space="preserve">ATL-T55  Report 8: Abatement cost by measure, 20 MW Bengaluru colo (₹/tCO₂)</t>
  </si>
  <si>
    <t xml:space="preserve">Source: Report 8 model</t>
  </si>
  <si>
    <t xml:space="preserve">Note: India carbon credit price expected ~₹955/t initially; EU ETS ~€84/t.</t>
  </si>
  <si>
    <t xml:space="preserve">Used in atlas: Shown in atlas Ch 8 Green (chart, table or calculator data built from the report).</t>
  </si>
  <si>
    <t xml:space="preserve">Measure</t>
  </si>
  <si>
    <t xml:space="preserve">₹ per tCO₂</t>
  </si>
  <si>
    <t xml:space="preserve">Efficiency + water</t>
  </si>
  <si>
    <t xml:space="preserve">RE at ₹0.75 discount</t>
  </si>
  <si>
    <t xml:space="preserve">Full package</t>
  </si>
  <si>
    <t xml:space="preserve">RE at ₹0.50 premium</t>
  </si>
  <si>
    <t xml:space="preserve">ATL-T56  Report 8: PUE thresholds around the world</t>
  </si>
  <si>
    <t xml:space="preserve">Source: EU, Germany EnEfG, Karnataka, China, Singapore IMDA, MeitY, Uptime</t>
  </si>
  <si>
    <t xml:space="preserve">Threshold</t>
  </si>
  <si>
    <t xml:space="preserve">EU grade A</t>
  </si>
  <si>
    <t xml:space="preserve">Germany, new (2026)</t>
  </si>
  <si>
    <t xml:space="preserve">Karnataka incentive</t>
  </si>
  <si>
    <t xml:space="preserve">China hubs</t>
  </si>
  <si>
    <t xml:space="preserve">Singapore 2026</t>
  </si>
  <si>
    <t xml:space="preserve">China large DCs</t>
  </si>
  <si>
    <t xml:space="preserve">CNDCP warm climate</t>
  </si>
  <si>
    <t xml:space="preserve">MeitY AI tender</t>
  </si>
  <si>
    <t xml:space="preserve">Indian leaders today</t>
  </si>
  <si>
    <t xml:space="preserve">Global average</t>
  </si>
  <si>
    <t xml:space="preserve">ATL-T57  Report 8: Green upgrade case, 20 MW Bengaluru colo</t>
  </si>
  <si>
    <t xml:space="preserve">IT capacity / load</t>
  </si>
  <si>
    <t xml:space="preserve">20 MW / 70%</t>
  </si>
  <si>
    <t xml:space="preserve">1.50 → 1.25</t>
  </si>
  <si>
    <t xml:space="preserve">Hourly renewable share</t>
  </si>
  <si>
    <t xml:space="preserve">Grid tariff / RE landed cost</t>
  </si>
  <si>
    <t xml:space="preserve">₹8.00 / ₹7.25 per kWh</t>
  </si>
  <si>
    <t xml:space="preserve">₹60 crore</t>
  </si>
  <si>
    <t xml:space="preserve">Savings a year</t>
  </si>
  <si>
    <t xml:space="preserve">₹35.5 crore (efficiency 24.5, renewables 9.2)</t>
  </si>
  <si>
    <t xml:space="preserve">Payback (efficiency + water)</t>
  </si>
  <si>
    <t xml:space="preserve">2.3 years</t>
  </si>
  <si>
    <t xml:space="preserve">CO₂ avoided</t>
  </si>
  <si>
    <t xml:space="preserve">~108,843 t a year (83%)</t>
  </si>
  <si>
    <t xml:space="preserve">Freshwater saved</t>
  </si>
  <si>
    <t xml:space="preserve">~196 ML a year</t>
  </si>
  <si>
    <t xml:space="preserve">Abatement cost</t>
  </si>
  <si>
    <t xml:space="preserve">−₹2,536 per tCO₂</t>
  </si>
  <si>
    <t xml:space="preserve">ATL-T58  Report 8: Twelve dimensions of a green data centre</t>
  </si>
  <si>
    <t xml:space="preserve">Source: Report 8 framework</t>
  </si>
  <si>
    <t xml:space="preserve">India target</t>
  </si>
  <si>
    <t xml:space="preserve">≤1.30 air; ≤1.20 liquid AI</t>
  </si>
  <si>
    <t xml:space="preserve">Hourly CFE, CUE</t>
  </si>
  <si>
    <t xml:space="preserve">≥70–80% hourly; CUE ≤0.3</t>
  </si>
  <si>
    <t xml:space="preserve">Freshwater WUE</t>
  </si>
  <si>
    <t xml:space="preserve">≤0.2 L/kWh; treated water for any trim</t>
  </si>
  <si>
    <t xml:space="preserve">Embodied carbon</t>
  </si>
  <si>
    <t xml:space="preserve">kgCO₂e per MW</t>
  </si>
  <si>
    <t xml:space="preserve">30–40% below baseline</t>
  </si>
  <si>
    <t xml:space="preserve">IT hardware (Scope 3)</t>
  </si>
  <si>
    <t xml:space="preserve">PCF per server/GPU</t>
  </si>
  <si>
    <t xml:space="preserve">Supplier footprints; longer refresh</t>
  </si>
  <si>
    <t xml:space="preserve">% assets reused</t>
  </si>
  <si>
    <t xml:space="preserve">≥90% via authorised e-waste channels</t>
  </si>
  <si>
    <t xml:space="preserve">Heat-reuse ready; absorption cooling</t>
  </si>
  <si>
    <t xml:space="preserve">GWP, leakage</t>
  </si>
  <si>
    <t xml:space="preserve">Low-GWP or chiller-less</t>
  </si>
  <si>
    <t xml:space="preserve">Land &amp; biodiversity</t>
  </si>
  <si>
    <t xml:space="preserve">Footprint</t>
  </si>
  <si>
    <t xml:space="preserve">Brownfield / park siting</t>
  </si>
  <si>
    <t xml:space="preserve">Diesel run-hours</t>
  </si>
  <si>
    <t xml:space="preserve">Flexible MW</t>
  </si>
  <si>
    <t xml:space="preserve">BESS services; schedulable training</t>
  </si>
  <si>
    <t xml:space="preserve">Public disclosure</t>
  </si>
  <si>
    <t xml:space="preserve">Site dashboards, water commitments</t>
  </si>
  <si>
    <t xml:space="preserve">ATL-T59  Report 8: Spotting greenwashing</t>
  </si>
  <si>
    <t xml:space="preserve">Source: Atlas Ch 8 (from Report 8)</t>
  </si>
  <si>
    <t xml:space="preserve">Credible If…</t>
  </si>
  <si>
    <t xml:space="preserve">Red Flag</t>
  </si>
  <si>
    <t xml:space="preserve">Hourly matching, same grid, new capacity, location-based also shown</t>
  </si>
  <si>
    <t xml:space="preserve">Annual unbundled RECs from old hydro</t>
  </si>
  <si>
    <t xml:space="preserve">Deep cuts first, removals for residuals</t>
  </si>
  <si>
    <t xml:space="preserve">Cheap avoidance offsets</t>
  </si>
  <si>
    <t xml:space="preserve">Annualised, measured at the utility meter, real load</t>
  </si>
  <si>
    <t xml:space="preserve">Design PUE at full load, one cool month</t>
  </si>
  <si>
    <t xml:space="preserve">Site WUE disclosed; replenishment in the same basin</t>
  </si>
  <si>
    <t xml:space="preserve">Credits elsewhere while drawing borewells</t>
  </si>
  <si>
    <t xml:space="preserve">Operational certification on measured data</t>
  </si>
  <si>
    <t xml:space="preserve">Design-stage label never re-checked</t>
  </si>
  <si>
    <t xml:space="preserve">ATL-T60  Report 8: Buying clean power in India</t>
  </si>
  <si>
    <t xml:space="preserve">Source: Atlas Ch 8 (from Report 8); SECI; KERC</t>
  </si>
  <si>
    <t xml:space="preserve">Landed ₹/Kwh</t>
  </si>
  <si>
    <t xml:space="preserve">Catch</t>
  </si>
  <si>
    <t xml:space="preserve">Rooftop solar</t>
  </si>
  <si>
    <t xml:space="preserve">&lt;2–5% of a DC's load</t>
  </si>
  <si>
    <t xml:space="preserve">Group captive (≥26% equity)</t>
  </si>
  <si>
    <t xml:space="preserve">5.5–7</t>
  </si>
  <si>
    <t xml:space="preserve">Avoids CSS and additional surcharge</t>
  </si>
  <si>
    <t xml:space="preserve">Third-party open access</t>
  </si>
  <si>
    <t xml:space="preserve">6.5–8</t>
  </si>
  <si>
    <t xml:space="preserve">Surcharges, banking limits</t>
  </si>
  <si>
    <t xml:space="preserve">ISTS hybrid PPA</t>
  </si>
  <si>
    <t xml:space="preserve">5–6.5 + charges</t>
  </si>
  <si>
    <t xml:space="preserve">SECI RTC/FDRE</t>
  </si>
  <si>
    <t xml:space="preserve">~5.25 + delivery</t>
  </si>
  <si>
    <t xml:space="preserve">Unbundled RECs</t>
  </si>
  <si>
    <t xml:space="preserve">+0.1–0.3</t>
  </si>
  <si>
    <t xml:space="preserve">Weakest claim</t>
  </si>
  <si>
    <t xml:space="preserve">ATL-T61  Report 8: Green rules elsewhere</t>
  </si>
  <si>
    <t xml:space="preserve">Source: EU, Germany, Singapore, China, India</t>
  </si>
  <si>
    <t xml:space="preserve">Jurisdiction</t>
  </si>
  <si>
    <t xml:space="preserve">Key Requirement</t>
  </si>
  <si>
    <t xml:space="preserve">Germany (EnEfG)</t>
  </si>
  <si>
    <t xml:space="preserve">New sites PUE ≤1.2 from July 2026; 100% renewable from 2027; heat reuse 10→20%</t>
  </si>
  <si>
    <t xml:space="preserve">European Union</t>
  </si>
  <si>
    <t xml:space="preserve">A–G grades for every site &gt;500 kW from Aug 2027 (A: PUE ≤1.15, WUE ≤0.10)</t>
  </si>
  <si>
    <t xml:space="preserve">2026 round: PUE 1.25 at full load, ≥50% green energy, Green Mark Platinum</t>
  </si>
  <si>
    <t xml:space="preserve">New large DCs PUE ≤1.25 (≤1.2 in hubs); ≥80% renewable in hubs</t>
  </si>
  <si>
    <t xml:space="preserve">No binding national threshold; MeitY tenders PUE &lt;1.35; Karnataka PUE/WUE reporting</t>
  </si>
  <si>
    <t xml:space="preserve">ATL-T62  Report 8: Indian operators' green disclosures</t>
  </si>
  <si>
    <t xml:space="preserve">Source: Company reports</t>
  </si>
  <si>
    <t xml:space="preserve">Latest Disclosed</t>
  </si>
  <si>
    <t xml:space="preserve">49% RE in core DCs (FY25), first Indian DC in RE100, 70% target</t>
  </si>
  <si>
    <t xml:space="preserve">US$875 m sustainability-linked loan, KPIs on efficiency and RE</t>
  </si>
  <si>
    <t xml:space="preserve">&gt;231 MW RE contracted; limited PUE disclosure</t>
  </si>
  <si>
    <t xml:space="preserve">Captive solar for Mumbai; NTPC Green partnership</t>
  </si>
  <si>
    <t xml:space="preserve">Green tariff via TUCO (hydro, biogas)</t>
  </si>
  <si>
    <t xml:space="preserve">ATL-T63  Report 9: State data-centre policy register</t>
  </si>
  <si>
    <t xml:space="preserve">Source: State policy documents and GRs (Report 9)</t>
  </si>
  <si>
    <t xml:space="preserve">Used in atlas: Shown in atlas Ch 9 State policies (chart, table or calculator data built from the report).</t>
  </si>
  <si>
    <t xml:space="preserve">Power incentives</t>
  </si>
  <si>
    <t xml:space="preserve">Land &amp; approvals</t>
  </si>
  <si>
    <t xml:space="preserve">Projects</t>
  </si>
  <si>
    <t xml:space="preserve">active</t>
  </si>
  <si>
    <t xml:space="preserve">IT/ITeS 2023 + Green DC Parks GRs (Oct 2024, Jun 2026)</t>
  </si>
  <si>
    <t xml:space="preserve">ED waiver 20 yrs; ₹1/unit for 10–20 yrs</t>
  </si>
  <si>
    <t xml:space="preserve">100% stamp duty (parks); DCs allowed in any zone; extra FSI</t>
  </si>
  <si>
    <t xml:space="preserve">Mumbai ~890 MW live; Lodha Palava park MoU (secondary).</t>
  </si>
  <si>
    <t xml:space="preserve">Strongest ecosystem: subsea cables, exchanges, tenants. Green floor weakened in June 2026; water rules not codified.</t>
  </si>
  <si>
    <t xml:space="preserve">legacy</t>
  </si>
  <si>
    <t xml:space="preserve">Data Centres Policy 2016 + bespoke packages</t>
  </si>
  <si>
    <t xml:space="preserve">Power incentives; dual grid; essential service</t>
  </si>
  <si>
    <t xml:space="preserve">Govt land subsidy; 50% building-fee rebate</t>
  </si>
  <si>
    <t xml:space="preserve">Hyderabad 151 MW live; AWS ₹60,000 cr; TCS HyperVault up to 1 GW; CtrlS 400 MW; NTT–Neysa 400 MW.</t>
  </si>
  <si>
    <t xml:space="preserve">Inland, low seismic risk, hyperscaler-anchored. Runs on a ten-year-old policy and opaque deals with no water or efficiency rules.</t>
  </si>
  <si>
    <t xml:space="preserve">DC Policy 4.0, G.O.Ms.No.6 (14.11.2024)</t>
  </si>
  <si>
    <t xml:space="preserve">Seawater cooling; "70% RE" stated, not notified</t>
  </si>
  <si>
    <t xml:space="preserve">200 MW–1 GW in policy; 6.5 GW claimed</t>
  </si>
  <si>
    <t xml:space="preserve">100% stamp duty first sale; land discounts for mega projects (&gt;50 MW or &gt;₹5,000 cr)</t>
  </si>
  <si>
    <t xml:space="preserve">Google US$15 bn (~1 GW, Vizag), Reliance 1 GW, Meta–Sify 500 MW.</t>
  </si>
  <si>
    <t xml:space="preserve">Most generous and fastest for anchors. Opaque bespoke packages now face PILs on water, wildlife and Dalit land.</t>
  </si>
  <si>
    <t xml:space="preserve">lapsed</t>
  </si>
  <si>
    <t xml:space="preserve">DC Policy 2021 (lapsed 31.3.2026)</t>
  </si>
  <si>
    <t xml:space="preserve">100% electricity tax subsidy, 5 yrs</t>
  </si>
  <si>
    <t xml:space="preserve">≥30% RE for eligibility</t>
  </si>
  <si>
    <t xml:space="preserve">50–100% stamp duty; 50% land subsidy (Cat C); FSI and zoning relaxations</t>
  </si>
  <si>
    <t xml:space="preserve">Chennai 214 MW live; MoUs with Adani, L&amp;T, STT GDC, CtrlS, Nxtra.</t>
  </si>
  <si>
    <t xml:space="preserve">Chennai has top subsea connectivity, but no successor policy has been notified since the lapse.</t>
  </si>
  <si>
    <t xml:space="preserve">ED waiver 10 yrs; T&amp;W relief; dual grid</t>
  </si>
  <si>
    <t xml:space="preserve">25–50% land subsidy; 100% stamp duty</t>
  </si>
  <si>
    <t xml:space="preserve">644 MW proposed under 2021 policy, ~101 MW commercialised; Yotta, NTT, STT, AdaniConneX, CtrlS.</t>
  </si>
  <si>
    <t xml:space="preserve">Most transparent state and first with AI-compute incentives. Regional land subsidy drew no projects outside Noida.</t>
  </si>
  <si>
    <t xml:space="preserve">₹1/unit for 20 yrs; ED reimbursement 20 yrs</t>
  </si>
  <si>
    <t xml:space="preserve">51% RE for incentives</t>
  </si>
  <si>
    <t xml:space="preserve">100% stamp duty and registration; cap 75% of fixed capital over 20 yrs</t>
  </si>
  <si>
    <t xml:space="preserve">L&amp;T Vyoma 250 MW at Dholera; GIFT City IFSC benefits.</t>
  </si>
  <si>
    <t xml:space="preserve">Renewable land and cheap solar, but few subsea landings and no water plan for drought-prone areas.</t>
  </si>
  <si>
    <t xml:space="preserve">Sustainable DC Policy 2026–31 (Sept 2026)</t>
  </si>
  <si>
    <t xml:space="preserve">PUE/WUE reporting; ₹20 cr for PUE ≤1.20; WUE and treated-water reimbursement</t>
  </si>
  <si>
    <t xml:space="preserve">1 GW by 2031; ₹1,300.45 cr outlay</t>
  </si>
  <si>
    <t xml:space="preserve">Parks at Hoskote, Mangaluru, Mysuru on 30+30-yr leases</t>
  </si>
  <si>
    <t xml:space="preserve">32 DCs, Bengaluru 162 MW live; Hoskote ~500 MW park with 60 MLD treated water planned.</t>
  </si>
  <si>
    <t xml:space="preserve">India's best sustainability design, but incentives are small for hyperscale and Bengaluru has grid and water limits.</t>
  </si>
  <si>
    <t xml:space="preserve">State Data Centre Policy 2022</t>
  </si>
  <si>
    <t xml:space="preserve">ED waiver 20 yrs; power bill ≤25% of SGST</t>
  </si>
  <si>
    <t xml:space="preserve">100% stamp duty; FAR relaxation; essential service (ESMA)</t>
  </si>
  <si>
    <t xml:space="preserve">Gurugram cluster serving NCR.</t>
  </si>
  <si>
    <t xml:space="preserve">Solid incentives next to Delhi demand; expensive Gurugram land and no green provisions.</t>
  </si>
  <si>
    <t xml:space="preserve">expiring</t>
  </si>
  <si>
    <t xml:space="preserve">DC Policy 2021, No. 490-ITE (lapses ~Sept 2026)</t>
  </si>
  <si>
    <t xml:space="preserve">ED waiver 5 yrs; dual grid</t>
  </si>
  <si>
    <t xml:space="preserve">400 MW by 2025 (missed)</t>
  </si>
  <si>
    <t xml:space="preserve">100% stamp duty and registration; edge DC support</t>
  </si>
  <si>
    <t xml:space="preserve">Kolkata ~67 MW; Adani 51.8 acres, Jio 40 acres at New Town.</t>
  </si>
  <si>
    <t xml:space="preserve">Only eastern hub with a dedicated policy; about to lapse.</t>
  </si>
  <si>
    <t xml:space="preserve">30% power-bill subsidy 5 yrs; ED 10 yrs; captive-RE T&amp;W 100%</t>
  </si>
  <si>
    <t xml:space="preserve">IDCO land at concessional rates; stamp duty 100/50%</t>
  </si>
  <si>
    <t xml:space="preserve">Few projects so far.</t>
  </si>
  <si>
    <t xml:space="preserve">Strong incentives and water security on paper; little track record.</t>
  </si>
  <si>
    <t xml:space="preserve">Data Centre Policy 2025</t>
  </si>
  <si>
    <t xml:space="preserve">ZLD, recycling, green buildings; green incentive ≤₹12.5 cr</t>
  </si>
  <si>
    <t xml:space="preserve">Stamp duty and conversion exemptions</t>
  </si>
  <si>
    <t xml:space="preserve">Early stage.</t>
  </si>
  <si>
    <t xml:space="preserve">Best renewables and a model water framework; far from connectivity and demand.</t>
  </si>
  <si>
    <t xml:space="preserve">IT/ITeS &amp; ESDM Policy 2023</t>
  </si>
  <si>
    <t xml:space="preserve">Tariff rebate; ED waiver</t>
  </si>
  <si>
    <t xml:space="preserve">Vague green support</t>
  </si>
  <si>
    <t xml:space="preserve">25% capex up to ₹125 cr for first 5 anchors</t>
  </si>
  <si>
    <t xml:space="preserve">CtrlS Bhopal (₹500 cr); RackBank Indore.</t>
  </si>
  <si>
    <t xml:space="preserve">Generous anchor subsidy; limited connectivity.</t>
  </si>
  <si>
    <t xml:space="preserve">25% tariff subsidy 5 yrs</t>
  </si>
  <si>
    <t xml:space="preserve">30% capex up to ₹30 cr or interest subvention</t>
  </si>
  <si>
    <t xml:space="preserve">None identified.</t>
  </si>
  <si>
    <t xml:space="preserve">Data centres covered as an ancillary sector.</t>
  </si>
  <si>
    <t xml:space="preserve">Industrial Development Policy 2024–30</t>
  </si>
  <si>
    <t xml:space="preserve">SEZ route available</t>
  </si>
  <si>
    <t xml:space="preserve">RackBank AI park, Nava Raipur (5 → 150 MW).</t>
  </si>
  <si>
    <t xml:space="preserve">Data-centre clauses not verified.</t>
  </si>
  <si>
    <t xml:space="preserve">Industrial &amp; Business Dev. Policy 2022</t>
  </si>
  <si>
    <t xml:space="preserve">ED exemption</t>
  </si>
  <si>
    <t xml:space="preserve">100% stamp duty; CLU/EDC exemption</t>
  </si>
  <si>
    <t xml:space="preserve">IT-unit benefits apply to data centres.</t>
  </si>
  <si>
    <t xml:space="preserve">ATL-T64  Report 9: State attractiveness factor scores (0–10) and index</t>
  </si>
  <si>
    <t xml:space="preserve">Source: Report 9 judgement; index uses report weights 25/15/15/15/10/10/10</t>
  </si>
  <si>
    <t xml:space="preserve">Renewables</t>
  </si>
  <si>
    <t xml:space="preserve">Index</t>
  </si>
  <si>
    <t xml:space="preserve">Sustainability rank</t>
  </si>
  <si>
    <t xml:space="preserve">ATL-T65  Report 9: Policy validity periods</t>
  </si>
  <si>
    <t xml:space="preserve">Source: State policies (Report 9)</t>
  </si>
  <si>
    <t xml:space="preserve">Note: Years are decimal (e.g. 2026.25 = end of March 2026).</t>
  </si>
  <si>
    <t xml:space="preserve">Start (year)</t>
  </si>
  <si>
    <t xml:space="preserve">End (year)</t>
  </si>
  <si>
    <t xml:space="preserve">Telangana 2016</t>
  </si>
  <si>
    <t xml:space="preserve">Tamil Nadu 2021</t>
  </si>
  <si>
    <t xml:space="preserve">West Bengal 2021</t>
  </si>
  <si>
    <t xml:space="preserve">UP 2021</t>
  </si>
  <si>
    <t xml:space="preserve">Haryana 2022</t>
  </si>
  <si>
    <t xml:space="preserve">Odisha 2022</t>
  </si>
  <si>
    <t xml:space="preserve">Maharashtra IT 2023</t>
  </si>
  <si>
    <t xml:space="preserve">MP IT 2023</t>
  </si>
  <si>
    <t xml:space="preserve">AP 4.0</t>
  </si>
  <si>
    <t xml:space="preserve">Rajasthan 2025</t>
  </si>
  <si>
    <t xml:space="preserve">Gujarat DC 2026</t>
  </si>
  <si>
    <t xml:space="preserve">UP 2026</t>
  </si>
  <si>
    <t xml:space="preserve">Karnataka 2026</t>
  </si>
  <si>
    <t xml:space="preserve">ATL-T66  Report 9: Electricity-duty holiday by state (years)</t>
  </si>
  <si>
    <t xml:space="preserve">Source: State policies</t>
  </si>
  <si>
    <t xml:space="preserve">State (policy)</t>
  </si>
  <si>
    <t xml:space="preserve">Years</t>
  </si>
  <si>
    <t xml:space="preserve">Tamil Nadu (2021)</t>
  </si>
  <si>
    <t xml:space="preserve">West Bengal (2021)</t>
  </si>
  <si>
    <t xml:space="preserve">Rajasthan (2025)</t>
  </si>
  <si>
    <t xml:space="preserve">Odisha (2022)</t>
  </si>
  <si>
    <t xml:space="preserve">Haryana (2022)</t>
  </si>
  <si>
    <t xml:space="preserve">Maharashtra (2026)</t>
  </si>
  <si>
    <t xml:space="preserve">Gujarat (2026)</t>
  </si>
  <si>
    <t xml:space="preserve">ATL-T67  Report 9: The central framework</t>
  </si>
  <si>
    <t xml:space="preserve">Source: Atlas Ch 9 (from Report 9)</t>
  </si>
  <si>
    <t xml:space="preserve">Status · Effect</t>
  </si>
  <si>
    <t xml:space="preserve">Draft National DC Policy (2020)</t>
  </si>
  <si>
    <t xml:space="preserve">Never notified; consultations revived</t>
  </si>
  <si>
    <t xml:space="preserve">Infrastructure status (Oct 2022)</t>
  </si>
  <si>
    <t xml:space="preserve">DCs ≥5 MW; long-tenor debt, ECBs</t>
  </si>
  <si>
    <t xml:space="preserve">Budget 2026–27</t>
  </si>
  <si>
    <t xml:space="preserve">Tax holiday to 31 Mar 2047 for foreign cloud firms using Indian DCs; no green conditions</t>
  </si>
  <si>
    <t xml:space="preserve">DPDP Rules (Nov 2025)</t>
  </si>
  <si>
    <t xml:space="preserve">Soft localisation; RBI and SEBI rules drive local hosting more</t>
  </si>
  <si>
    <t xml:space="preserve">Green Open Access Rules 2022</t>
  </si>
  <si>
    <t xml:space="preserve">100 kW threshold; surcharges and banking still bite</t>
  </si>
  <si>
    <t xml:space="preserve">Subsidised GPU compute bought from private operators</t>
  </si>
  <si>
    <t xml:space="preserve">SIM-T01  Simulator assumptions and evidence</t>
  </si>
  <si>
    <t xml:space="preserve">Source: Atlas simulator (Reports 3–7)</t>
  </si>
  <si>
    <t xml:space="preserve">Used in atlas: Simulator "Assumptions behind the simulator" table; feeds every simulator output.</t>
  </si>
  <si>
    <t xml:space="preserve">Used to derive: Capex, cost per IT-kWh, energy, water, CO₂, MVA and incentives for any design.</t>
  </si>
  <si>
    <t xml:space="preserve">Value used</t>
  </si>
  <si>
    <t xml:space="preserve">Grid tariffs (energy + demand)</t>
  </si>
  <si>
    <t xml:space="preserve">KA ₹6.70 + ₹365/kVA; MH ₹7.27 + ₹560; TN ₹7.50 + ₹608; TG ₹6.65 + ₹500 (FY2025–26 orders)</t>
  </si>
  <si>
    <t xml:space="preserve">reported</t>
  </si>
  <si>
    <t xml:space="preserve">State commission tariff orders, Report 7</t>
  </si>
  <si>
    <t xml:space="preserve">UP and AP tariffs</t>
  </si>
  <si>
    <t xml:space="preserve">₹7.4 and ₹7.2/kWh (typical ₹7–8)</t>
  </si>
  <si>
    <t xml:space="preserve">estimate</t>
  </si>
  <si>
    <t xml:space="preserve">Not verified in Report 7</t>
  </si>
  <si>
    <t xml:space="preserve">Renewable landed cost</t>
  </si>
  <si>
    <t xml:space="preserve">₹5.5–6.2/kWh open access; ≥₹6.4 for 90% hourly clean</t>
  </si>
  <si>
    <t xml:space="preserve">SECI RTC ₹5.25 + charges; group captive ₹4.5–6.5 (Report 7)</t>
  </si>
  <si>
    <t xml:space="preserve">Facility capex</t>
  </si>
  <si>
    <t xml:space="preserve">Colo ₹56.1, hyperscale ₹39.2, AI ₹72.5 cr/MW before land; cooling adds ₹0–3 cr/MW</t>
  </si>
  <si>
    <t xml:space="preserve">model</t>
  </si>
  <si>
    <t xml:space="preserve">Report 7 cost stacks</t>
  </si>
  <si>
    <t xml:space="preserve">GPU capex</t>
  </si>
  <si>
    <t xml:space="preserve">₹266 cr per MW of IT (~425 GB300-class GPUs/MW)</t>
  </si>
  <si>
    <t xml:space="preserve">Report 7; GB300 rack price contested at US$3.7–6.5 m</t>
  </si>
  <si>
    <t xml:space="preserve">₹3–20 cr per acre by city; 0.25–0.4 acre/MW</t>
  </si>
  <si>
    <t xml:space="preserve">Report 7 and market reports</t>
  </si>
  <si>
    <t xml:space="preserve">Cooling overhead and WUE</t>
  </si>
  <si>
    <t xml:space="preserve">Function of design dry and wet bulb; towers ~1.8 L/kWh, adiabatic ~0.4, liquid + dry ~0.03</t>
  </si>
  <si>
    <t xml:space="preserve">Reports 3, 4 and 6</t>
  </si>
  <si>
    <t xml:space="preserve">Grid carbon</t>
  </si>
  <si>
    <t xml:space="preserve">0.710 tCO₂/MWh for all states</t>
  </si>
  <si>
    <t xml:space="preserve">CEA v21; one national grid factor</t>
  </si>
  <si>
    <t xml:space="preserve">Karnataka 1.5 L/kWh; other states 2.2 L/kWh</t>
  </si>
  <si>
    <t xml:space="preserve">Reports 4–6</t>
  </si>
  <si>
    <t xml:space="preserve">Water price</t>
  </si>
  <si>
    <t xml:space="preserve">BWSSB ₹99/kL; ₹80 elsewhere; groundwater ₹20; treated + RO ₹40</t>
  </si>
  <si>
    <t xml:space="preserve">BWSSB tariff; others assumed</t>
  </si>
  <si>
    <t xml:space="preserve">Electricity duty</t>
  </si>
  <si>
    <t xml:space="preserve">7.5% of the energy charge, where waived</t>
  </si>
  <si>
    <t xml:space="preserve">Assumption; duty rates differ by state</t>
  </si>
  <si>
    <t xml:space="preserve">Finance</t>
  </si>
  <si>
    <t xml:space="preserve">WACC 11%; facility 20 years, GPUs 5 years</t>
  </si>
  <si>
    <t xml:space="preserve">Report 7</t>
  </si>
  <si>
    <t xml:space="preserve">Scarcity weights</t>
  </si>
  <si>
    <t xml:space="preserve">Groundwater 1.0, municipal 0.7, treated 0.1, power stations 0.4, × city stress</t>
  </si>
  <si>
    <t xml:space="preserve">Report 6; illustrative</t>
  </si>
  <si>
    <t xml:space="preserve">SIM-T02  Simulator city parameters</t>
  </si>
  <si>
    <t xml:space="preserve">Used in atlas: Simulator model inputs.</t>
  </si>
  <si>
    <t xml:space="preserve">Used to derive: Capex, PUE, WUE and costs for each city and workload in the simulator.</t>
  </si>
  <si>
    <t xml:space="preserve">Design DB (°C)</t>
  </si>
  <si>
    <t xml:space="preserve">Design WB (°C)</t>
  </si>
  <si>
    <t xml:space="preserve">Land (₹ cr/acre)</t>
  </si>
  <si>
    <t xml:space="preserve">Grid energy (₹/kWh)</t>
  </si>
  <si>
    <t xml:space="preserve">Demand (₹/kVA-month)</t>
  </si>
  <si>
    <t xml:space="preserve">RE landed (₹/kWh)</t>
  </si>
  <si>
    <t xml:space="preserve">Power-station water (L/kWh)</t>
  </si>
  <si>
    <t xml:space="preserve">Water stress weight</t>
  </si>
  <si>
    <t xml:space="preserve">Water price (₹/kL)</t>
  </si>
  <si>
    <t xml:space="preserve">no</t>
  </si>
  <si>
    <t xml:space="preserve">yes</t>
  </si>
  <si>
    <t xml:space="preserve">Vizag</t>
  </si>
  <si>
    <t xml:space="preserve">SIM-T03  Simulator workload parameters</t>
  </si>
  <si>
    <t xml:space="preserve">Source: Atlas simulator (Report 7)</t>
  </si>
  <si>
    <t xml:space="preserve">Facility capex (₹ cr/MW, before land)</t>
  </si>
  <si>
    <t xml:space="preserve">Acres per MW</t>
  </si>
  <si>
    <t xml:space="preserve">Other opex (₹ cr/MW/yr)</t>
  </si>
  <si>
    <t xml:space="preserve">Utilisation (%)</t>
  </si>
  <si>
    <t xml:space="preserve">Power losses (PUE share)</t>
  </si>
  <si>
    <t xml:space="preserve">Other (PUE share)</t>
  </si>
  <si>
    <t xml:space="preserve">GPU capex (₹ cr/MW)</t>
  </si>
  <si>
    <t xml:space="preserve">GPUs per MW</t>
  </si>
  <si>
    <t xml:space="preserve">SIM-T04  State incentives modelled in the simulator</t>
  </si>
  <si>
    <t xml:space="preserve">Used in atlas: Simulator incentive line and policy panel.</t>
  </si>
  <si>
    <t xml:space="preserve">Used to derive: Incentive value per year and per IT-kWh.</t>
  </si>
  <si>
    <t xml:space="preserve">₹1/unit subsidy</t>
  </si>
  <si>
    <t xml:space="preserve">Electricity duty waived</t>
  </si>
  <si>
    <t xml:space="preserve">One-time bonus (₹ cr)</t>
  </si>
  <si>
    <t xml:space="preserve">Note</t>
  </si>
  <si>
    <t xml:space="preserve">Electricity-duty exemption, plus ₹20 crore one-time for PUE ≤ 1.20 and reimbursements for WUE and treated water (Sustainable DC Policy 2026–31).</t>
  </si>
  <si>
    <t xml:space="preserve">₹1/unit tariff subsidy and a 20-year duty waiver in green DC parks, conditional on at least 51% renewable power (GR, June 2026).</t>
  </si>
  <si>
    <t xml:space="preserve">The 2021 policy lapsed on 31 March 2026. No incentive applies until a successor is notified.</t>
  </si>
  <si>
    <t xml:space="preserve">A 2016 policy. Large projects get packages negotiated case by case, none of them published, so nothing is modelled here.</t>
  </si>
  <si>
    <t xml:space="preserve">10-year electricity-duty waiver, plus a booster for PUE or green certification (DC Policy 2026).</t>
  </si>
  <si>
    <t xml:space="preserve">Industrial tariff; transmission and wheeling relief case by case; stamp-duty and land concessions for mega projects (Policy 4.0).</t>
  </si>
  <si>
    <t xml:space="preserve">1 tables. Source line under each title; "Note" gives the context sentence from the report.</t>
  </si>
  <si>
    <t xml:space="preserve">KEY-T01  Key numbers cheat sheet</t>
  </si>
  <si>
    <t xml:space="preserve">Source: Atlas Key numbers (all reports)</t>
  </si>
  <si>
    <t xml:space="preserve">Used in atlas: Key numbers cheat sheet (searchable list) at the end of the atlas.</t>
  </si>
  <si>
    <t xml:space="preserve">Used to derive: Quick reference for the most-used figures; each row names its source.</t>
  </si>
  <si>
    <t xml:space="preserve">Global DC electricity 2024 → 2030</t>
  </si>
  <si>
    <t xml:space="preserve">415 → 945 TWh</t>
  </si>
  <si>
    <t xml:space="preserve">IEA Energy and AI, Apr 2025</t>
  </si>
  <si>
    <t xml:space="preserve">Global capacity 2025 → 2030</t>
  </si>
  <si>
    <t xml:space="preserve">~103 → ~200 GW</t>
  </si>
  <si>
    <t xml:space="preserve">JLL, Jan 2026</t>
  </si>
  <si>
    <t xml:space="preserve">~48% (→ 67% by 2031)</t>
  </si>
  <si>
    <t xml:space="preserve">Synergy, Apr 2026</t>
  </si>
  <si>
    <t xml:space="preserve">India operational capacity</t>
  </si>
  <si>
    <t xml:space="preserve">1,789 MW</t>
  </si>
  <si>
    <t xml:space="preserve">Cushman &amp; Wakefield, H1 2026</t>
  </si>
  <si>
    <t xml:space="preserve">India pipeline to 2030</t>
  </si>
  <si>
    <t xml:space="preserve">3,860 MW · US$29.9 bn</t>
  </si>
  <si>
    <t xml:space="preserve">Cushman &amp; Wakefield</t>
  </si>
  <si>
    <t xml:space="preserve">Mumbai share of India capacity</t>
  </si>
  <si>
    <t xml:space="preserve">~50% (890 MW)</t>
  </si>
  <si>
    <t xml:space="preserve">Uptime 2025</t>
  </si>
  <si>
    <t xml:space="preserve">Google, 2025</t>
  </si>
  <si>
    <t xml:space="preserve">MeitY AI-cloud tender PUE</t>
  </si>
  <si>
    <t xml:space="preserve">&lt;1.35</t>
  </si>
  <si>
    <t xml:space="preserve">MeitY, since 2024</t>
  </si>
  <si>
    <t xml:space="preserve">Indian leaders' PUE</t>
  </si>
  <si>
    <t xml:space="preserve">1.4–1.5</t>
  </si>
  <si>
    <t xml:space="preserve">SBI, Apr 2026</t>
  </si>
  <si>
    <t xml:space="preserve">India grid emission factor</t>
  </si>
  <si>
    <t xml:space="preserve">CEA v21, FY25</t>
  </si>
  <si>
    <t xml:space="preserve">Karnataka consumption mix</t>
  </si>
  <si>
    <t xml:space="preserve">~0.50 tCO₂/MWh</t>
  </si>
  <si>
    <t xml:space="preserve">Series estimate</t>
  </si>
  <si>
    <t xml:space="preserve">Evening fossil peak</t>
  </si>
  <si>
    <t xml:space="preserve">~174 GW at 7 pm</t>
  </si>
  <si>
    <t xml:space="preserve">Ember, H1 2026</t>
  </si>
  <si>
    <t xml:space="preserve">Coal lifecycle carbon</t>
  </si>
  <si>
    <t xml:space="preserve">820 g/kWh (India actual 900–1,100)</t>
  </si>
  <si>
    <t xml:space="preserve">IPCC AR5</t>
  </si>
  <si>
    <t xml:space="preserve">Indian coal water use</t>
  </si>
  <si>
    <t xml:space="preserve">2.8–4.0+ m³/MWh</t>
  </si>
  <si>
    <t xml:space="preserve">CSE / CEA research</t>
  </si>
  <si>
    <t xml:space="preserve">Karnataka grid water</t>
  </si>
  <si>
    <t xml:space="preserve">~1.5 L/kWh</t>
  </si>
  <si>
    <t xml:space="preserve">Evaporation per kWh of heat</t>
  </si>
  <si>
    <t xml:space="preserve">~1.5 L</t>
  </si>
  <si>
    <t xml:space="preserve">Latent heat 2,400 kJ/kg</t>
  </si>
  <si>
    <t xml:space="preserve">50 MW evaporative withdrawal</t>
  </si>
  <si>
    <t xml:space="preserve">1.77 MLD (peak ~2.4)</t>
  </si>
  <si>
    <t xml:space="preserve">BWSSB delivered supply</t>
  </si>
  <si>
    <t xml:space="preserve">~1,935 MLD</t>
  </si>
  <si>
    <t xml:space="preserve">Legislative Council, Aug 2026</t>
  </si>
  <si>
    <t xml:space="preserve">Bangalore East groundwater stage</t>
  </si>
  <si>
    <t xml:space="preserve">~305%</t>
  </si>
  <si>
    <t xml:space="preserve">2024 assessment</t>
  </si>
  <si>
    <t xml:space="preserve">Bengaluru DC water today</t>
  </si>
  <si>
    <t xml:space="preserve">~2–20 MLD (estimates)</t>
  </si>
  <si>
    <t xml:space="preserve">DTE, IT dept, WELL Labs</t>
  </si>
  <si>
    <t xml:space="preserve">100 MW AI campus energy</t>
  </si>
  <si>
    <t xml:space="preserve">~841 MU/yr · ~140 MVA</t>
  </si>
  <si>
    <t xml:space="preserve">Report 4</t>
  </si>
  <si>
    <t xml:space="preserve">Karnataka 1 GW target, evaporative</t>
  </si>
  <si>
    <t xml:space="preserve">~32 MLD</t>
  </si>
  <si>
    <t xml:space="preserve">Tier III build cost</t>
  </si>
  <si>
    <t xml:space="preserve">₹50–55 cr/MW (series model ₹56.1)</t>
  </si>
  <si>
    <t xml:space="preserve">SBI / Report 7</t>
  </si>
  <si>
    <t xml:space="preserve">AI / Tier IV build cost</t>
  </si>
  <si>
    <t xml:space="preserve">up to ₹75 cr/MW</t>
  </si>
  <si>
    <t xml:space="preserve">Mumbai construction cost</t>
  </si>
  <si>
    <t xml:space="preserve">US$6.64/W (51st of 52)</t>
  </si>
  <si>
    <t xml:space="preserve">Turner &amp; Townsend 2025</t>
  </si>
  <si>
    <t xml:space="preserve">Colo LCOD (20 MW)</t>
  </si>
  <si>
    <t xml:space="preserve">₹29.7 per IT-kWh</t>
  </si>
  <si>
    <t xml:space="preserve">Mumbai colo rent, 1–5 MW</t>
  </si>
  <si>
    <t xml:space="preserve">₹6,500–8,000/kW/month</t>
  </si>
  <si>
    <t xml:space="preserve">H100 cost at 80% use</t>
  </si>
  <si>
    <t xml:space="preserve">~₹177/GPU-hour</t>
  </si>
  <si>
    <t xml:space="preserve">IndiaAI L1 rate (H100-class)</t>
  </si>
  <si>
    <t xml:space="preserve">₹150/GPU-hour</t>
  </si>
  <si>
    <t xml:space="preserve">IndiaAI</t>
  </si>
  <si>
    <t xml:space="preserve">IndiaAI GPUs</t>
  </si>
  <si>
    <t xml:space="preserve">38,231 across 14 providers</t>
  </si>
  <si>
    <t xml:space="preserve">PIB, Mar 2026</t>
  </si>
  <si>
    <t xml:space="preserve">SECI round-the-clock RE</t>
  </si>
  <si>
    <t xml:space="preserve">₹5.25–5.26/kWh</t>
  </si>
  <si>
    <t xml:space="preserve">SECI tranche V, Aug 2026</t>
  </si>
  <si>
    <t xml:space="preserve">Green 20 MW colo payback</t>
  </si>
  <si>
    <t xml:space="preserve">~2.3 years</t>
  </si>
  <si>
    <t xml:space="preserve">Report 8</t>
  </si>
  <si>
    <t xml:space="preserve">Green package abatement cost</t>
  </si>
  <si>
    <t xml:space="preserve">≈ −₹2,540/tCO₂</t>
  </si>
  <si>
    <t xml:space="preserve">Karnataka PUE incentive</t>
  </si>
  <si>
    <t xml:space="preserve">₹20 cr for PUE 1.00–1.20</t>
  </si>
  <si>
    <t xml:space="preserve">Karnataka policy 2026–31</t>
  </si>
  <si>
    <t xml:space="preserve">Karnataka policy outlay</t>
  </si>
  <si>
    <t xml:space="preserve">₹1,300.45 cr · 1 GW by 2031</t>
  </si>
  <si>
    <t xml:space="preserve">Karnataka, Sept 2026</t>
  </si>
  <si>
    <t xml:space="preserve">HFC freeze in India</t>
  </si>
  <si>
    <t xml:space="preserve">Kigali Amendment</t>
  </si>
  <si>
    <t xml:space="preserve">Liquid-cooling revenue</t>
  </si>
  <si>
    <t xml:space="preserve">~$3 bn (2025) → ~$7 bn (2029)</t>
  </si>
  <si>
    <t xml:space="preserve">Dell'Oro, Jan 2026</t>
  </si>
  <si>
    <t xml:space="preserve">GB200 / GB300 NVL72 rack</t>
  </si>
  <si>
    <t xml:space="preserve">120–150 kW</t>
  </si>
  <si>
    <t xml:space="preserve">Nvidia / OEMs</t>
  </si>
  <si>
    <t xml:space="preserve">Kyber rack (2027)</t>
  </si>
  <si>
    <t xml:space="preserve">~600 kW, 100% liquid, 800 VDC</t>
  </si>
  <si>
    <t xml:space="preserve">Nvidia GTC</t>
  </si>
  <si>
    <t xml:space="preserve">Budget tax holiday</t>
  </si>
  <si>
    <t xml:space="preserve">to 31 Mar 2047</t>
  </si>
  <si>
    <t xml:space="preserve">Finance Act 2026</t>
  </si>
  <si>
    <t xml:space="preserve">India subsea bandwidth via Mumbai</t>
  </si>
  <si>
    <t xml:space="preserve">~95%</t>
  </si>
  <si>
    <t xml:space="preserve">Series sources</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</si>
</sst>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55555"/>
      <name val="Arial"/>
      <family val="0"/>
      <charset val="1"/>
    </font>
    <font>
      <b val="true"/>
      <sz val="10"/>
      <color rgb="FFFFFFFF"/>
      <name val="Arial"/>
      <family val="0"/>
      <charset val="1"/>
    </font>
    <font>
      <sz val="10"/>
      <name val="Arial"/>
      <family val="0"/>
      <charset val="1"/>
    </font>
    <font>
      <u val="single"/>
      <sz val="10"/>
      <color rgb="FF0563C1"/>
      <name val="Arial"/>
      <family val="0"/>
      <charset val="1"/>
    </font>
    <font>
      <b val="true"/>
      <sz val="10"/>
      <name val="Arial"/>
      <family val="0"/>
      <charset val="1"/>
    </font>
    <font>
      <b val="true"/>
      <sz val="12"/>
      <name val="Arial"/>
      <family val="0"/>
      <charset val="1"/>
    </font>
    <font>
      <i val="true"/>
      <sz val="9"/>
      <color rgb="FF555555"/>
      <name val="Arial"/>
      <family val="0"/>
      <charset val="1"/>
    </font>
    <font>
      <b val="true"/>
      <sz val="9"/>
      <color rgb="FF1F3A5F"/>
      <name val="Arial"/>
      <family val="0"/>
      <charset val="1"/>
    </font>
    <font>
      <sz val="9"/>
      <color rgb="FF333333"/>
      <name val="Arial"/>
      <family val="0"/>
      <charset val="1"/>
    </font>
  </fonts>
  <fills count="10">
    <fill>
      <patternFill patternType="none"/>
    </fill>
    <fill>
      <patternFill patternType="gray125"/>
    </fill>
    <fill>
      <patternFill patternType="solid">
        <fgColor rgb="FF1F3A5F"/>
        <bgColor rgb="FF333333"/>
      </patternFill>
    </fill>
    <fill>
      <patternFill patternType="solid">
        <fgColor rgb="FFFFF2B3"/>
        <bgColor rgb="FFFCE4D6"/>
      </patternFill>
    </fill>
    <fill>
      <patternFill patternType="solid">
        <fgColor rgb="FFDDEBF7"/>
        <bgColor rgb="FFE8EEF5"/>
      </patternFill>
    </fill>
    <fill>
      <patternFill patternType="solid">
        <fgColor rgb="FFE8E0F2"/>
        <bgColor rgb="FFEDEDED"/>
      </patternFill>
    </fill>
    <fill>
      <patternFill patternType="solid">
        <fgColor rgb="FFFCE4D6"/>
        <bgColor rgb="FFEDEDED"/>
      </patternFill>
    </fill>
    <fill>
      <patternFill patternType="solid">
        <fgColor rgb="FFEDEDED"/>
        <bgColor rgb="FFE8EEF5"/>
      </patternFill>
    </fill>
    <fill>
      <patternFill patternType="solid">
        <fgColor rgb="FFC6EFCE"/>
        <bgColor rgb="FFDDEBF7"/>
      </patternFill>
    </fill>
    <fill>
      <patternFill patternType="solid">
        <fgColor rgb="FFE8EEF5"/>
        <bgColor rgb="FFEDEDED"/>
      </patternFill>
    </fill>
  </fills>
  <borders count="2">
    <border diagonalUp="false" diagonalDown="false">
      <left/>
      <right/>
      <top/>
      <bottom/>
      <diagonal/>
    </border>
    <border diagonalUp="false" diagonalDown="false">
      <left/>
      <right/>
      <top/>
      <bottom style="thin">
        <color rgb="FFD0D7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4" fontId="10" fillId="9" borderId="0" xfId="0" applyFont="tru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12" fillId="5" borderId="0" xfId="0" applyFont="true" applyBorder="false" applyAlignment="false" applyProtection="false">
      <alignment horizontal="general" vertical="bottom" textRotation="0" wrapText="false" indent="0" shrinkToFit="false"/>
      <protection locked="true" hidden="false"/>
    </xf>
    <xf numFmtId="164" fontId="12" fillId="6" borderId="0" xfId="0" applyFont="true" applyBorder="false" applyAlignment="false" applyProtection="false">
      <alignment horizontal="general" vertical="bottom" textRotation="0" wrapText="false" indent="0" shrinkToFit="false"/>
      <protection locked="true" hidden="false"/>
    </xf>
    <xf numFmtId="164" fontId="12" fillId="7" borderId="0" xfId="0" applyFont="true" applyBorder="false" applyAlignment="false" applyProtection="false">
      <alignment horizontal="general" vertical="bottom" textRotation="0" wrapText="false" indent="0" shrinkToFit="false"/>
      <protection locked="true" hidden="false"/>
    </xf>
    <xf numFmtId="164" fontId="12" fillId="8"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C6EFCE"/>
          <bgColor rgb="FF000000"/>
        </patternFill>
      </fill>
    </dxf>
    <dxf>
      <fill>
        <patternFill patternType="solid">
          <fgColor rgb="FFDDEBF7"/>
          <bgColor rgb="FF000000"/>
        </patternFill>
      </fill>
    </dxf>
    <dxf>
      <fill>
        <patternFill patternType="solid">
          <fgColor rgb="FFE8E0F2"/>
          <bgColor rgb="FF000000"/>
        </patternFill>
      </fill>
    </dxf>
    <dxf>
      <fill>
        <patternFill patternType="solid">
          <fgColor rgb="FFEDEDED"/>
          <bgColor rgb="FF000000"/>
        </patternFill>
      </fill>
    </dxf>
    <dxf>
      <fill>
        <patternFill patternType="solid">
          <fgColor rgb="FFFCE4D6"/>
          <bgColor rgb="FF000000"/>
        </patternFill>
      </fill>
    </dxf>
    <dxf>
      <fill>
        <patternFill patternType="solid">
          <fgColor rgb="FFFFF2B3"/>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8E0F2"/>
      <rgbColor rgb="FF808080"/>
      <rgbColor rgb="FF9999FF"/>
      <rgbColor rgb="FF993366"/>
      <rgbColor rgb="FFFFF2B3"/>
      <rgbColor rgb="FFDDEBF7"/>
      <rgbColor rgb="FF660066"/>
      <rgbColor rgb="FFFF8080"/>
      <rgbColor rgb="FF0563C1"/>
      <rgbColor rgb="FFD0D7DE"/>
      <rgbColor rgb="FF000080"/>
      <rgbColor rgb="FFFF00FF"/>
      <rgbColor rgb="FFFFFF00"/>
      <rgbColor rgb="FF00FFFF"/>
      <rgbColor rgb="FF800080"/>
      <rgbColor rgb="FF800000"/>
      <rgbColor rgb="FF008080"/>
      <rgbColor rgb="FF0000FF"/>
      <rgbColor rgb="FF00CCFF"/>
      <rgbColor rgb="FFE8EEF5"/>
      <rgbColor rgb="FFC6EFCE"/>
      <rgbColor rgb="FFEDEDED"/>
      <rgbColor rgb="FF99CCFF"/>
      <rgbColor rgb="FFFF99CC"/>
      <rgbColor rgb="FFCC99FF"/>
      <rgbColor rgb="FFFCE4D6"/>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dc-report-tables.xlsx" TargetMode="External"/><Relationship Id="rId2" Type="http://schemas.openxmlformats.org/officeDocument/2006/relationships/hyperlink" Target="dc-report-tables.xlsx" TargetMode="External"/><Relationship Id="rId3" Type="http://schemas.openxmlformats.org/officeDocument/2006/relationships/hyperlink" Target="dc-report-tables.xlsx" TargetMode="External"/><Relationship Id="rId4" Type="http://schemas.openxmlformats.org/officeDocument/2006/relationships/hyperlink" Target="dc-report-tables.xlsx" TargetMode="External"/><Relationship Id="rId5" Type="http://schemas.openxmlformats.org/officeDocument/2006/relationships/hyperlink" Target="dc-report-tables.xlsx" TargetMode="External"/><Relationship Id="rId6" Type="http://schemas.openxmlformats.org/officeDocument/2006/relationships/hyperlink" Target="dc-report-tables.xlsx" TargetMode="External"/><Relationship Id="rId7" Type="http://schemas.openxmlformats.org/officeDocument/2006/relationships/hyperlink" Target="dc-report-tables.xlsx" TargetMode="External"/><Relationship Id="rId8" Type="http://schemas.openxmlformats.org/officeDocument/2006/relationships/hyperlink" Target="dc-report-tables.xlsx" TargetMode="External"/><Relationship Id="rId9" Type="http://schemas.openxmlformats.org/officeDocument/2006/relationships/hyperlink" Target="dc-report-tables.xlsx" TargetMode="External"/><Relationship Id="rId10" Type="http://schemas.openxmlformats.org/officeDocument/2006/relationships/hyperlink" Target="dc-report-tables.xlsx" TargetMode="External"/><Relationship Id="rId11" Type="http://schemas.openxmlformats.org/officeDocument/2006/relationships/hyperlink" Target="dc-report-tables.xlsx" TargetMode="External"/><Relationship Id="rId12" Type="http://schemas.openxmlformats.org/officeDocument/2006/relationships/hyperlink" Target="dc-report-tables.xlsx" TargetMode="External"/><Relationship Id="rId13" Type="http://schemas.openxmlformats.org/officeDocument/2006/relationships/hyperlink" Target="dc-report-tables.xlsx" TargetMode="External"/><Relationship Id="rId14" Type="http://schemas.openxmlformats.org/officeDocument/2006/relationships/hyperlink" Target="dc-report-tables.xlsx" TargetMode="External"/><Relationship Id="rId15" Type="http://schemas.openxmlformats.org/officeDocument/2006/relationships/hyperlink" Target="dc-report-tables.xlsx" TargetMode="External"/><Relationship Id="rId16" Type="http://schemas.openxmlformats.org/officeDocument/2006/relationships/hyperlink" Target="dc-report-tables.xlsx" TargetMode="External"/><Relationship Id="rId17" Type="http://schemas.openxmlformats.org/officeDocument/2006/relationships/hyperlink" Target="dc-report-tables.xlsx" TargetMode="External"/><Relationship Id="rId18" Type="http://schemas.openxmlformats.org/officeDocument/2006/relationships/hyperlink" Target="dc-report-tables.xlsx" TargetMode="External"/><Relationship Id="rId19" Type="http://schemas.openxmlformats.org/officeDocument/2006/relationships/hyperlink" Target="dc-report-tables.xlsx" TargetMode="External"/><Relationship Id="rId20" Type="http://schemas.openxmlformats.org/officeDocument/2006/relationships/hyperlink" Target="dc-report-tables.xlsx" TargetMode="External"/><Relationship Id="rId21" Type="http://schemas.openxmlformats.org/officeDocument/2006/relationships/hyperlink" Target="dc-report-tables.xlsx" TargetMode="External"/><Relationship Id="rId22" Type="http://schemas.openxmlformats.org/officeDocument/2006/relationships/hyperlink" Target="dc-report-tables.xlsx" TargetMode="External"/><Relationship Id="rId23" Type="http://schemas.openxmlformats.org/officeDocument/2006/relationships/hyperlink" Target="dc-report-tables.xlsx" TargetMode="External"/><Relationship Id="rId24" Type="http://schemas.openxmlformats.org/officeDocument/2006/relationships/hyperlink" Target="dc-report-tables.xlsx" TargetMode="External"/><Relationship Id="rId25" Type="http://schemas.openxmlformats.org/officeDocument/2006/relationships/hyperlink" Target="dc-report-tables.xlsx" TargetMode="External"/><Relationship Id="rId26" Type="http://schemas.openxmlformats.org/officeDocument/2006/relationships/hyperlink" Target="dc-report-tables.xlsx" TargetMode="External"/><Relationship Id="rId27" Type="http://schemas.openxmlformats.org/officeDocument/2006/relationships/hyperlink" Target="dc-report-tables.xlsx" TargetMode="External"/><Relationship Id="rId28" Type="http://schemas.openxmlformats.org/officeDocument/2006/relationships/hyperlink" Target="dc-report-tables.xlsx" TargetMode="External"/><Relationship Id="rId29" Type="http://schemas.openxmlformats.org/officeDocument/2006/relationships/hyperlink" Target="dc-report-tables.xlsx" TargetMode="External"/><Relationship Id="rId30" Type="http://schemas.openxmlformats.org/officeDocument/2006/relationships/hyperlink" Target="dc-report-tables.xlsx" TargetMode="External"/><Relationship Id="rId31" Type="http://schemas.openxmlformats.org/officeDocument/2006/relationships/hyperlink" Target="dc-report-tables.xlsx" TargetMode="External"/><Relationship Id="rId32" Type="http://schemas.openxmlformats.org/officeDocument/2006/relationships/hyperlink" Target="dc-report-tables.xlsx" TargetMode="External"/><Relationship Id="rId33" Type="http://schemas.openxmlformats.org/officeDocument/2006/relationships/hyperlink" Target="dc-report-tables.xlsx" TargetMode="External"/><Relationship Id="rId34" Type="http://schemas.openxmlformats.org/officeDocument/2006/relationships/hyperlink" Target="dc-report-tables.xlsx" TargetMode="External"/><Relationship Id="rId35" Type="http://schemas.openxmlformats.org/officeDocument/2006/relationships/hyperlink" Target="dc-report-tables.xlsx" TargetMode="External"/><Relationship Id="rId36" Type="http://schemas.openxmlformats.org/officeDocument/2006/relationships/hyperlink" Target="dc-report-tables.xlsx" TargetMode="External"/><Relationship Id="rId37" Type="http://schemas.openxmlformats.org/officeDocument/2006/relationships/hyperlink" Target="dc-report-tables.xlsx" TargetMode="External"/><Relationship Id="rId38" Type="http://schemas.openxmlformats.org/officeDocument/2006/relationships/hyperlink" Target="dc-report-tables.xlsx" TargetMode="External"/><Relationship Id="rId39" Type="http://schemas.openxmlformats.org/officeDocument/2006/relationships/hyperlink" Target="dc-report-tables.xlsx" TargetMode="External"/><Relationship Id="rId40" Type="http://schemas.openxmlformats.org/officeDocument/2006/relationships/hyperlink" Target="dc-report-tables.xlsx" TargetMode="External"/><Relationship Id="rId41" Type="http://schemas.openxmlformats.org/officeDocument/2006/relationships/hyperlink" Target="dc-report-tables.xlsx" TargetMode="External"/><Relationship Id="rId42" Type="http://schemas.openxmlformats.org/officeDocument/2006/relationships/hyperlink" Target="dc-report-tables.xlsx" TargetMode="External"/><Relationship Id="rId43" Type="http://schemas.openxmlformats.org/officeDocument/2006/relationships/hyperlink" Target="dc-report-tables.xlsx" TargetMode="External"/><Relationship Id="rId44" Type="http://schemas.openxmlformats.org/officeDocument/2006/relationships/hyperlink" Target="dc-report-tables.xlsx" TargetMode="External"/><Relationship Id="rId45" Type="http://schemas.openxmlformats.org/officeDocument/2006/relationships/hyperlink" Target="dc-report-tables.xlsx" TargetMode="External"/><Relationship Id="rId46" Type="http://schemas.openxmlformats.org/officeDocument/2006/relationships/hyperlink" Target="dc-report-tables.xlsx" TargetMode="External"/><Relationship Id="rId47" Type="http://schemas.openxmlformats.org/officeDocument/2006/relationships/hyperlink" Target="dc-report-tables.xlsx" TargetMode="External"/><Relationship Id="rId48" Type="http://schemas.openxmlformats.org/officeDocument/2006/relationships/hyperlink" Target="dc-report-tables.xlsx" TargetMode="External"/><Relationship Id="rId49" Type="http://schemas.openxmlformats.org/officeDocument/2006/relationships/hyperlink" Target="dc-report-tables.xlsx" TargetMode="External"/><Relationship Id="rId50" Type="http://schemas.openxmlformats.org/officeDocument/2006/relationships/hyperlink" Target="dc-report-tables.xlsx" TargetMode="External"/><Relationship Id="rId51" Type="http://schemas.openxmlformats.org/officeDocument/2006/relationships/hyperlink" Target="dc-report-tables.xlsx" TargetMode="External"/><Relationship Id="rId52" Type="http://schemas.openxmlformats.org/officeDocument/2006/relationships/hyperlink" Target="dc-report-tables.xlsx" TargetMode="External"/><Relationship Id="rId53" Type="http://schemas.openxmlformats.org/officeDocument/2006/relationships/hyperlink" Target="dc-report-tables.xlsx" TargetMode="External"/><Relationship Id="rId54" Type="http://schemas.openxmlformats.org/officeDocument/2006/relationships/hyperlink" Target="dc-report-tables.xlsx" TargetMode="External"/><Relationship Id="rId55" Type="http://schemas.openxmlformats.org/officeDocument/2006/relationships/hyperlink" Target="dc-report-tables.xlsx" TargetMode="External"/><Relationship Id="rId56" Type="http://schemas.openxmlformats.org/officeDocument/2006/relationships/hyperlink" Target="dc-report-tables.xlsx" TargetMode="External"/><Relationship Id="rId57" Type="http://schemas.openxmlformats.org/officeDocument/2006/relationships/hyperlink" Target="dc-report-tables.xlsx" TargetMode="External"/><Relationship Id="rId58" Type="http://schemas.openxmlformats.org/officeDocument/2006/relationships/hyperlink" Target="dc-report-tables.xlsx" TargetMode="External"/><Relationship Id="rId59" Type="http://schemas.openxmlformats.org/officeDocument/2006/relationships/hyperlink" Target="dc-report-tables.xlsx" TargetMode="External"/><Relationship Id="rId60" Type="http://schemas.openxmlformats.org/officeDocument/2006/relationships/hyperlink" Target="dc-report-tables.xlsx" TargetMode="External"/><Relationship Id="rId61" Type="http://schemas.openxmlformats.org/officeDocument/2006/relationships/hyperlink" Target="dc-report-tables.xlsx" TargetMode="External"/><Relationship Id="rId62" Type="http://schemas.openxmlformats.org/officeDocument/2006/relationships/hyperlink" Target="dc-report-tables.xlsx" TargetMode="External"/><Relationship Id="rId63" Type="http://schemas.openxmlformats.org/officeDocument/2006/relationships/hyperlink" Target="dc-report-tables.xlsx" TargetMode="External"/><Relationship Id="rId64" Type="http://schemas.openxmlformats.org/officeDocument/2006/relationships/hyperlink" Target="dc-report-tables.xlsx" TargetMode="External"/><Relationship Id="rId65" Type="http://schemas.openxmlformats.org/officeDocument/2006/relationships/hyperlink" Target="dc-report-tables.xlsx" TargetMode="External"/><Relationship Id="rId66" Type="http://schemas.openxmlformats.org/officeDocument/2006/relationships/hyperlink" Target="dc-report-tables.xlsx" TargetMode="External"/><Relationship Id="rId67" Type="http://schemas.openxmlformats.org/officeDocument/2006/relationships/hyperlink" Target="dc-report-tables.xlsx" TargetMode="External"/><Relationship Id="rId68" Type="http://schemas.openxmlformats.org/officeDocument/2006/relationships/hyperlink" Target="dc-report-tables.xlsx" TargetMode="External"/><Relationship Id="rId69" Type="http://schemas.openxmlformats.org/officeDocument/2006/relationships/hyperlink" Target="dc-report-tables.xlsx" TargetMode="External"/><Relationship Id="rId70" Type="http://schemas.openxmlformats.org/officeDocument/2006/relationships/hyperlink" Target="dc-report-tables.xlsx" TargetMode="External"/><Relationship Id="rId71" Type="http://schemas.openxmlformats.org/officeDocument/2006/relationships/hyperlink" Target="dc-report-tables.xlsx" TargetMode="External"/><Relationship Id="rId72" Type="http://schemas.openxmlformats.org/officeDocument/2006/relationships/hyperlink" Target="dc-report-tables.xlsx" TargetMode="External"/><Relationship Id="rId73" Type="http://schemas.openxmlformats.org/officeDocument/2006/relationships/hyperlink" Target="dc-report-tables.xlsx" TargetMode="External"/><Relationship Id="rId74" Type="http://schemas.openxmlformats.org/officeDocument/2006/relationships/hyperlink" Target="dc-report-tables.xlsx" TargetMode="External"/><Relationship Id="rId75" Type="http://schemas.openxmlformats.org/officeDocument/2006/relationships/hyperlink" Target="dc-report-tables.xlsx" TargetMode="External"/><Relationship Id="rId76" Type="http://schemas.openxmlformats.org/officeDocument/2006/relationships/hyperlink" Target="dc-report-tables.xlsx" TargetMode="External"/><Relationship Id="rId77" Type="http://schemas.openxmlformats.org/officeDocument/2006/relationships/hyperlink" Target="dc-report-tables.xlsx" TargetMode="External"/><Relationship Id="rId78" Type="http://schemas.openxmlformats.org/officeDocument/2006/relationships/hyperlink" Target="dc-report-tables.xlsx" TargetMode="External"/><Relationship Id="rId79" Type="http://schemas.openxmlformats.org/officeDocument/2006/relationships/hyperlink" Target="dc-report-tables.xlsx" TargetMode="External"/><Relationship Id="rId80" Type="http://schemas.openxmlformats.org/officeDocument/2006/relationships/hyperlink" Target="dc-report-tables.xlsx" TargetMode="External"/><Relationship Id="rId81" Type="http://schemas.openxmlformats.org/officeDocument/2006/relationships/hyperlink" Target="dc-report-tables.xlsx" TargetMode="External"/><Relationship Id="rId82" Type="http://schemas.openxmlformats.org/officeDocument/2006/relationships/hyperlink" Target="dc-report-tables.xlsx" TargetMode="External"/><Relationship Id="rId83" Type="http://schemas.openxmlformats.org/officeDocument/2006/relationships/hyperlink" Target="dc-report-tables.xlsx" TargetMode="External"/><Relationship Id="rId84" Type="http://schemas.openxmlformats.org/officeDocument/2006/relationships/hyperlink" Target="dc-report-tables.xlsx" TargetMode="External"/><Relationship Id="rId85" Type="http://schemas.openxmlformats.org/officeDocument/2006/relationships/hyperlink" Target="dc-report-tables.xlsx" TargetMode="External"/><Relationship Id="rId86" Type="http://schemas.openxmlformats.org/officeDocument/2006/relationships/hyperlink" Target="dc-report-tables.xlsx" TargetMode="External"/><Relationship Id="rId87" Type="http://schemas.openxmlformats.org/officeDocument/2006/relationships/hyperlink" Target="dc-report-tables.xlsx" TargetMode="External"/><Relationship Id="rId88" Type="http://schemas.openxmlformats.org/officeDocument/2006/relationships/hyperlink" Target="dc-report-tables.xlsx" TargetMode="External"/><Relationship Id="rId89" Type="http://schemas.openxmlformats.org/officeDocument/2006/relationships/hyperlink" Target="dc-report-tables.xlsx" TargetMode="External"/><Relationship Id="rId90" Type="http://schemas.openxmlformats.org/officeDocument/2006/relationships/hyperlink" Target="dc-report-tables.xlsx" TargetMode="External"/><Relationship Id="rId91" Type="http://schemas.openxmlformats.org/officeDocument/2006/relationships/hyperlink" Target="dc-report-tables.xlsx" TargetMode="External"/><Relationship Id="rId92" Type="http://schemas.openxmlformats.org/officeDocument/2006/relationships/hyperlink" Target="dc-report-tables.xlsx" TargetMode="External"/><Relationship Id="rId93" Type="http://schemas.openxmlformats.org/officeDocument/2006/relationships/hyperlink" Target="dc-report-tables.xlsx" TargetMode="External"/><Relationship Id="rId94" Type="http://schemas.openxmlformats.org/officeDocument/2006/relationships/hyperlink" Target="dc-report-tables.xlsx" TargetMode="External"/><Relationship Id="rId95" Type="http://schemas.openxmlformats.org/officeDocument/2006/relationships/hyperlink" Target="dc-report-tables.xlsx" TargetMode="External"/><Relationship Id="rId96" Type="http://schemas.openxmlformats.org/officeDocument/2006/relationships/hyperlink" Target="dc-report-tables.xlsx" TargetMode="External"/><Relationship Id="rId97" Type="http://schemas.openxmlformats.org/officeDocument/2006/relationships/hyperlink" Target="dc-report-tables.xlsx" TargetMode="External"/><Relationship Id="rId98" Type="http://schemas.openxmlformats.org/officeDocument/2006/relationships/hyperlink" Target="dc-report-tables.xlsx" TargetMode="External"/><Relationship Id="rId99" Type="http://schemas.openxmlformats.org/officeDocument/2006/relationships/hyperlink" Target="dc-report-tables.xlsx" TargetMode="External"/><Relationship Id="rId100" Type="http://schemas.openxmlformats.org/officeDocument/2006/relationships/hyperlink" Target="dc-report-tables.xlsx" TargetMode="External"/><Relationship Id="rId101" Type="http://schemas.openxmlformats.org/officeDocument/2006/relationships/hyperlink" Target="dc-report-tables.xlsx" TargetMode="External"/><Relationship Id="rId102" Type="http://schemas.openxmlformats.org/officeDocument/2006/relationships/hyperlink" Target="dc-report-tables.xlsx" TargetMode="External"/><Relationship Id="rId103" Type="http://schemas.openxmlformats.org/officeDocument/2006/relationships/hyperlink" Target="dc-report-tables.xlsx" TargetMode="External"/><Relationship Id="rId104" Type="http://schemas.openxmlformats.org/officeDocument/2006/relationships/hyperlink" Target="dc-report-tables.xlsx" TargetMode="External"/><Relationship Id="rId105" Type="http://schemas.openxmlformats.org/officeDocument/2006/relationships/hyperlink" Target="dc-report-tables.xlsx" TargetMode="External"/><Relationship Id="rId106" Type="http://schemas.openxmlformats.org/officeDocument/2006/relationships/hyperlink" Target="dc-report-tables.xlsx" TargetMode="External"/><Relationship Id="rId107" Type="http://schemas.openxmlformats.org/officeDocument/2006/relationships/hyperlink" Target="dc-report-tables.xlsx" TargetMode="External"/><Relationship Id="rId108" Type="http://schemas.openxmlformats.org/officeDocument/2006/relationships/hyperlink" Target="dc-report-tables.xlsx" TargetMode="External"/><Relationship Id="rId109" Type="http://schemas.openxmlformats.org/officeDocument/2006/relationships/hyperlink" Target="dc-report-tables.xlsx" TargetMode="External"/><Relationship Id="rId110" Type="http://schemas.openxmlformats.org/officeDocument/2006/relationships/hyperlink" Target="dc-report-tables.xlsx" TargetMode="External"/><Relationship Id="rId111" Type="http://schemas.openxmlformats.org/officeDocument/2006/relationships/hyperlink" Target="dc-report-tables.xlsx" TargetMode="External"/><Relationship Id="rId112" Type="http://schemas.openxmlformats.org/officeDocument/2006/relationships/hyperlink" Target="dc-report-tables.xlsx" TargetMode="External"/><Relationship Id="rId113" Type="http://schemas.openxmlformats.org/officeDocument/2006/relationships/hyperlink" Target="dc-report-tables.xlsx" TargetMode="External"/><Relationship Id="rId114" Type="http://schemas.openxmlformats.org/officeDocument/2006/relationships/hyperlink" Target="dc-report-tables.xlsx" TargetMode="External"/><Relationship Id="rId115" Type="http://schemas.openxmlformats.org/officeDocument/2006/relationships/hyperlink" Target="dc-report-tables.xlsx" TargetMode="External"/><Relationship Id="rId116" Type="http://schemas.openxmlformats.org/officeDocument/2006/relationships/hyperlink" Target="dc-report-tables.xlsx" TargetMode="External"/><Relationship Id="rId117" Type="http://schemas.openxmlformats.org/officeDocument/2006/relationships/hyperlink" Target="dc-report-tables.xlsx" TargetMode="External"/><Relationship Id="rId118" Type="http://schemas.openxmlformats.org/officeDocument/2006/relationships/hyperlink" Target="dc-report-tables.xlsx" TargetMode="External"/><Relationship Id="rId119" Type="http://schemas.openxmlformats.org/officeDocument/2006/relationships/hyperlink" Target="dc-report-tables.xlsx" TargetMode="External"/><Relationship Id="rId120" Type="http://schemas.openxmlformats.org/officeDocument/2006/relationships/hyperlink" Target="dc-report-tables.xlsx" TargetMode="External"/><Relationship Id="rId121" Type="http://schemas.openxmlformats.org/officeDocument/2006/relationships/hyperlink" Target="dc-report-tables.xlsx" TargetMode="External"/><Relationship Id="rId122" Type="http://schemas.openxmlformats.org/officeDocument/2006/relationships/hyperlink" Target="dc-report-tables.xlsx" TargetMode="External"/><Relationship Id="rId123" Type="http://schemas.openxmlformats.org/officeDocument/2006/relationships/hyperlink" Target="dc-report-tables.xlsx" TargetMode="External"/><Relationship Id="rId124" Type="http://schemas.openxmlformats.org/officeDocument/2006/relationships/hyperlink" Target="dc-report-tables.xlsx" TargetMode="External"/><Relationship Id="rId125" Type="http://schemas.openxmlformats.org/officeDocument/2006/relationships/hyperlink" Target="dc-report-tables.xlsx" TargetMode="External"/><Relationship Id="rId126" Type="http://schemas.openxmlformats.org/officeDocument/2006/relationships/hyperlink" Target="dc-report-tables.xlsx" TargetMode="External"/><Relationship Id="rId127" Type="http://schemas.openxmlformats.org/officeDocument/2006/relationships/hyperlink" Target="dc-report-tables.xlsx" TargetMode="External"/><Relationship Id="rId128" Type="http://schemas.openxmlformats.org/officeDocument/2006/relationships/hyperlink" Target="dc-report-tables.xlsx" TargetMode="External"/><Relationship Id="rId129" Type="http://schemas.openxmlformats.org/officeDocument/2006/relationships/hyperlink" Target="dc-report-tables.xlsx" TargetMode="External"/><Relationship Id="rId130" Type="http://schemas.openxmlformats.org/officeDocument/2006/relationships/hyperlink" Target="dc-report-tables.xlsx" TargetMode="External"/><Relationship Id="rId131" Type="http://schemas.openxmlformats.org/officeDocument/2006/relationships/hyperlink" Target="dc-report-tables.xlsx" TargetMode="External"/><Relationship Id="rId132" Type="http://schemas.openxmlformats.org/officeDocument/2006/relationships/hyperlink" Target="dc-report-tables.xlsx" TargetMode="External"/><Relationship Id="rId133" Type="http://schemas.openxmlformats.org/officeDocument/2006/relationships/hyperlink" Target="dc-report-tables.xlsx" TargetMode="External"/><Relationship Id="rId134" Type="http://schemas.openxmlformats.org/officeDocument/2006/relationships/hyperlink" Target="dc-report-tables.xlsx" TargetMode="External"/><Relationship Id="rId135" Type="http://schemas.openxmlformats.org/officeDocument/2006/relationships/hyperlink" Target="dc-report-tables.xlsx" TargetMode="External"/><Relationship Id="rId136" Type="http://schemas.openxmlformats.org/officeDocument/2006/relationships/hyperlink" Target="dc-report-tables.xlsx" TargetMode="External"/><Relationship Id="rId137" Type="http://schemas.openxmlformats.org/officeDocument/2006/relationships/hyperlink" Target="dc-report-tables.xlsx" TargetMode="External"/><Relationship Id="rId138" Type="http://schemas.openxmlformats.org/officeDocument/2006/relationships/hyperlink" Target="dc-report-tables.xlsx" TargetMode="External"/><Relationship Id="rId139" Type="http://schemas.openxmlformats.org/officeDocument/2006/relationships/hyperlink" Target="dc-report-tables.xlsx" TargetMode="External"/><Relationship Id="rId140" Type="http://schemas.openxmlformats.org/officeDocument/2006/relationships/hyperlink" Target="dc-report-tables.xlsx" TargetMode="External"/><Relationship Id="rId141" Type="http://schemas.openxmlformats.org/officeDocument/2006/relationships/hyperlink" Target="dc-report-tables.xlsx" TargetMode="External"/><Relationship Id="rId142" Type="http://schemas.openxmlformats.org/officeDocument/2006/relationships/hyperlink" Target="dc-report-tables.xlsx" TargetMode="External"/><Relationship Id="rId143" Type="http://schemas.openxmlformats.org/officeDocument/2006/relationships/hyperlink" Target="dc-report-tables.xlsx" TargetMode="External"/><Relationship Id="rId144" Type="http://schemas.openxmlformats.org/officeDocument/2006/relationships/hyperlink" Target="dc-report-tables.xlsx" TargetMode="External"/><Relationship Id="rId145" Type="http://schemas.openxmlformats.org/officeDocument/2006/relationships/hyperlink" Target="dc-report-tables.xlsx" TargetMode="External"/><Relationship Id="rId146" Type="http://schemas.openxmlformats.org/officeDocument/2006/relationships/hyperlink" Target="dc-report-tables.xlsx" TargetMode="External"/><Relationship Id="rId147" Type="http://schemas.openxmlformats.org/officeDocument/2006/relationships/hyperlink" Target="dc-report-tables.xlsx" TargetMode="External"/><Relationship Id="rId148" Type="http://schemas.openxmlformats.org/officeDocument/2006/relationships/hyperlink" Target="dc-report-tables.xlsx" TargetMode="External"/><Relationship Id="rId149" Type="http://schemas.openxmlformats.org/officeDocument/2006/relationships/hyperlink" Target="dc-report-tables.xlsx" TargetMode="External"/><Relationship Id="rId150" Type="http://schemas.openxmlformats.org/officeDocument/2006/relationships/hyperlink" Target="dc-report-tables.xlsx" TargetMode="External"/><Relationship Id="rId151" Type="http://schemas.openxmlformats.org/officeDocument/2006/relationships/hyperlink" Target="dc-report-tables.xlsx" TargetMode="External"/><Relationship Id="rId152" Type="http://schemas.openxmlformats.org/officeDocument/2006/relationships/hyperlink" Target="dc-report-tables.xlsx" TargetMode="External"/><Relationship Id="rId153" Type="http://schemas.openxmlformats.org/officeDocument/2006/relationships/hyperlink" Target="dc-report-tables.xlsx" TargetMode="External"/><Relationship Id="rId154" Type="http://schemas.openxmlformats.org/officeDocument/2006/relationships/hyperlink" Target="dc-report-tables.xlsx" TargetMode="External"/><Relationship Id="rId155" Type="http://schemas.openxmlformats.org/officeDocument/2006/relationships/hyperlink" Target="dc-report-tables.xlsx" TargetMode="External"/><Relationship Id="rId156" Type="http://schemas.openxmlformats.org/officeDocument/2006/relationships/hyperlink" Target="dc-report-tables.xlsx" TargetMode="External"/><Relationship Id="rId157" Type="http://schemas.openxmlformats.org/officeDocument/2006/relationships/hyperlink" Target="dc-report-tables.xlsx" TargetMode="External"/><Relationship Id="rId158" Type="http://schemas.openxmlformats.org/officeDocument/2006/relationships/hyperlink" Target="dc-report-tables.xlsx" TargetMode="External"/><Relationship Id="rId159" Type="http://schemas.openxmlformats.org/officeDocument/2006/relationships/hyperlink" Target="dc-report-tables.xlsx" TargetMode="External"/><Relationship Id="rId160" Type="http://schemas.openxmlformats.org/officeDocument/2006/relationships/hyperlink" Target="dc-report-tables.xlsx" TargetMode="External"/><Relationship Id="rId161" Type="http://schemas.openxmlformats.org/officeDocument/2006/relationships/hyperlink" Target="dc-report-tables.xlsx" TargetMode="External"/><Relationship Id="rId162" Type="http://schemas.openxmlformats.org/officeDocument/2006/relationships/hyperlink" Target="dc-report-tables.xlsx" TargetMode="External"/><Relationship Id="rId163" Type="http://schemas.openxmlformats.org/officeDocument/2006/relationships/hyperlink" Target="dc-report-tables.xlsx" TargetMode="External"/><Relationship Id="rId164" Type="http://schemas.openxmlformats.org/officeDocument/2006/relationships/hyperlink" Target="dc-report-tables.xlsx" TargetMode="External"/><Relationship Id="rId165" Type="http://schemas.openxmlformats.org/officeDocument/2006/relationships/hyperlink" Target="dc-report-tables.xlsx" TargetMode="External"/><Relationship Id="rId166" Type="http://schemas.openxmlformats.org/officeDocument/2006/relationships/hyperlink" Target="dc-report-tables.xlsx" TargetMode="External"/><Relationship Id="rId167" Type="http://schemas.openxmlformats.org/officeDocument/2006/relationships/hyperlink" Target="dc-report-tables.xlsx" TargetMode="External"/><Relationship Id="rId168" Type="http://schemas.openxmlformats.org/officeDocument/2006/relationships/hyperlink" Target="dc-report-tables.xlsx" TargetMode="External"/><Relationship Id="rId169" Type="http://schemas.openxmlformats.org/officeDocument/2006/relationships/hyperlink" Target="dc-report-tables.xlsx" TargetMode="External"/><Relationship Id="rId170" Type="http://schemas.openxmlformats.org/officeDocument/2006/relationships/hyperlink" Target="dc-report-tables.xlsx" TargetMode="External"/><Relationship Id="rId171" Type="http://schemas.openxmlformats.org/officeDocument/2006/relationships/hyperlink" Target="dc-report-tables.xlsx" TargetMode="External"/><Relationship Id="rId172" Type="http://schemas.openxmlformats.org/officeDocument/2006/relationships/hyperlink" Target="dc-report-tables.xlsx" TargetMode="External"/><Relationship Id="rId173" Type="http://schemas.openxmlformats.org/officeDocument/2006/relationships/hyperlink" Target="dc-report-tables.xlsx" TargetMode="External"/><Relationship Id="rId174" Type="http://schemas.openxmlformats.org/officeDocument/2006/relationships/hyperlink" Target="dc-report-tables.xlsx" TargetMode="External"/><Relationship Id="rId175" Type="http://schemas.openxmlformats.org/officeDocument/2006/relationships/hyperlink" Target="dc-report-tables.xlsx" TargetMode="External"/><Relationship Id="rId176" Type="http://schemas.openxmlformats.org/officeDocument/2006/relationships/hyperlink" Target="dc-report-tables.xlsx" TargetMode="External"/><Relationship Id="rId177" Type="http://schemas.openxmlformats.org/officeDocument/2006/relationships/hyperlink" Target="dc-report-tables.xlsx" TargetMode="External"/><Relationship Id="rId178" Type="http://schemas.openxmlformats.org/officeDocument/2006/relationships/hyperlink" Target="dc-report-tables.xlsx" TargetMode="External"/><Relationship Id="rId179" Type="http://schemas.openxmlformats.org/officeDocument/2006/relationships/hyperlink" Target="dc-report-tables.xlsx" TargetMode="External"/><Relationship Id="rId180" Type="http://schemas.openxmlformats.org/officeDocument/2006/relationships/hyperlink" Target="dc-report-tables.xlsx" TargetMode="External"/><Relationship Id="rId181" Type="http://schemas.openxmlformats.org/officeDocument/2006/relationships/hyperlink" Target="dc-report-tables.xlsx" TargetMode="External"/><Relationship Id="rId182" Type="http://schemas.openxmlformats.org/officeDocument/2006/relationships/hyperlink" Target="dc-report-tables.xlsx" TargetMode="External"/><Relationship Id="rId183" Type="http://schemas.openxmlformats.org/officeDocument/2006/relationships/hyperlink" Target="dc-report-tables.xlsx" TargetMode="External"/><Relationship Id="rId184" Type="http://schemas.openxmlformats.org/officeDocument/2006/relationships/hyperlink" Target="dc-report-tables.xlsx" TargetMode="External"/><Relationship Id="rId185" Type="http://schemas.openxmlformats.org/officeDocument/2006/relationships/hyperlink" Target="dc-report-tables.xlsx" TargetMode="External"/><Relationship Id="rId186" Type="http://schemas.openxmlformats.org/officeDocument/2006/relationships/hyperlink" Target="dc-report-tables.xlsx" TargetMode="External"/><Relationship Id="rId187" Type="http://schemas.openxmlformats.org/officeDocument/2006/relationships/hyperlink" Target="dc-report-tables.xlsx" TargetMode="External"/><Relationship Id="rId188" Type="http://schemas.openxmlformats.org/officeDocument/2006/relationships/hyperlink" Target="dc-report-tables.xlsx" TargetMode="External"/><Relationship Id="rId189" Type="http://schemas.openxmlformats.org/officeDocument/2006/relationships/hyperlink" Target="dc-report-tables.xlsx" TargetMode="External"/><Relationship Id="rId190" Type="http://schemas.openxmlformats.org/officeDocument/2006/relationships/hyperlink" Target="dc-report-tables.xlsx" TargetMode="External"/><Relationship Id="rId191" Type="http://schemas.openxmlformats.org/officeDocument/2006/relationships/hyperlink" Target="dc-report-tables.xlsx" TargetMode="External"/><Relationship Id="rId192" Type="http://schemas.openxmlformats.org/officeDocument/2006/relationships/hyperlink" Target="dc-report-tables.xlsx" TargetMode="External"/><Relationship Id="rId193" Type="http://schemas.openxmlformats.org/officeDocument/2006/relationships/hyperlink" Target="dc-report-tables.xlsx" TargetMode="External"/><Relationship Id="rId194" Type="http://schemas.openxmlformats.org/officeDocument/2006/relationships/hyperlink" Target="dc-report-tables.xlsx" TargetMode="External"/><Relationship Id="rId195" Type="http://schemas.openxmlformats.org/officeDocument/2006/relationships/hyperlink" Target="dc-report-tables.xlsx" TargetMode="External"/><Relationship Id="rId196" Type="http://schemas.openxmlformats.org/officeDocument/2006/relationships/hyperlink" Target="dc-report-tables.xlsx" TargetMode="External"/><Relationship Id="rId197" Type="http://schemas.openxmlformats.org/officeDocument/2006/relationships/hyperlink" Target="dc-report-tables.xlsx" TargetMode="External"/><Relationship Id="rId198" Type="http://schemas.openxmlformats.org/officeDocument/2006/relationships/hyperlink" Target="dc-report-tables.xlsx" TargetMode="External"/><Relationship Id="rId199" Type="http://schemas.openxmlformats.org/officeDocument/2006/relationships/hyperlink" Target="dc-report-tables.xlsx" TargetMode="External"/><Relationship Id="rId200" Type="http://schemas.openxmlformats.org/officeDocument/2006/relationships/hyperlink" Target="dc-report-tables.xlsx" TargetMode="External"/><Relationship Id="rId201" Type="http://schemas.openxmlformats.org/officeDocument/2006/relationships/hyperlink" Target="dc-report-tables.xlsx" TargetMode="External"/><Relationship Id="rId202" Type="http://schemas.openxmlformats.org/officeDocument/2006/relationships/hyperlink" Target="dc-report-tables.xlsx" TargetMode="External"/><Relationship Id="rId203" Type="http://schemas.openxmlformats.org/officeDocument/2006/relationships/hyperlink" Target="dc-report-tables.xlsx" TargetMode="External"/><Relationship Id="rId204" Type="http://schemas.openxmlformats.org/officeDocument/2006/relationships/hyperlink" Target="dc-report-tables.xlsx" TargetMode="External"/><Relationship Id="rId205" Type="http://schemas.openxmlformats.org/officeDocument/2006/relationships/hyperlink" Target="dc-report-tables.xlsx" TargetMode="External"/><Relationship Id="rId206" Type="http://schemas.openxmlformats.org/officeDocument/2006/relationships/hyperlink" Target="dc-report-tables.xlsx" TargetMode="External"/><Relationship Id="rId207" Type="http://schemas.openxmlformats.org/officeDocument/2006/relationships/hyperlink" Target="dc-report-tables.xlsx" TargetMode="External"/><Relationship Id="rId208" Type="http://schemas.openxmlformats.org/officeDocument/2006/relationships/hyperlink" Target="dc-report-tables.xlsx" TargetMode="External"/><Relationship Id="rId209" Type="http://schemas.openxmlformats.org/officeDocument/2006/relationships/hyperlink" Target="dc-report-tables.xlsx" TargetMode="External"/><Relationship Id="rId210" Type="http://schemas.openxmlformats.org/officeDocument/2006/relationships/hyperlink" Target="dc-report-tables.xlsx" TargetMode="External"/><Relationship Id="rId211" Type="http://schemas.openxmlformats.org/officeDocument/2006/relationships/hyperlink" Target="dc-report-tables.xlsx" TargetMode="External"/><Relationship Id="rId212" Type="http://schemas.openxmlformats.org/officeDocument/2006/relationships/hyperlink" Target="dc-report-tables.xlsx" TargetMode="External"/><Relationship Id="rId213" Type="http://schemas.openxmlformats.org/officeDocument/2006/relationships/hyperlink" Target="dc-report-tables.xlsx" TargetMode="External"/><Relationship Id="rId214" Type="http://schemas.openxmlformats.org/officeDocument/2006/relationships/hyperlink" Target="dc-report-tables.xlsx" TargetMode="External"/><Relationship Id="rId215" Type="http://schemas.openxmlformats.org/officeDocument/2006/relationships/hyperlink" Target="dc-report-tables.xlsx" TargetMode="External"/><Relationship Id="rId216" Type="http://schemas.openxmlformats.org/officeDocument/2006/relationships/hyperlink" Target="dc-report-tables.xlsx" TargetMode="External"/><Relationship Id="rId217" Type="http://schemas.openxmlformats.org/officeDocument/2006/relationships/hyperlink" Target="dc-report-tables.xlsx" TargetMode="External"/><Relationship Id="rId218" Type="http://schemas.openxmlformats.org/officeDocument/2006/relationships/hyperlink" Target="dc-report-tables.xlsx" TargetMode="External"/><Relationship Id="rId219" Type="http://schemas.openxmlformats.org/officeDocument/2006/relationships/hyperlink" Target="dc-report-tables.xlsx" TargetMode="External"/><Relationship Id="rId220" Type="http://schemas.openxmlformats.org/officeDocument/2006/relationships/hyperlink" Target="dc-report-tables.xlsx" TargetMode="External"/><Relationship Id="rId221" Type="http://schemas.openxmlformats.org/officeDocument/2006/relationships/hyperlink" Target="dc-report-tables.xlsx" TargetMode="External"/><Relationship Id="rId222" Type="http://schemas.openxmlformats.org/officeDocument/2006/relationships/hyperlink" Target="dc-report-tables.xlsx" TargetMode="External"/><Relationship Id="rId223" Type="http://schemas.openxmlformats.org/officeDocument/2006/relationships/hyperlink" Target="dc-report-tables.xlsx" TargetMode="External"/><Relationship Id="rId224" Type="http://schemas.openxmlformats.org/officeDocument/2006/relationships/hyperlink" Target="dc-report-tables.xlsx" TargetMode="External"/><Relationship Id="rId225" Type="http://schemas.openxmlformats.org/officeDocument/2006/relationships/hyperlink" Target="dc-report-tables.xlsx" TargetMode="External"/><Relationship Id="rId226" Type="http://schemas.openxmlformats.org/officeDocument/2006/relationships/hyperlink" Target="dc-report-tables.xlsx" TargetMode="External"/><Relationship Id="rId227" Type="http://schemas.openxmlformats.org/officeDocument/2006/relationships/hyperlink" Target="dc-report-tables.xlsx" TargetMode="External"/><Relationship Id="rId228" Type="http://schemas.openxmlformats.org/officeDocument/2006/relationships/hyperlink" Target="dc-report-tables.xlsx" TargetMode="External"/><Relationship Id="rId229" Type="http://schemas.openxmlformats.org/officeDocument/2006/relationships/hyperlink" Target="dc-report-tables.xlsx" TargetMode="External"/><Relationship Id="rId230" Type="http://schemas.openxmlformats.org/officeDocument/2006/relationships/hyperlink" Target="dc-report-tables.xlsx" TargetMode="External"/><Relationship Id="rId231" Type="http://schemas.openxmlformats.org/officeDocument/2006/relationships/hyperlink" Target="dc-report-tables.xlsx" TargetMode="External"/><Relationship Id="rId232" Type="http://schemas.openxmlformats.org/officeDocument/2006/relationships/hyperlink" Target="dc-report-tables.xlsx" TargetMode="External"/><Relationship Id="rId233" Type="http://schemas.openxmlformats.org/officeDocument/2006/relationships/hyperlink" Target="dc-report-tables.xlsx" TargetMode="External"/><Relationship Id="rId234" Type="http://schemas.openxmlformats.org/officeDocument/2006/relationships/hyperlink" Target="dc-report-tables.xlsx" TargetMode="External"/><Relationship Id="rId235" Type="http://schemas.openxmlformats.org/officeDocument/2006/relationships/hyperlink" Target="dc-report-tables.xlsx" TargetMode="External"/><Relationship Id="rId236" Type="http://schemas.openxmlformats.org/officeDocument/2006/relationships/hyperlink" Target="dc-report-tables.xlsx" TargetMode="External"/><Relationship Id="rId237" Type="http://schemas.openxmlformats.org/officeDocument/2006/relationships/hyperlink" Target="dc-report-tables.xlsx" TargetMode="External"/><Relationship Id="rId238" Type="http://schemas.openxmlformats.org/officeDocument/2006/relationships/hyperlink" Target="dc-report-tables.xlsx" TargetMode="External"/><Relationship Id="rId239" Type="http://schemas.openxmlformats.org/officeDocument/2006/relationships/hyperlink" Target="dc-report-tables.xlsx" TargetMode="External"/><Relationship Id="rId240" Type="http://schemas.openxmlformats.org/officeDocument/2006/relationships/hyperlink" Target="dc-report-tables.xlsx" TargetMode="External"/><Relationship Id="rId241" Type="http://schemas.openxmlformats.org/officeDocument/2006/relationships/hyperlink" Target="dc-report-tables.xlsx" TargetMode="External"/><Relationship Id="rId242" Type="http://schemas.openxmlformats.org/officeDocument/2006/relationships/hyperlink" Target="dc-report-tables.xlsx" TargetMode="External"/><Relationship Id="rId243" Type="http://schemas.openxmlformats.org/officeDocument/2006/relationships/hyperlink" Target="dc-report-tables.xlsx" TargetMode="External"/><Relationship Id="rId244" Type="http://schemas.openxmlformats.org/officeDocument/2006/relationships/hyperlink" Target="dc-report-tables.xlsx" TargetMode="External"/><Relationship Id="rId245" Type="http://schemas.openxmlformats.org/officeDocument/2006/relationships/hyperlink" Target="dc-report-tables.xlsx" TargetMode="External"/><Relationship Id="rId246" Type="http://schemas.openxmlformats.org/officeDocument/2006/relationships/hyperlink" Target="dc-report-tables.xlsx" TargetMode="External"/><Relationship Id="rId247" Type="http://schemas.openxmlformats.org/officeDocument/2006/relationships/hyperlink" Target="dc-report-tables.xlsx" TargetMode="External"/><Relationship Id="rId248" Type="http://schemas.openxmlformats.org/officeDocument/2006/relationships/hyperlink" Target="dc-report-tables.xlsx" TargetMode="External"/><Relationship Id="rId249" Type="http://schemas.openxmlformats.org/officeDocument/2006/relationships/hyperlink" Target="dc-report-tables.xlsx" TargetMode="External"/><Relationship Id="rId250" Type="http://schemas.openxmlformats.org/officeDocument/2006/relationships/hyperlink" Target="dc-report-tables.xlsx" TargetMode="External"/><Relationship Id="rId251" Type="http://schemas.openxmlformats.org/officeDocument/2006/relationships/hyperlink" Target="dc-report-tables.xlsx" TargetMode="External"/><Relationship Id="rId252" Type="http://schemas.openxmlformats.org/officeDocument/2006/relationships/hyperlink" Target="dc-report-tables.xlsx" TargetMode="External"/><Relationship Id="rId253" Type="http://schemas.openxmlformats.org/officeDocument/2006/relationships/hyperlink" Target="dc-report-tables.xlsx" TargetMode="External"/><Relationship Id="rId254" Type="http://schemas.openxmlformats.org/officeDocument/2006/relationships/hyperlink" Target="dc-report-tables.xlsx" TargetMode="External"/><Relationship Id="rId255" Type="http://schemas.openxmlformats.org/officeDocument/2006/relationships/hyperlink" Target="dc-report-tables.xlsx" TargetMode="External"/><Relationship Id="rId256" Type="http://schemas.openxmlformats.org/officeDocument/2006/relationships/hyperlink" Target="dc-report-tables.xlsx" TargetMode="External"/><Relationship Id="rId257" Type="http://schemas.openxmlformats.org/officeDocument/2006/relationships/hyperlink" Target="dc-report-tables.xlsx" TargetMode="External"/><Relationship Id="rId258" Type="http://schemas.openxmlformats.org/officeDocument/2006/relationships/hyperlink" Target="dc-report-tables.xlsx" TargetMode="External"/><Relationship Id="rId259" Type="http://schemas.openxmlformats.org/officeDocument/2006/relationships/hyperlink" Target="dc-report-tables.xlsx" TargetMode="External"/><Relationship Id="rId26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8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11"/>
    <col collapsed="false" customWidth="true" hidden="false" outlineLevel="0" max="4" min="4" style="0" width="48"/>
    <col collapsed="false" customWidth="true" hidden="false" outlineLevel="0" max="5" min="5" style="0" width="7"/>
    <col collapsed="false" customWidth="true" hidden="false" outlineLevel="0" max="6" min="6" style="0" width="8"/>
    <col collapsed="false" customWidth="true" hidden="false" outlineLevel="0" max="7" min="7" style="0" width="40"/>
    <col collapsed="false" customWidth="true" hidden="false" outlineLevel="0" max="8" min="8" style="0" width="11"/>
    <col collapsed="false" customWidth="true" hidden="false" outlineLevel="0" max="9" min="9" style="0" width="24"/>
    <col collapsed="false" customWidth="true" hidden="false" outlineLevel="0" max="10" min="10" style="0" width="52"/>
    <col collapsed="false" customWidth="true" hidden="false" outlineLevel="0" max="11" min="11" style="0" width="46"/>
  </cols>
  <sheetData>
    <row r="1" customFormat="false" ht="17.35" hidden="false" customHeight="false" outlineLevel="0" collapsed="false">
      <c r="A1" s="1" t="s">
        <v>0</v>
      </c>
    </row>
    <row r="2" customFormat="false" ht="42" hidden="false" customHeight="true" outlineLevel="0" collapsed="false">
      <c r="A2" s="2" t="s">
        <v>1</v>
      </c>
      <c r="B2" s="2"/>
      <c r="C2" s="2"/>
      <c r="D2" s="2"/>
      <c r="E2" s="2"/>
      <c r="F2" s="2"/>
      <c r="G2" s="2"/>
      <c r="H2" s="2"/>
      <c r="I2" s="2"/>
      <c r="J2" s="2"/>
      <c r="K2" s="2"/>
    </row>
    <row r="4" customFormat="false" ht="15" hidden="false" customHeight="false" outlineLevel="0" collapsed="false">
      <c r="A4" s="3" t="s">
        <v>2</v>
      </c>
      <c r="B4" s="3" t="s">
        <v>3</v>
      </c>
      <c r="C4" s="3" t="s">
        <v>4</v>
      </c>
      <c r="D4" s="3" t="s">
        <v>5</v>
      </c>
      <c r="E4" s="3" t="s">
        <v>6</v>
      </c>
      <c r="F4" s="3" t="s">
        <v>7</v>
      </c>
      <c r="G4" s="3" t="s">
        <v>8</v>
      </c>
      <c r="H4" s="3" t="s">
        <v>9</v>
      </c>
      <c r="I4" s="3" t="s">
        <v>10</v>
      </c>
      <c r="J4" s="3" t="s">
        <v>11</v>
      </c>
      <c r="K4" s="3" t="s">
        <v>12</v>
      </c>
    </row>
    <row r="5" customFormat="false" ht="35.05" hidden="false" customHeight="false" outlineLevel="0" collapsed="false">
      <c r="A5" s="4" t="n">
        <v>1</v>
      </c>
      <c r="B5" s="4" t="s">
        <v>13</v>
      </c>
      <c r="C5" s="4" t="s">
        <v>14</v>
      </c>
      <c r="D5" s="5" t="s">
        <v>15</v>
      </c>
      <c r="E5" s="4" t="n">
        <v>6</v>
      </c>
      <c r="F5" s="4" t="n">
        <v>7</v>
      </c>
      <c r="G5" s="4" t="s">
        <v>16</v>
      </c>
      <c r="H5" s="4" t="s">
        <v>17</v>
      </c>
      <c r="I5" s="6" t="s">
        <v>18</v>
      </c>
      <c r="J5" s="4" t="s">
        <v>19</v>
      </c>
      <c r="K5" s="4" t="s">
        <v>20</v>
      </c>
    </row>
    <row r="6" customFormat="false" ht="35.05" hidden="false" customHeight="false" outlineLevel="0" collapsed="false">
      <c r="A6" s="4" t="n">
        <v>2</v>
      </c>
      <c r="B6" s="4" t="s">
        <v>13</v>
      </c>
      <c r="C6" s="4" t="s">
        <v>21</v>
      </c>
      <c r="D6" s="5" t="s">
        <v>22</v>
      </c>
      <c r="E6" s="4" t="n">
        <v>4</v>
      </c>
      <c r="F6" s="4" t="n">
        <v>7</v>
      </c>
      <c r="G6" s="4" t="s">
        <v>16</v>
      </c>
      <c r="H6" s="4" t="s">
        <v>17</v>
      </c>
      <c r="I6" s="7" t="s">
        <v>23</v>
      </c>
      <c r="J6" s="4" t="s">
        <v>24</v>
      </c>
      <c r="K6" s="4" t="s">
        <v>25</v>
      </c>
    </row>
    <row r="7" customFormat="false" ht="35.05" hidden="false" customHeight="false" outlineLevel="0" collapsed="false">
      <c r="A7" s="4" t="n">
        <v>3</v>
      </c>
      <c r="B7" s="4" t="s">
        <v>13</v>
      </c>
      <c r="C7" s="4" t="s">
        <v>26</v>
      </c>
      <c r="D7" s="5" t="s">
        <v>27</v>
      </c>
      <c r="E7" s="4" t="n">
        <v>5</v>
      </c>
      <c r="F7" s="4" t="n">
        <v>6</v>
      </c>
      <c r="G7" s="4" t="s">
        <v>16</v>
      </c>
      <c r="H7" s="4" t="s">
        <v>17</v>
      </c>
      <c r="I7" s="6" t="s">
        <v>18</v>
      </c>
      <c r="J7" s="4" t="s">
        <v>28</v>
      </c>
      <c r="K7" s="4" t="s">
        <v>29</v>
      </c>
    </row>
    <row r="8" customFormat="false" ht="35.05" hidden="false" customHeight="false" outlineLevel="0" collapsed="false">
      <c r="A8" s="4" t="n">
        <v>4</v>
      </c>
      <c r="B8" s="4" t="s">
        <v>13</v>
      </c>
      <c r="C8" s="4" t="s">
        <v>30</v>
      </c>
      <c r="D8" s="5" t="s">
        <v>31</v>
      </c>
      <c r="E8" s="4" t="n">
        <v>11</v>
      </c>
      <c r="F8" s="4" t="n">
        <v>3</v>
      </c>
      <c r="G8" s="4" t="s">
        <v>16</v>
      </c>
      <c r="H8" s="4" t="s">
        <v>17</v>
      </c>
      <c r="I8" s="7" t="s">
        <v>23</v>
      </c>
      <c r="J8" s="4" t="s">
        <v>32</v>
      </c>
      <c r="K8" s="4" t="s">
        <v>33</v>
      </c>
    </row>
    <row r="9" customFormat="false" ht="35.05" hidden="false" customHeight="false" outlineLevel="0" collapsed="false">
      <c r="A9" s="4" t="n">
        <v>5</v>
      </c>
      <c r="B9" s="4" t="s">
        <v>13</v>
      </c>
      <c r="C9" s="4" t="s">
        <v>34</v>
      </c>
      <c r="D9" s="5" t="s">
        <v>35</v>
      </c>
      <c r="E9" s="4" t="n">
        <v>7</v>
      </c>
      <c r="F9" s="4" t="n">
        <v>4</v>
      </c>
      <c r="G9" s="4" t="s">
        <v>36</v>
      </c>
      <c r="H9" s="4" t="s">
        <v>17</v>
      </c>
      <c r="I9" s="7" t="s">
        <v>23</v>
      </c>
      <c r="J9" s="4" t="s">
        <v>37</v>
      </c>
      <c r="K9" s="4" t="s">
        <v>38</v>
      </c>
    </row>
    <row r="10" customFormat="false" ht="35.05" hidden="false" customHeight="false" outlineLevel="0" collapsed="false">
      <c r="A10" s="4" t="n">
        <v>6</v>
      </c>
      <c r="B10" s="4" t="s">
        <v>13</v>
      </c>
      <c r="C10" s="4" t="s">
        <v>39</v>
      </c>
      <c r="D10" s="5" t="s">
        <v>40</v>
      </c>
      <c r="E10" s="4" t="n">
        <v>8</v>
      </c>
      <c r="F10" s="4" t="n">
        <v>4</v>
      </c>
      <c r="G10" s="4" t="s">
        <v>36</v>
      </c>
      <c r="H10" s="4" t="s">
        <v>17</v>
      </c>
      <c r="I10" s="7" t="s">
        <v>23</v>
      </c>
      <c r="J10" s="4" t="s">
        <v>41</v>
      </c>
      <c r="K10" s="4" t="s">
        <v>42</v>
      </c>
    </row>
    <row r="11" customFormat="false" ht="35.05" hidden="false" customHeight="false" outlineLevel="0" collapsed="false">
      <c r="A11" s="4" t="n">
        <v>7</v>
      </c>
      <c r="B11" s="4" t="s">
        <v>13</v>
      </c>
      <c r="C11" s="4" t="s">
        <v>43</v>
      </c>
      <c r="D11" s="5" t="s">
        <v>44</v>
      </c>
      <c r="E11" s="4" t="n">
        <v>7</v>
      </c>
      <c r="F11" s="4" t="n">
        <v>4</v>
      </c>
      <c r="G11" s="4" t="s">
        <v>36</v>
      </c>
      <c r="H11" s="4" t="s">
        <v>17</v>
      </c>
      <c r="I11" s="7" t="s">
        <v>23</v>
      </c>
      <c r="J11" s="4" t="s">
        <v>45</v>
      </c>
      <c r="K11" s="4" t="s">
        <v>46</v>
      </c>
    </row>
    <row r="12" customFormat="false" ht="35.05" hidden="false" customHeight="false" outlineLevel="0" collapsed="false">
      <c r="A12" s="4" t="n">
        <v>8</v>
      </c>
      <c r="B12" s="4" t="s">
        <v>47</v>
      </c>
      <c r="C12" s="4" t="s">
        <v>48</v>
      </c>
      <c r="D12" s="5" t="s">
        <v>49</v>
      </c>
      <c r="E12" s="4" t="n">
        <v>4</v>
      </c>
      <c r="F12" s="4" t="n">
        <v>5</v>
      </c>
      <c r="G12" s="4" t="s">
        <v>50</v>
      </c>
      <c r="H12" s="4" t="s">
        <v>51</v>
      </c>
      <c r="I12" s="8" t="s">
        <v>52</v>
      </c>
      <c r="J12" s="4" t="s">
        <v>53</v>
      </c>
      <c r="K12" s="4" t="s">
        <v>54</v>
      </c>
    </row>
    <row r="13" customFormat="false" ht="46.25" hidden="false" customHeight="false" outlineLevel="0" collapsed="false">
      <c r="A13" s="4" t="n">
        <v>9</v>
      </c>
      <c r="B13" s="4" t="s">
        <v>47</v>
      </c>
      <c r="C13" s="4" t="s">
        <v>55</v>
      </c>
      <c r="D13" s="5" t="s">
        <v>56</v>
      </c>
      <c r="E13" s="4" t="n">
        <v>5</v>
      </c>
      <c r="F13" s="4" t="n">
        <v>3</v>
      </c>
      <c r="G13" s="4" t="s">
        <v>57</v>
      </c>
      <c r="H13" s="4" t="s">
        <v>51</v>
      </c>
      <c r="I13" s="8" t="s">
        <v>52</v>
      </c>
      <c r="J13" s="4" t="s">
        <v>58</v>
      </c>
      <c r="K13" s="4" t="s">
        <v>59</v>
      </c>
    </row>
    <row r="14" customFormat="false" ht="35.05" hidden="false" customHeight="false" outlineLevel="0" collapsed="false">
      <c r="A14" s="4" t="n">
        <v>10</v>
      </c>
      <c r="B14" s="4" t="s">
        <v>47</v>
      </c>
      <c r="C14" s="4" t="s">
        <v>60</v>
      </c>
      <c r="D14" s="5" t="s">
        <v>61</v>
      </c>
      <c r="E14" s="4" t="n">
        <v>4</v>
      </c>
      <c r="F14" s="4" t="n">
        <v>3</v>
      </c>
      <c r="G14" s="4" t="s">
        <v>62</v>
      </c>
      <c r="H14" s="4" t="s">
        <v>51</v>
      </c>
      <c r="I14" s="7" t="s">
        <v>23</v>
      </c>
      <c r="J14" s="4" t="s">
        <v>63</v>
      </c>
      <c r="K14" s="4" t="s">
        <v>64</v>
      </c>
    </row>
    <row r="15" customFormat="false" ht="35.05" hidden="false" customHeight="false" outlineLevel="0" collapsed="false">
      <c r="A15" s="4" t="n">
        <v>11</v>
      </c>
      <c r="B15" s="4" t="s">
        <v>47</v>
      </c>
      <c r="C15" s="4" t="s">
        <v>65</v>
      </c>
      <c r="D15" s="5" t="s">
        <v>66</v>
      </c>
      <c r="E15" s="4" t="n">
        <v>4</v>
      </c>
      <c r="F15" s="4" t="n">
        <v>3</v>
      </c>
      <c r="G15" s="4" t="s">
        <v>67</v>
      </c>
      <c r="H15" s="4" t="s">
        <v>51</v>
      </c>
      <c r="I15" s="7" t="s">
        <v>23</v>
      </c>
      <c r="J15" s="4" t="s">
        <v>68</v>
      </c>
      <c r="K15" s="4" t="s">
        <v>69</v>
      </c>
    </row>
    <row r="16" customFormat="false" ht="35.05" hidden="false" customHeight="false" outlineLevel="0" collapsed="false">
      <c r="A16" s="4" t="n">
        <v>12</v>
      </c>
      <c r="B16" s="4" t="s">
        <v>47</v>
      </c>
      <c r="C16" s="4" t="s">
        <v>70</v>
      </c>
      <c r="D16" s="5" t="s">
        <v>71</v>
      </c>
      <c r="E16" s="4" t="n">
        <v>4</v>
      </c>
      <c r="F16" s="4" t="n">
        <v>3</v>
      </c>
      <c r="G16" s="4" t="s">
        <v>72</v>
      </c>
      <c r="H16" s="4" t="s">
        <v>51</v>
      </c>
      <c r="I16" s="7" t="s">
        <v>23</v>
      </c>
      <c r="J16" s="4" t="s">
        <v>73</v>
      </c>
      <c r="K16" s="4" t="s">
        <v>74</v>
      </c>
    </row>
    <row r="17" customFormat="false" ht="35.05" hidden="false" customHeight="false" outlineLevel="0" collapsed="false">
      <c r="A17" s="4" t="n">
        <v>13</v>
      </c>
      <c r="B17" s="4" t="s">
        <v>47</v>
      </c>
      <c r="C17" s="4" t="s">
        <v>75</v>
      </c>
      <c r="D17" s="5" t="s">
        <v>76</v>
      </c>
      <c r="E17" s="4" t="n">
        <v>6</v>
      </c>
      <c r="F17" s="4" t="n">
        <v>3</v>
      </c>
      <c r="G17" s="4" t="s">
        <v>77</v>
      </c>
      <c r="H17" s="4" t="s">
        <v>51</v>
      </c>
      <c r="I17" s="7" t="s">
        <v>23</v>
      </c>
      <c r="J17" s="4" t="s">
        <v>78</v>
      </c>
      <c r="K17" s="4" t="s">
        <v>79</v>
      </c>
    </row>
    <row r="18" customFormat="false" ht="35.05" hidden="false" customHeight="false" outlineLevel="0" collapsed="false">
      <c r="A18" s="4" t="n">
        <v>14</v>
      </c>
      <c r="B18" s="4" t="s">
        <v>47</v>
      </c>
      <c r="C18" s="4" t="s">
        <v>80</v>
      </c>
      <c r="D18" s="5" t="s">
        <v>81</v>
      </c>
      <c r="E18" s="4" t="n">
        <v>15</v>
      </c>
      <c r="F18" s="4" t="n">
        <v>3</v>
      </c>
      <c r="G18" s="4" t="s">
        <v>82</v>
      </c>
      <c r="H18" s="4" t="s">
        <v>51</v>
      </c>
      <c r="I18" s="6" t="s">
        <v>18</v>
      </c>
      <c r="J18" s="4" t="s">
        <v>83</v>
      </c>
      <c r="K18" s="4" t="s">
        <v>84</v>
      </c>
    </row>
    <row r="19" customFormat="false" ht="35.05" hidden="false" customHeight="false" outlineLevel="0" collapsed="false">
      <c r="A19" s="4" t="n">
        <v>15</v>
      </c>
      <c r="B19" s="4" t="s">
        <v>47</v>
      </c>
      <c r="C19" s="4" t="s">
        <v>85</v>
      </c>
      <c r="D19" s="5" t="s">
        <v>86</v>
      </c>
      <c r="E19" s="4" t="n">
        <v>8</v>
      </c>
      <c r="F19" s="4" t="n">
        <v>3</v>
      </c>
      <c r="G19" s="4" t="s">
        <v>87</v>
      </c>
      <c r="H19" s="4" t="s">
        <v>51</v>
      </c>
      <c r="I19" s="6" t="s">
        <v>18</v>
      </c>
      <c r="J19" s="4" t="s">
        <v>88</v>
      </c>
      <c r="K19" s="4" t="s">
        <v>89</v>
      </c>
    </row>
    <row r="20" customFormat="false" ht="35.05" hidden="false" customHeight="false" outlineLevel="0" collapsed="false">
      <c r="A20" s="4" t="n">
        <v>16</v>
      </c>
      <c r="B20" s="4" t="s">
        <v>47</v>
      </c>
      <c r="C20" s="4" t="s">
        <v>90</v>
      </c>
      <c r="D20" s="5" t="s">
        <v>91</v>
      </c>
      <c r="E20" s="4" t="n">
        <v>6</v>
      </c>
      <c r="F20" s="4" t="n">
        <v>3</v>
      </c>
      <c r="G20" s="4" t="s">
        <v>92</v>
      </c>
      <c r="H20" s="4" t="s">
        <v>51</v>
      </c>
      <c r="I20" s="8" t="s">
        <v>52</v>
      </c>
      <c r="J20" s="4" t="s">
        <v>93</v>
      </c>
      <c r="K20" s="4" t="s">
        <v>94</v>
      </c>
    </row>
    <row r="21" customFormat="false" ht="23.85" hidden="false" customHeight="false" outlineLevel="0" collapsed="false">
      <c r="A21" s="4" t="n">
        <v>17</v>
      </c>
      <c r="B21" s="4" t="s">
        <v>95</v>
      </c>
      <c r="C21" s="4" t="s">
        <v>96</v>
      </c>
      <c r="D21" s="5" t="s">
        <v>97</v>
      </c>
      <c r="E21" s="4" t="n">
        <v>6</v>
      </c>
      <c r="F21" s="4" t="n">
        <v>4</v>
      </c>
      <c r="G21" s="4" t="s">
        <v>98</v>
      </c>
      <c r="H21" s="4" t="s">
        <v>99</v>
      </c>
      <c r="I21" s="6" t="s">
        <v>18</v>
      </c>
      <c r="J21" s="4" t="s">
        <v>100</v>
      </c>
      <c r="K21" s="4" t="s">
        <v>101</v>
      </c>
    </row>
    <row r="22" customFormat="false" ht="23.85" hidden="false" customHeight="false" outlineLevel="0" collapsed="false">
      <c r="A22" s="4" t="n">
        <v>18</v>
      </c>
      <c r="B22" s="4" t="s">
        <v>95</v>
      </c>
      <c r="C22" s="4" t="s">
        <v>102</v>
      </c>
      <c r="D22" s="5" t="s">
        <v>103</v>
      </c>
      <c r="E22" s="4" t="n">
        <v>5</v>
      </c>
      <c r="F22" s="4" t="n">
        <v>6</v>
      </c>
      <c r="G22" s="4" t="s">
        <v>104</v>
      </c>
      <c r="H22" s="4" t="s">
        <v>99</v>
      </c>
      <c r="I22" s="7" t="s">
        <v>23</v>
      </c>
      <c r="J22" s="4" t="s">
        <v>105</v>
      </c>
      <c r="K22" s="4" t="s">
        <v>106</v>
      </c>
    </row>
    <row r="23" customFormat="false" ht="35.05" hidden="false" customHeight="false" outlineLevel="0" collapsed="false">
      <c r="A23" s="4" t="n">
        <v>19</v>
      </c>
      <c r="B23" s="4" t="s">
        <v>95</v>
      </c>
      <c r="C23" s="4" t="s">
        <v>107</v>
      </c>
      <c r="D23" s="5" t="s">
        <v>108</v>
      </c>
      <c r="E23" s="4" t="n">
        <v>5</v>
      </c>
      <c r="F23" s="4" t="n">
        <v>4</v>
      </c>
      <c r="G23" s="4" t="s">
        <v>109</v>
      </c>
      <c r="H23" s="4" t="s">
        <v>99</v>
      </c>
      <c r="I23" s="7" t="s">
        <v>23</v>
      </c>
      <c r="J23" s="4" t="s">
        <v>110</v>
      </c>
      <c r="K23" s="4" t="s">
        <v>111</v>
      </c>
    </row>
    <row r="24" customFormat="false" ht="35.05" hidden="false" customHeight="false" outlineLevel="0" collapsed="false">
      <c r="A24" s="4" t="n">
        <v>20</v>
      </c>
      <c r="B24" s="4" t="s">
        <v>95</v>
      </c>
      <c r="C24" s="4" t="s">
        <v>112</v>
      </c>
      <c r="D24" s="5" t="s">
        <v>113</v>
      </c>
      <c r="E24" s="4" t="n">
        <v>6</v>
      </c>
      <c r="F24" s="4" t="n">
        <v>3</v>
      </c>
      <c r="G24" s="4" t="s">
        <v>109</v>
      </c>
      <c r="H24" s="4" t="s">
        <v>99</v>
      </c>
      <c r="I24" s="7" t="s">
        <v>23</v>
      </c>
      <c r="J24" s="4" t="s">
        <v>114</v>
      </c>
      <c r="K24" s="4" t="s">
        <v>115</v>
      </c>
    </row>
    <row r="25" customFormat="false" ht="23.85" hidden="false" customHeight="false" outlineLevel="0" collapsed="false">
      <c r="A25" s="4" t="n">
        <v>21</v>
      </c>
      <c r="B25" s="4" t="s">
        <v>95</v>
      </c>
      <c r="C25" s="4" t="s">
        <v>116</v>
      </c>
      <c r="D25" s="5" t="s">
        <v>117</v>
      </c>
      <c r="E25" s="4" t="n">
        <v>8</v>
      </c>
      <c r="F25" s="4" t="n">
        <v>3</v>
      </c>
      <c r="G25" s="4" t="s">
        <v>118</v>
      </c>
      <c r="H25" s="4" t="s">
        <v>99</v>
      </c>
      <c r="I25" s="6" t="s">
        <v>18</v>
      </c>
      <c r="J25" s="4" t="s">
        <v>119</v>
      </c>
      <c r="K25" s="4" t="s">
        <v>120</v>
      </c>
    </row>
    <row r="26" customFormat="false" ht="23.85" hidden="false" customHeight="false" outlineLevel="0" collapsed="false">
      <c r="A26" s="4" t="n">
        <v>22</v>
      </c>
      <c r="B26" s="4" t="s">
        <v>95</v>
      </c>
      <c r="C26" s="4" t="s">
        <v>121</v>
      </c>
      <c r="D26" s="5" t="s">
        <v>122</v>
      </c>
      <c r="E26" s="4" t="n">
        <v>6</v>
      </c>
      <c r="F26" s="4" t="n">
        <v>5</v>
      </c>
      <c r="G26" s="4" t="s">
        <v>123</v>
      </c>
      <c r="H26" s="4" t="s">
        <v>99</v>
      </c>
      <c r="I26" s="6" t="s">
        <v>18</v>
      </c>
      <c r="J26" s="4" t="s">
        <v>124</v>
      </c>
      <c r="K26" s="4" t="s">
        <v>125</v>
      </c>
    </row>
    <row r="27" customFormat="false" ht="23.85" hidden="false" customHeight="false" outlineLevel="0" collapsed="false">
      <c r="A27" s="4" t="n">
        <v>23</v>
      </c>
      <c r="B27" s="4" t="s">
        <v>95</v>
      </c>
      <c r="C27" s="4" t="s">
        <v>126</v>
      </c>
      <c r="D27" s="5" t="s">
        <v>127</v>
      </c>
      <c r="E27" s="4" t="n">
        <v>10</v>
      </c>
      <c r="F27" s="4" t="n">
        <v>6</v>
      </c>
      <c r="G27" s="4" t="s">
        <v>128</v>
      </c>
      <c r="H27" s="4" t="s">
        <v>99</v>
      </c>
      <c r="I27" s="6" t="s">
        <v>18</v>
      </c>
      <c r="J27" s="4" t="s">
        <v>129</v>
      </c>
      <c r="K27" s="4" t="s">
        <v>130</v>
      </c>
    </row>
    <row r="28" customFormat="false" ht="23.85" hidden="false" customHeight="false" outlineLevel="0" collapsed="false">
      <c r="A28" s="4" t="n">
        <v>24</v>
      </c>
      <c r="B28" s="4" t="s">
        <v>95</v>
      </c>
      <c r="C28" s="4" t="s">
        <v>131</v>
      </c>
      <c r="D28" s="5" t="s">
        <v>132</v>
      </c>
      <c r="E28" s="4" t="n">
        <v>6</v>
      </c>
      <c r="F28" s="4" t="n">
        <v>4</v>
      </c>
      <c r="G28" s="4" t="s">
        <v>133</v>
      </c>
      <c r="H28" s="4" t="s">
        <v>99</v>
      </c>
      <c r="I28" s="6" t="s">
        <v>18</v>
      </c>
      <c r="J28" s="4" t="s">
        <v>134</v>
      </c>
      <c r="K28" s="4" t="s">
        <v>135</v>
      </c>
    </row>
    <row r="29" customFormat="false" ht="35.05" hidden="false" customHeight="false" outlineLevel="0" collapsed="false">
      <c r="A29" s="4" t="n">
        <v>25</v>
      </c>
      <c r="B29" s="4" t="s">
        <v>95</v>
      </c>
      <c r="C29" s="4" t="s">
        <v>136</v>
      </c>
      <c r="D29" s="5" t="s">
        <v>137</v>
      </c>
      <c r="E29" s="4" t="n">
        <v>6</v>
      </c>
      <c r="F29" s="4" t="n">
        <v>3</v>
      </c>
      <c r="G29" s="4" t="s">
        <v>138</v>
      </c>
      <c r="H29" s="4" t="s">
        <v>99</v>
      </c>
      <c r="I29" s="7" t="s">
        <v>23</v>
      </c>
      <c r="J29" s="4" t="s">
        <v>139</v>
      </c>
      <c r="K29" s="4" t="s">
        <v>140</v>
      </c>
    </row>
    <row r="30" customFormat="false" ht="35.05" hidden="false" customHeight="false" outlineLevel="0" collapsed="false">
      <c r="A30" s="4" t="n">
        <v>26</v>
      </c>
      <c r="B30" s="4" t="s">
        <v>95</v>
      </c>
      <c r="C30" s="4" t="s">
        <v>141</v>
      </c>
      <c r="D30" s="5" t="s">
        <v>142</v>
      </c>
      <c r="E30" s="4" t="n">
        <v>8</v>
      </c>
      <c r="F30" s="4" t="n">
        <v>2</v>
      </c>
      <c r="G30" s="4" t="s">
        <v>143</v>
      </c>
      <c r="H30" s="4" t="s">
        <v>99</v>
      </c>
      <c r="I30" s="7" t="s">
        <v>23</v>
      </c>
      <c r="J30" s="4" t="s">
        <v>144</v>
      </c>
      <c r="K30" s="4" t="s">
        <v>145</v>
      </c>
    </row>
    <row r="31" customFormat="false" ht="23.85" hidden="false" customHeight="false" outlineLevel="0" collapsed="false">
      <c r="A31" s="4" t="n">
        <v>27</v>
      </c>
      <c r="B31" s="4" t="s">
        <v>95</v>
      </c>
      <c r="C31" s="4" t="s">
        <v>146</v>
      </c>
      <c r="D31" s="5" t="s">
        <v>147</v>
      </c>
      <c r="E31" s="4" t="n">
        <v>7</v>
      </c>
      <c r="F31" s="4" t="n">
        <v>4</v>
      </c>
      <c r="G31" s="4" t="s">
        <v>148</v>
      </c>
      <c r="H31" s="4" t="s">
        <v>99</v>
      </c>
      <c r="I31" s="6" t="s">
        <v>18</v>
      </c>
      <c r="J31" s="4" t="s">
        <v>149</v>
      </c>
      <c r="K31" s="4" t="s">
        <v>150</v>
      </c>
    </row>
    <row r="32" customFormat="false" ht="23.85" hidden="false" customHeight="false" outlineLevel="0" collapsed="false">
      <c r="A32" s="4" t="n">
        <v>28</v>
      </c>
      <c r="B32" s="4" t="s">
        <v>95</v>
      </c>
      <c r="C32" s="4" t="s">
        <v>151</v>
      </c>
      <c r="D32" s="5" t="s">
        <v>152</v>
      </c>
      <c r="E32" s="4" t="n">
        <v>5</v>
      </c>
      <c r="F32" s="4" t="n">
        <v>3</v>
      </c>
      <c r="G32" s="4" t="s">
        <v>153</v>
      </c>
      <c r="H32" s="4" t="s">
        <v>99</v>
      </c>
      <c r="I32" s="9" t="s">
        <v>154</v>
      </c>
      <c r="J32" s="4" t="s">
        <v>155</v>
      </c>
      <c r="K32" s="4" t="s">
        <v>156</v>
      </c>
    </row>
    <row r="33" customFormat="false" ht="23.85" hidden="false" customHeight="false" outlineLevel="0" collapsed="false">
      <c r="A33" s="4" t="n">
        <v>29</v>
      </c>
      <c r="B33" s="4" t="s">
        <v>95</v>
      </c>
      <c r="C33" s="4" t="s">
        <v>157</v>
      </c>
      <c r="D33" s="5" t="s">
        <v>158</v>
      </c>
      <c r="E33" s="4" t="n">
        <v>6</v>
      </c>
      <c r="F33" s="4" t="n">
        <v>4</v>
      </c>
      <c r="G33" s="4" t="s">
        <v>159</v>
      </c>
      <c r="H33" s="4" t="s">
        <v>99</v>
      </c>
      <c r="I33" s="9" t="s">
        <v>154</v>
      </c>
      <c r="J33" s="4" t="s">
        <v>160</v>
      </c>
      <c r="K33" s="4" t="s">
        <v>161</v>
      </c>
    </row>
    <row r="34" customFormat="false" ht="35.05" hidden="false" customHeight="false" outlineLevel="0" collapsed="false">
      <c r="A34" s="4" t="n">
        <v>30</v>
      </c>
      <c r="B34" s="4" t="s">
        <v>95</v>
      </c>
      <c r="C34" s="4" t="s">
        <v>162</v>
      </c>
      <c r="D34" s="5" t="s">
        <v>163</v>
      </c>
      <c r="E34" s="4" t="n">
        <v>7</v>
      </c>
      <c r="F34" s="4" t="n">
        <v>2</v>
      </c>
      <c r="G34" s="4" t="s">
        <v>164</v>
      </c>
      <c r="H34" s="4" t="s">
        <v>99</v>
      </c>
      <c r="I34" s="7" t="s">
        <v>23</v>
      </c>
      <c r="J34" s="4" t="s">
        <v>165</v>
      </c>
      <c r="K34" s="4" t="s">
        <v>166</v>
      </c>
    </row>
    <row r="35" customFormat="false" ht="35.05" hidden="false" customHeight="false" outlineLevel="0" collapsed="false">
      <c r="A35" s="4" t="n">
        <v>31</v>
      </c>
      <c r="B35" s="4" t="s">
        <v>95</v>
      </c>
      <c r="C35" s="4" t="s">
        <v>167</v>
      </c>
      <c r="D35" s="5" t="s">
        <v>168</v>
      </c>
      <c r="E35" s="4" t="n">
        <v>7</v>
      </c>
      <c r="F35" s="4" t="n">
        <v>4</v>
      </c>
      <c r="G35" s="4" t="s">
        <v>169</v>
      </c>
      <c r="H35" s="4" t="s">
        <v>99</v>
      </c>
      <c r="I35" s="8" t="s">
        <v>52</v>
      </c>
      <c r="J35" s="4" t="s">
        <v>170</v>
      </c>
      <c r="K35" s="4" t="s">
        <v>171</v>
      </c>
    </row>
    <row r="36" customFormat="false" ht="23.85" hidden="false" customHeight="false" outlineLevel="0" collapsed="false">
      <c r="A36" s="4" t="n">
        <v>32</v>
      </c>
      <c r="B36" s="4" t="s">
        <v>172</v>
      </c>
      <c r="C36" s="4" t="s">
        <v>173</v>
      </c>
      <c r="D36" s="5" t="s">
        <v>174</v>
      </c>
      <c r="E36" s="4" t="n">
        <v>8</v>
      </c>
      <c r="F36" s="4" t="n">
        <v>4</v>
      </c>
      <c r="G36" s="4" t="s">
        <v>175</v>
      </c>
      <c r="H36" s="4" t="s">
        <v>176</v>
      </c>
      <c r="I36" s="9" t="s">
        <v>154</v>
      </c>
      <c r="J36" s="4" t="s">
        <v>177</v>
      </c>
      <c r="K36" s="4" t="s">
        <v>178</v>
      </c>
    </row>
    <row r="37" customFormat="false" ht="23.85" hidden="false" customHeight="false" outlineLevel="0" collapsed="false">
      <c r="A37" s="4" t="n">
        <v>33</v>
      </c>
      <c r="B37" s="4" t="s">
        <v>172</v>
      </c>
      <c r="C37" s="4" t="s">
        <v>179</v>
      </c>
      <c r="D37" s="5" t="s">
        <v>180</v>
      </c>
      <c r="E37" s="4" t="n">
        <v>14</v>
      </c>
      <c r="F37" s="4" t="n">
        <v>4</v>
      </c>
      <c r="G37" s="4" t="s">
        <v>181</v>
      </c>
      <c r="H37" s="4" t="s">
        <v>176</v>
      </c>
      <c r="I37" s="10" t="s">
        <v>182</v>
      </c>
      <c r="J37" s="4" t="s">
        <v>183</v>
      </c>
      <c r="K37" s="4" t="s">
        <v>184</v>
      </c>
    </row>
    <row r="38" customFormat="false" ht="23.85" hidden="false" customHeight="false" outlineLevel="0" collapsed="false">
      <c r="A38" s="4" t="n">
        <v>34</v>
      </c>
      <c r="B38" s="4" t="s">
        <v>172</v>
      </c>
      <c r="C38" s="4" t="s">
        <v>185</v>
      </c>
      <c r="D38" s="5" t="s">
        <v>186</v>
      </c>
      <c r="E38" s="4" t="n">
        <v>6</v>
      </c>
      <c r="F38" s="4" t="n">
        <v>6</v>
      </c>
      <c r="G38" s="4" t="s">
        <v>187</v>
      </c>
      <c r="H38" s="4" t="s">
        <v>176</v>
      </c>
      <c r="I38" s="10" t="s">
        <v>182</v>
      </c>
      <c r="J38" s="4" t="s">
        <v>188</v>
      </c>
      <c r="K38" s="4" t="s">
        <v>189</v>
      </c>
    </row>
    <row r="39" customFormat="false" ht="35.05" hidden="false" customHeight="false" outlineLevel="0" collapsed="false">
      <c r="A39" s="4" t="n">
        <v>35</v>
      </c>
      <c r="B39" s="4" t="s">
        <v>172</v>
      </c>
      <c r="C39" s="4" t="s">
        <v>190</v>
      </c>
      <c r="D39" s="5" t="s">
        <v>191</v>
      </c>
      <c r="E39" s="4" t="n">
        <v>3</v>
      </c>
      <c r="F39" s="4" t="n">
        <v>4</v>
      </c>
      <c r="G39" s="4" t="s">
        <v>192</v>
      </c>
      <c r="H39" s="4" t="s">
        <v>176</v>
      </c>
      <c r="I39" s="10" t="s">
        <v>182</v>
      </c>
      <c r="J39" s="4" t="s">
        <v>193</v>
      </c>
      <c r="K39" s="4" t="s">
        <v>194</v>
      </c>
    </row>
    <row r="40" customFormat="false" ht="23.85" hidden="false" customHeight="false" outlineLevel="0" collapsed="false">
      <c r="A40" s="4" t="n">
        <v>36</v>
      </c>
      <c r="B40" s="4" t="s">
        <v>172</v>
      </c>
      <c r="C40" s="4" t="s">
        <v>195</v>
      </c>
      <c r="D40" s="5" t="s">
        <v>196</v>
      </c>
      <c r="E40" s="4" t="n">
        <v>18</v>
      </c>
      <c r="F40" s="4" t="n">
        <v>5</v>
      </c>
      <c r="G40" s="4" t="s">
        <v>197</v>
      </c>
      <c r="H40" s="4" t="s">
        <v>176</v>
      </c>
      <c r="I40" s="6" t="s">
        <v>18</v>
      </c>
      <c r="J40" s="4" t="s">
        <v>198</v>
      </c>
      <c r="K40" s="4" t="s">
        <v>199</v>
      </c>
    </row>
    <row r="41" customFormat="false" ht="23.85" hidden="false" customHeight="false" outlineLevel="0" collapsed="false">
      <c r="A41" s="4" t="n">
        <v>37</v>
      </c>
      <c r="B41" s="4" t="s">
        <v>172</v>
      </c>
      <c r="C41" s="4" t="s">
        <v>200</v>
      </c>
      <c r="D41" s="5" t="s">
        <v>201</v>
      </c>
      <c r="E41" s="4" t="n">
        <v>5</v>
      </c>
      <c r="F41" s="4" t="n">
        <v>3</v>
      </c>
      <c r="G41" s="4" t="s">
        <v>202</v>
      </c>
      <c r="H41" s="4" t="s">
        <v>176</v>
      </c>
      <c r="I41" s="7" t="s">
        <v>23</v>
      </c>
      <c r="J41" s="4" t="s">
        <v>203</v>
      </c>
      <c r="K41" s="4" t="s">
        <v>204</v>
      </c>
    </row>
    <row r="42" customFormat="false" ht="46.25" hidden="false" customHeight="false" outlineLevel="0" collapsed="false">
      <c r="A42" s="4" t="n">
        <v>38</v>
      </c>
      <c r="B42" s="4" t="s">
        <v>172</v>
      </c>
      <c r="C42" s="4" t="s">
        <v>205</v>
      </c>
      <c r="D42" s="5" t="s">
        <v>206</v>
      </c>
      <c r="E42" s="4" t="n">
        <v>5</v>
      </c>
      <c r="F42" s="4" t="n">
        <v>5</v>
      </c>
      <c r="G42" s="4" t="s">
        <v>207</v>
      </c>
      <c r="H42" s="4" t="s">
        <v>176</v>
      </c>
      <c r="I42" s="10" t="s">
        <v>182</v>
      </c>
      <c r="J42" s="4" t="s">
        <v>208</v>
      </c>
      <c r="K42" s="4" t="s">
        <v>209</v>
      </c>
    </row>
    <row r="43" customFormat="false" ht="23.85" hidden="false" customHeight="false" outlineLevel="0" collapsed="false">
      <c r="A43" s="4" t="n">
        <v>39</v>
      </c>
      <c r="B43" s="4" t="s">
        <v>172</v>
      </c>
      <c r="C43" s="4" t="s">
        <v>210</v>
      </c>
      <c r="D43" s="5" t="s">
        <v>211</v>
      </c>
      <c r="E43" s="4" t="n">
        <v>3</v>
      </c>
      <c r="F43" s="4" t="n">
        <v>3</v>
      </c>
      <c r="G43" s="4" t="s">
        <v>212</v>
      </c>
      <c r="H43" s="4" t="s">
        <v>176</v>
      </c>
      <c r="I43" s="8" t="s">
        <v>52</v>
      </c>
      <c r="J43" s="4" t="s">
        <v>213</v>
      </c>
      <c r="K43" s="4" t="s">
        <v>214</v>
      </c>
    </row>
    <row r="44" customFormat="false" ht="35.05" hidden="false" customHeight="false" outlineLevel="0" collapsed="false">
      <c r="A44" s="4" t="n">
        <v>40</v>
      </c>
      <c r="B44" s="4" t="s">
        <v>215</v>
      </c>
      <c r="C44" s="4" t="s">
        <v>216</v>
      </c>
      <c r="D44" s="5" t="s">
        <v>217</v>
      </c>
      <c r="E44" s="4" t="n">
        <v>10</v>
      </c>
      <c r="F44" s="4" t="n">
        <v>5</v>
      </c>
      <c r="G44" s="4" t="s">
        <v>218</v>
      </c>
      <c r="H44" s="4" t="s">
        <v>219</v>
      </c>
      <c r="I44" s="7" t="s">
        <v>23</v>
      </c>
      <c r="J44" s="4" t="s">
        <v>220</v>
      </c>
      <c r="K44" s="4" t="s">
        <v>221</v>
      </c>
    </row>
    <row r="45" customFormat="false" ht="35.05" hidden="false" customHeight="false" outlineLevel="0" collapsed="false">
      <c r="A45" s="4" t="n">
        <v>41</v>
      </c>
      <c r="B45" s="4" t="s">
        <v>215</v>
      </c>
      <c r="C45" s="4" t="s">
        <v>222</v>
      </c>
      <c r="D45" s="5" t="s">
        <v>223</v>
      </c>
      <c r="E45" s="4" t="n">
        <v>12</v>
      </c>
      <c r="F45" s="4" t="n">
        <v>4</v>
      </c>
      <c r="G45" s="4" t="s">
        <v>224</v>
      </c>
      <c r="H45" s="4" t="s">
        <v>219</v>
      </c>
      <c r="I45" s="6" t="s">
        <v>18</v>
      </c>
      <c r="J45" s="4" t="s">
        <v>225</v>
      </c>
      <c r="K45" s="4" t="s">
        <v>226</v>
      </c>
    </row>
    <row r="46" customFormat="false" ht="35.05" hidden="false" customHeight="false" outlineLevel="0" collapsed="false">
      <c r="A46" s="4" t="n">
        <v>42</v>
      </c>
      <c r="B46" s="4" t="s">
        <v>215</v>
      </c>
      <c r="C46" s="4" t="s">
        <v>227</v>
      </c>
      <c r="D46" s="5" t="s">
        <v>228</v>
      </c>
      <c r="E46" s="4" t="n">
        <v>8</v>
      </c>
      <c r="F46" s="4" t="n">
        <v>4</v>
      </c>
      <c r="G46" s="4" t="s">
        <v>229</v>
      </c>
      <c r="H46" s="4" t="s">
        <v>219</v>
      </c>
      <c r="I46" s="6" t="s">
        <v>18</v>
      </c>
      <c r="J46" s="4" t="s">
        <v>230</v>
      </c>
      <c r="K46" s="4" t="s">
        <v>231</v>
      </c>
    </row>
    <row r="47" customFormat="false" ht="46.25" hidden="false" customHeight="false" outlineLevel="0" collapsed="false">
      <c r="A47" s="4" t="n">
        <v>43</v>
      </c>
      <c r="B47" s="4" t="s">
        <v>215</v>
      </c>
      <c r="C47" s="4" t="s">
        <v>232</v>
      </c>
      <c r="D47" s="5" t="s">
        <v>233</v>
      </c>
      <c r="E47" s="4" t="n">
        <v>5</v>
      </c>
      <c r="F47" s="4" t="n">
        <v>3</v>
      </c>
      <c r="G47" s="4" t="s">
        <v>234</v>
      </c>
      <c r="H47" s="4" t="s">
        <v>219</v>
      </c>
      <c r="I47" s="6" t="s">
        <v>18</v>
      </c>
      <c r="J47" s="4" t="s">
        <v>235</v>
      </c>
      <c r="K47" s="4" t="s">
        <v>236</v>
      </c>
    </row>
    <row r="48" customFormat="false" ht="46.25" hidden="false" customHeight="false" outlineLevel="0" collapsed="false">
      <c r="A48" s="4" t="n">
        <v>44</v>
      </c>
      <c r="B48" s="4" t="s">
        <v>215</v>
      </c>
      <c r="C48" s="4" t="s">
        <v>237</v>
      </c>
      <c r="D48" s="5" t="s">
        <v>238</v>
      </c>
      <c r="E48" s="4" t="n">
        <v>3</v>
      </c>
      <c r="F48" s="4" t="n">
        <v>5</v>
      </c>
      <c r="G48" s="4" t="s">
        <v>239</v>
      </c>
      <c r="H48" s="4" t="s">
        <v>219</v>
      </c>
      <c r="I48" s="7" t="s">
        <v>23</v>
      </c>
      <c r="J48" s="4" t="s">
        <v>240</v>
      </c>
      <c r="K48" s="4" t="s">
        <v>241</v>
      </c>
    </row>
    <row r="49" customFormat="false" ht="35.05" hidden="false" customHeight="false" outlineLevel="0" collapsed="false">
      <c r="A49" s="4" t="n">
        <v>45</v>
      </c>
      <c r="B49" s="4" t="s">
        <v>215</v>
      </c>
      <c r="C49" s="4" t="s">
        <v>242</v>
      </c>
      <c r="D49" s="5" t="s">
        <v>243</v>
      </c>
      <c r="E49" s="4" t="n">
        <v>6</v>
      </c>
      <c r="F49" s="4" t="n">
        <v>3</v>
      </c>
      <c r="G49" s="4" t="s">
        <v>244</v>
      </c>
      <c r="H49" s="4" t="s">
        <v>219</v>
      </c>
      <c r="I49" s="6" t="s">
        <v>18</v>
      </c>
      <c r="J49" s="4" t="s">
        <v>245</v>
      </c>
      <c r="K49" s="4" t="s">
        <v>246</v>
      </c>
    </row>
    <row r="50" customFormat="false" ht="23.85" hidden="false" customHeight="false" outlineLevel="0" collapsed="false">
      <c r="A50" s="4" t="n">
        <v>46</v>
      </c>
      <c r="B50" s="4" t="s">
        <v>215</v>
      </c>
      <c r="C50" s="4" t="s">
        <v>247</v>
      </c>
      <c r="D50" s="5" t="s">
        <v>248</v>
      </c>
      <c r="E50" s="4" t="n">
        <v>12</v>
      </c>
      <c r="F50" s="4" t="n">
        <v>8</v>
      </c>
      <c r="G50" s="4" t="s">
        <v>249</v>
      </c>
      <c r="H50" s="4" t="s">
        <v>219</v>
      </c>
      <c r="I50" s="10" t="s">
        <v>182</v>
      </c>
      <c r="J50" s="4" t="s">
        <v>250</v>
      </c>
      <c r="K50" s="4" t="s">
        <v>251</v>
      </c>
    </row>
    <row r="51" customFormat="false" ht="46.25" hidden="false" customHeight="false" outlineLevel="0" collapsed="false">
      <c r="A51" s="4" t="n">
        <v>47</v>
      </c>
      <c r="B51" s="4" t="s">
        <v>215</v>
      </c>
      <c r="C51" s="4" t="s">
        <v>252</v>
      </c>
      <c r="D51" s="5" t="s">
        <v>253</v>
      </c>
      <c r="E51" s="4" t="n">
        <v>6</v>
      </c>
      <c r="F51" s="4" t="n">
        <v>7</v>
      </c>
      <c r="G51" s="4" t="s">
        <v>254</v>
      </c>
      <c r="H51" s="4" t="s">
        <v>219</v>
      </c>
      <c r="I51" s="8" t="s">
        <v>52</v>
      </c>
      <c r="J51" s="4" t="s">
        <v>255</v>
      </c>
      <c r="K51" s="4" t="s">
        <v>256</v>
      </c>
    </row>
    <row r="52" customFormat="false" ht="35.05" hidden="false" customHeight="false" outlineLevel="0" collapsed="false">
      <c r="A52" s="4" t="n">
        <v>48</v>
      </c>
      <c r="B52" s="4" t="s">
        <v>257</v>
      </c>
      <c r="C52" s="4" t="s">
        <v>258</v>
      </c>
      <c r="D52" s="5" t="s">
        <v>259</v>
      </c>
      <c r="E52" s="4" t="n">
        <v>4</v>
      </c>
      <c r="F52" s="4" t="n">
        <v>4</v>
      </c>
      <c r="G52" s="4" t="s">
        <v>260</v>
      </c>
      <c r="H52" s="4" t="s">
        <v>261</v>
      </c>
      <c r="I52" s="7" t="s">
        <v>23</v>
      </c>
      <c r="J52" s="4" t="s">
        <v>262</v>
      </c>
      <c r="K52" s="4" t="s">
        <v>263</v>
      </c>
    </row>
    <row r="53" customFormat="false" ht="23.85" hidden="false" customHeight="false" outlineLevel="0" collapsed="false">
      <c r="A53" s="4" t="n">
        <v>49</v>
      </c>
      <c r="B53" s="4" t="s">
        <v>257</v>
      </c>
      <c r="C53" s="4" t="s">
        <v>264</v>
      </c>
      <c r="D53" s="5" t="s">
        <v>265</v>
      </c>
      <c r="E53" s="4" t="n">
        <v>6</v>
      </c>
      <c r="F53" s="4" t="n">
        <v>4</v>
      </c>
      <c r="G53" s="4" t="s">
        <v>266</v>
      </c>
      <c r="H53" s="4" t="s">
        <v>261</v>
      </c>
      <c r="I53" s="6" t="s">
        <v>18</v>
      </c>
      <c r="J53" s="4" t="s">
        <v>267</v>
      </c>
      <c r="K53" s="4" t="s">
        <v>268</v>
      </c>
    </row>
    <row r="54" customFormat="false" ht="23.85" hidden="false" customHeight="false" outlineLevel="0" collapsed="false">
      <c r="A54" s="4" t="n">
        <v>50</v>
      </c>
      <c r="B54" s="4" t="s">
        <v>257</v>
      </c>
      <c r="C54" s="4" t="s">
        <v>269</v>
      </c>
      <c r="D54" s="5" t="s">
        <v>270</v>
      </c>
      <c r="E54" s="4" t="n">
        <v>8</v>
      </c>
      <c r="F54" s="4" t="n">
        <v>3</v>
      </c>
      <c r="G54" s="4" t="s">
        <v>271</v>
      </c>
      <c r="H54" s="4" t="s">
        <v>261</v>
      </c>
      <c r="I54" s="9" t="s">
        <v>154</v>
      </c>
      <c r="J54" s="4" t="s">
        <v>272</v>
      </c>
      <c r="K54" s="4" t="s">
        <v>273</v>
      </c>
    </row>
    <row r="55" customFormat="false" ht="23.85" hidden="false" customHeight="false" outlineLevel="0" collapsed="false">
      <c r="A55" s="4" t="n">
        <v>51</v>
      </c>
      <c r="B55" s="4" t="s">
        <v>257</v>
      </c>
      <c r="C55" s="4" t="s">
        <v>274</v>
      </c>
      <c r="D55" s="5" t="s">
        <v>275</v>
      </c>
      <c r="E55" s="4" t="n">
        <v>5</v>
      </c>
      <c r="F55" s="4" t="n">
        <v>4</v>
      </c>
      <c r="G55" s="4" t="s">
        <v>276</v>
      </c>
      <c r="H55" s="4" t="s">
        <v>261</v>
      </c>
      <c r="I55" s="6" t="s">
        <v>18</v>
      </c>
      <c r="J55" s="4" t="s">
        <v>277</v>
      </c>
      <c r="K55" s="4" t="s">
        <v>278</v>
      </c>
    </row>
    <row r="56" customFormat="false" ht="35.05" hidden="false" customHeight="false" outlineLevel="0" collapsed="false">
      <c r="A56" s="4" t="n">
        <v>52</v>
      </c>
      <c r="B56" s="4" t="s">
        <v>257</v>
      </c>
      <c r="C56" s="4" t="s">
        <v>279</v>
      </c>
      <c r="D56" s="5" t="s">
        <v>280</v>
      </c>
      <c r="E56" s="4" t="n">
        <v>4</v>
      </c>
      <c r="F56" s="4" t="n">
        <v>5</v>
      </c>
      <c r="G56" s="4" t="s">
        <v>281</v>
      </c>
      <c r="H56" s="4" t="s">
        <v>261</v>
      </c>
      <c r="I56" s="10" t="s">
        <v>182</v>
      </c>
      <c r="J56" s="4" t="s">
        <v>282</v>
      </c>
      <c r="K56" s="4" t="s">
        <v>283</v>
      </c>
    </row>
    <row r="57" customFormat="false" ht="35.05" hidden="false" customHeight="false" outlineLevel="0" collapsed="false">
      <c r="A57" s="4" t="n">
        <v>53</v>
      </c>
      <c r="B57" s="4" t="s">
        <v>257</v>
      </c>
      <c r="C57" s="4" t="s">
        <v>284</v>
      </c>
      <c r="D57" s="5" t="s">
        <v>285</v>
      </c>
      <c r="E57" s="4" t="n">
        <v>12</v>
      </c>
      <c r="F57" s="4" t="n">
        <v>6</v>
      </c>
      <c r="G57" s="4" t="s">
        <v>286</v>
      </c>
      <c r="H57" s="4" t="s">
        <v>261</v>
      </c>
      <c r="I57" s="10" t="s">
        <v>182</v>
      </c>
      <c r="J57" s="4" t="s">
        <v>287</v>
      </c>
      <c r="K57" s="4" t="s">
        <v>288</v>
      </c>
    </row>
    <row r="58" customFormat="false" ht="35.05" hidden="false" customHeight="false" outlineLevel="0" collapsed="false">
      <c r="A58" s="4" t="n">
        <v>54</v>
      </c>
      <c r="B58" s="4" t="s">
        <v>257</v>
      </c>
      <c r="C58" s="4" t="s">
        <v>289</v>
      </c>
      <c r="D58" s="5" t="s">
        <v>290</v>
      </c>
      <c r="E58" s="4" t="n">
        <v>9</v>
      </c>
      <c r="F58" s="4" t="n">
        <v>3</v>
      </c>
      <c r="G58" s="4" t="s">
        <v>291</v>
      </c>
      <c r="H58" s="4" t="s">
        <v>261</v>
      </c>
      <c r="I58" s="10" t="s">
        <v>182</v>
      </c>
      <c r="J58" s="4" t="s">
        <v>292</v>
      </c>
      <c r="K58" s="4" t="s">
        <v>293</v>
      </c>
    </row>
    <row r="59" customFormat="false" ht="23.85" hidden="false" customHeight="false" outlineLevel="0" collapsed="false">
      <c r="A59" s="4" t="n">
        <v>55</v>
      </c>
      <c r="B59" s="4" t="s">
        <v>257</v>
      </c>
      <c r="C59" s="4" t="s">
        <v>294</v>
      </c>
      <c r="D59" s="5" t="s">
        <v>295</v>
      </c>
      <c r="E59" s="4" t="n">
        <v>8</v>
      </c>
      <c r="F59" s="4" t="n">
        <v>3</v>
      </c>
      <c r="G59" s="4" t="s">
        <v>296</v>
      </c>
      <c r="H59" s="4" t="s">
        <v>261</v>
      </c>
      <c r="I59" s="7" t="s">
        <v>23</v>
      </c>
      <c r="J59" s="4" t="s">
        <v>297</v>
      </c>
      <c r="K59" s="4" t="s">
        <v>298</v>
      </c>
    </row>
    <row r="60" customFormat="false" ht="23.85" hidden="false" customHeight="false" outlineLevel="0" collapsed="false">
      <c r="A60" s="4" t="n">
        <v>56</v>
      </c>
      <c r="B60" s="4" t="s">
        <v>257</v>
      </c>
      <c r="C60" s="4" t="s">
        <v>299</v>
      </c>
      <c r="D60" s="5" t="s">
        <v>300</v>
      </c>
      <c r="E60" s="4" t="n">
        <v>5</v>
      </c>
      <c r="F60" s="4" t="n">
        <v>4</v>
      </c>
      <c r="G60" s="4" t="s">
        <v>301</v>
      </c>
      <c r="H60" s="4" t="s">
        <v>261</v>
      </c>
      <c r="I60" s="10" t="s">
        <v>182</v>
      </c>
      <c r="J60" s="4" t="s">
        <v>302</v>
      </c>
      <c r="K60" s="4" t="s">
        <v>303</v>
      </c>
    </row>
    <row r="61" customFormat="false" ht="23.85" hidden="false" customHeight="false" outlineLevel="0" collapsed="false">
      <c r="A61" s="4" t="n">
        <v>57</v>
      </c>
      <c r="B61" s="4" t="s">
        <v>257</v>
      </c>
      <c r="C61" s="4" t="s">
        <v>304</v>
      </c>
      <c r="D61" s="5" t="s">
        <v>305</v>
      </c>
      <c r="E61" s="4" t="n">
        <v>3</v>
      </c>
      <c r="F61" s="4" t="n">
        <v>5</v>
      </c>
      <c r="G61" s="4" t="s">
        <v>306</v>
      </c>
      <c r="H61" s="4" t="s">
        <v>261</v>
      </c>
      <c r="I61" s="10" t="s">
        <v>182</v>
      </c>
      <c r="J61" s="4" t="s">
        <v>307</v>
      </c>
      <c r="K61" s="4" t="s">
        <v>308</v>
      </c>
    </row>
    <row r="62" customFormat="false" ht="23.85" hidden="false" customHeight="false" outlineLevel="0" collapsed="false">
      <c r="A62" s="4" t="n">
        <v>58</v>
      </c>
      <c r="B62" s="4" t="s">
        <v>257</v>
      </c>
      <c r="C62" s="4" t="s">
        <v>309</v>
      </c>
      <c r="D62" s="5" t="s">
        <v>310</v>
      </c>
      <c r="E62" s="4" t="n">
        <v>6</v>
      </c>
      <c r="F62" s="4" t="n">
        <v>3</v>
      </c>
      <c r="G62" s="4" t="s">
        <v>311</v>
      </c>
      <c r="H62" s="4" t="s">
        <v>261</v>
      </c>
      <c r="I62" s="6" t="s">
        <v>18</v>
      </c>
      <c r="J62" s="4" t="s">
        <v>312</v>
      </c>
      <c r="K62" s="4" t="s">
        <v>313</v>
      </c>
    </row>
    <row r="63" customFormat="false" ht="35.05" hidden="false" customHeight="false" outlineLevel="0" collapsed="false">
      <c r="A63" s="4" t="n">
        <v>59</v>
      </c>
      <c r="B63" s="4" t="s">
        <v>257</v>
      </c>
      <c r="C63" s="4" t="s">
        <v>314</v>
      </c>
      <c r="D63" s="5" t="s">
        <v>315</v>
      </c>
      <c r="E63" s="4" t="n">
        <v>5</v>
      </c>
      <c r="F63" s="4" t="n">
        <v>2</v>
      </c>
      <c r="G63" s="4" t="s">
        <v>316</v>
      </c>
      <c r="H63" s="4" t="s">
        <v>261</v>
      </c>
      <c r="I63" s="8" t="s">
        <v>52</v>
      </c>
      <c r="J63" s="4" t="s">
        <v>317</v>
      </c>
      <c r="K63" s="4" t="s">
        <v>318</v>
      </c>
    </row>
    <row r="64" customFormat="false" ht="35.05" hidden="false" customHeight="false" outlineLevel="0" collapsed="false">
      <c r="A64" s="4" t="n">
        <v>60</v>
      </c>
      <c r="B64" s="4" t="s">
        <v>257</v>
      </c>
      <c r="C64" s="4" t="s">
        <v>319</v>
      </c>
      <c r="D64" s="5" t="s">
        <v>320</v>
      </c>
      <c r="E64" s="4" t="n">
        <v>10</v>
      </c>
      <c r="F64" s="4" t="n">
        <v>5</v>
      </c>
      <c r="G64" s="4" t="s">
        <v>321</v>
      </c>
      <c r="H64" s="4" t="s">
        <v>261</v>
      </c>
      <c r="I64" s="10" t="s">
        <v>182</v>
      </c>
      <c r="J64" s="4" t="s">
        <v>322</v>
      </c>
      <c r="K64" s="4" t="s">
        <v>323</v>
      </c>
    </row>
    <row r="65" customFormat="false" ht="35.05" hidden="false" customHeight="false" outlineLevel="0" collapsed="false">
      <c r="A65" s="4" t="n">
        <v>61</v>
      </c>
      <c r="B65" s="4" t="s">
        <v>257</v>
      </c>
      <c r="C65" s="4" t="s">
        <v>324</v>
      </c>
      <c r="D65" s="5" t="s">
        <v>325</v>
      </c>
      <c r="E65" s="4" t="n">
        <v>5</v>
      </c>
      <c r="F65" s="4" t="n">
        <v>3</v>
      </c>
      <c r="G65" s="4" t="s">
        <v>326</v>
      </c>
      <c r="H65" s="4" t="s">
        <v>261</v>
      </c>
      <c r="I65" s="7" t="s">
        <v>23</v>
      </c>
      <c r="J65" s="4" t="s">
        <v>327</v>
      </c>
      <c r="K65" s="4" t="s">
        <v>328</v>
      </c>
    </row>
    <row r="66" customFormat="false" ht="35.05" hidden="false" customHeight="false" outlineLevel="0" collapsed="false">
      <c r="A66" s="4" t="n">
        <v>62</v>
      </c>
      <c r="B66" s="4" t="s">
        <v>257</v>
      </c>
      <c r="C66" s="4" t="s">
        <v>329</v>
      </c>
      <c r="D66" s="5" t="s">
        <v>330</v>
      </c>
      <c r="E66" s="4" t="n">
        <v>8</v>
      </c>
      <c r="F66" s="4" t="n">
        <v>2</v>
      </c>
      <c r="G66" s="4" t="s">
        <v>331</v>
      </c>
      <c r="H66" s="4" t="s">
        <v>261</v>
      </c>
      <c r="I66" s="10" t="s">
        <v>182</v>
      </c>
      <c r="J66" s="4" t="s">
        <v>332</v>
      </c>
      <c r="K66" s="4" t="s">
        <v>333</v>
      </c>
    </row>
    <row r="67" customFormat="false" ht="23.85" hidden="false" customHeight="false" outlineLevel="0" collapsed="false">
      <c r="A67" s="4" t="n">
        <v>63</v>
      </c>
      <c r="B67" s="4" t="s">
        <v>257</v>
      </c>
      <c r="C67" s="4" t="s">
        <v>334</v>
      </c>
      <c r="D67" s="5" t="s">
        <v>335</v>
      </c>
      <c r="E67" s="4" t="n">
        <v>5</v>
      </c>
      <c r="F67" s="4" t="n">
        <v>4</v>
      </c>
      <c r="G67" s="4" t="s">
        <v>336</v>
      </c>
      <c r="H67" s="4" t="s">
        <v>261</v>
      </c>
      <c r="I67" s="7" t="s">
        <v>23</v>
      </c>
      <c r="J67" s="4" t="s">
        <v>337</v>
      </c>
      <c r="K67" s="4" t="s">
        <v>338</v>
      </c>
    </row>
    <row r="68" customFormat="false" ht="23.85" hidden="false" customHeight="false" outlineLevel="0" collapsed="false">
      <c r="A68" s="4" t="n">
        <v>64</v>
      </c>
      <c r="B68" s="4" t="s">
        <v>257</v>
      </c>
      <c r="C68" s="4" t="s">
        <v>339</v>
      </c>
      <c r="D68" s="5" t="s">
        <v>340</v>
      </c>
      <c r="E68" s="4" t="n">
        <v>4</v>
      </c>
      <c r="F68" s="4" t="n">
        <v>4</v>
      </c>
      <c r="G68" s="4" t="s">
        <v>341</v>
      </c>
      <c r="H68" s="4" t="s">
        <v>261</v>
      </c>
      <c r="I68" s="8" t="s">
        <v>52</v>
      </c>
      <c r="J68" s="4" t="s">
        <v>342</v>
      </c>
      <c r="K68" s="4" t="s">
        <v>343</v>
      </c>
    </row>
    <row r="69" customFormat="false" ht="35.05" hidden="false" customHeight="false" outlineLevel="0" collapsed="false">
      <c r="A69" s="4" t="n">
        <v>65</v>
      </c>
      <c r="B69" s="4" t="s">
        <v>257</v>
      </c>
      <c r="C69" s="4" t="s">
        <v>344</v>
      </c>
      <c r="D69" s="5" t="s">
        <v>345</v>
      </c>
      <c r="E69" s="4" t="n">
        <v>6</v>
      </c>
      <c r="F69" s="4" t="n">
        <v>8</v>
      </c>
      <c r="G69" s="4" t="s">
        <v>346</v>
      </c>
      <c r="H69" s="4" t="s">
        <v>261</v>
      </c>
      <c r="I69" s="10" t="s">
        <v>182</v>
      </c>
      <c r="J69" s="4" t="s">
        <v>347</v>
      </c>
      <c r="K69" s="4" t="s">
        <v>348</v>
      </c>
    </row>
    <row r="70" customFormat="false" ht="23.85" hidden="false" customHeight="false" outlineLevel="0" collapsed="false">
      <c r="A70" s="4" t="n">
        <v>66</v>
      </c>
      <c r="B70" s="4" t="s">
        <v>257</v>
      </c>
      <c r="C70" s="4" t="s">
        <v>349</v>
      </c>
      <c r="D70" s="5" t="s">
        <v>350</v>
      </c>
      <c r="E70" s="4" t="n">
        <v>7</v>
      </c>
      <c r="F70" s="4" t="n">
        <v>7</v>
      </c>
      <c r="G70" s="4" t="s">
        <v>351</v>
      </c>
      <c r="H70" s="4" t="s">
        <v>261</v>
      </c>
      <c r="I70" s="8" t="s">
        <v>52</v>
      </c>
      <c r="J70" s="4" t="s">
        <v>352</v>
      </c>
      <c r="K70" s="4" t="s">
        <v>353</v>
      </c>
    </row>
    <row r="71" customFormat="false" ht="35.05" hidden="false" customHeight="false" outlineLevel="0" collapsed="false">
      <c r="A71" s="4" t="n">
        <v>67</v>
      </c>
      <c r="B71" s="4" t="s">
        <v>257</v>
      </c>
      <c r="C71" s="4" t="s">
        <v>354</v>
      </c>
      <c r="D71" s="5" t="s">
        <v>355</v>
      </c>
      <c r="E71" s="4" t="n">
        <v>4</v>
      </c>
      <c r="F71" s="4" t="n">
        <v>3</v>
      </c>
      <c r="G71" s="4" t="s">
        <v>356</v>
      </c>
      <c r="H71" s="4" t="s">
        <v>261</v>
      </c>
      <c r="I71" s="7" t="s">
        <v>23</v>
      </c>
      <c r="J71" s="4" t="s">
        <v>357</v>
      </c>
      <c r="K71" s="4" t="s">
        <v>358</v>
      </c>
    </row>
    <row r="72" customFormat="false" ht="35.05" hidden="false" customHeight="false" outlineLevel="0" collapsed="false">
      <c r="A72" s="4" t="n">
        <v>68</v>
      </c>
      <c r="B72" s="4" t="s">
        <v>257</v>
      </c>
      <c r="C72" s="4" t="s">
        <v>359</v>
      </c>
      <c r="D72" s="5" t="s">
        <v>360</v>
      </c>
      <c r="E72" s="4" t="n">
        <v>8</v>
      </c>
      <c r="F72" s="4" t="n">
        <v>4</v>
      </c>
      <c r="G72" s="4" t="s">
        <v>361</v>
      </c>
      <c r="H72" s="4" t="s">
        <v>261</v>
      </c>
      <c r="I72" s="8" t="s">
        <v>52</v>
      </c>
      <c r="J72" s="4" t="s">
        <v>362</v>
      </c>
      <c r="K72" s="4" t="s">
        <v>363</v>
      </c>
    </row>
    <row r="73" customFormat="false" ht="23.85" hidden="false" customHeight="false" outlineLevel="0" collapsed="false">
      <c r="A73" s="4" t="n">
        <v>69</v>
      </c>
      <c r="B73" s="4" t="s">
        <v>257</v>
      </c>
      <c r="C73" s="4" t="s">
        <v>364</v>
      </c>
      <c r="D73" s="5" t="s">
        <v>365</v>
      </c>
      <c r="E73" s="4" t="n">
        <v>6</v>
      </c>
      <c r="F73" s="4" t="n">
        <v>4</v>
      </c>
      <c r="G73" s="4" t="s">
        <v>366</v>
      </c>
      <c r="H73" s="4" t="s">
        <v>261</v>
      </c>
      <c r="I73" s="8" t="s">
        <v>52</v>
      </c>
      <c r="J73" s="4" t="s">
        <v>367</v>
      </c>
      <c r="K73" s="4" t="s">
        <v>368</v>
      </c>
    </row>
    <row r="74" customFormat="false" ht="23.85" hidden="false" customHeight="false" outlineLevel="0" collapsed="false">
      <c r="A74" s="4" t="n">
        <v>70</v>
      </c>
      <c r="B74" s="4" t="s">
        <v>369</v>
      </c>
      <c r="C74" s="4" t="s">
        <v>370</v>
      </c>
      <c r="D74" s="5" t="s">
        <v>371</v>
      </c>
      <c r="E74" s="4" t="n">
        <v>12</v>
      </c>
      <c r="F74" s="4" t="n">
        <v>4</v>
      </c>
      <c r="G74" s="4" t="s">
        <v>372</v>
      </c>
      <c r="H74" s="4" t="s">
        <v>373</v>
      </c>
      <c r="I74" s="7" t="s">
        <v>23</v>
      </c>
      <c r="J74" s="4" t="s">
        <v>374</v>
      </c>
      <c r="K74" s="4" t="s">
        <v>375</v>
      </c>
    </row>
    <row r="75" customFormat="false" ht="23.85" hidden="false" customHeight="false" outlineLevel="0" collapsed="false">
      <c r="A75" s="4" t="n">
        <v>71</v>
      </c>
      <c r="B75" s="4" t="s">
        <v>369</v>
      </c>
      <c r="C75" s="4" t="s">
        <v>376</v>
      </c>
      <c r="D75" s="5" t="s">
        <v>377</v>
      </c>
      <c r="E75" s="4" t="n">
        <v>8</v>
      </c>
      <c r="F75" s="4" t="n">
        <v>3</v>
      </c>
      <c r="G75" s="4" t="s">
        <v>378</v>
      </c>
      <c r="H75" s="4" t="s">
        <v>373</v>
      </c>
      <c r="I75" s="6" t="s">
        <v>18</v>
      </c>
      <c r="J75" s="4" t="s">
        <v>379</v>
      </c>
      <c r="K75" s="4" t="s">
        <v>380</v>
      </c>
    </row>
    <row r="76" customFormat="false" ht="23.85" hidden="false" customHeight="false" outlineLevel="0" collapsed="false">
      <c r="A76" s="4" t="n">
        <v>72</v>
      </c>
      <c r="B76" s="4" t="s">
        <v>369</v>
      </c>
      <c r="C76" s="4" t="s">
        <v>381</v>
      </c>
      <c r="D76" s="5" t="s">
        <v>382</v>
      </c>
      <c r="E76" s="4" t="n">
        <v>8</v>
      </c>
      <c r="F76" s="4" t="n">
        <v>4</v>
      </c>
      <c r="G76" s="4" t="s">
        <v>383</v>
      </c>
      <c r="H76" s="4" t="s">
        <v>373</v>
      </c>
      <c r="I76" s="6" t="s">
        <v>18</v>
      </c>
      <c r="J76" s="4" t="s">
        <v>384</v>
      </c>
      <c r="K76" s="4" t="s">
        <v>385</v>
      </c>
    </row>
    <row r="77" customFormat="false" ht="35.05" hidden="false" customHeight="false" outlineLevel="0" collapsed="false">
      <c r="A77" s="4" t="n">
        <v>73</v>
      </c>
      <c r="B77" s="4" t="s">
        <v>369</v>
      </c>
      <c r="C77" s="4" t="s">
        <v>386</v>
      </c>
      <c r="D77" s="5" t="s">
        <v>387</v>
      </c>
      <c r="E77" s="4" t="n">
        <v>3</v>
      </c>
      <c r="F77" s="4" t="n">
        <v>3</v>
      </c>
      <c r="G77" s="4" t="s">
        <v>388</v>
      </c>
      <c r="H77" s="4" t="s">
        <v>373</v>
      </c>
      <c r="I77" s="9" t="s">
        <v>154</v>
      </c>
      <c r="J77" s="4" t="s">
        <v>389</v>
      </c>
      <c r="K77" s="4" t="s">
        <v>390</v>
      </c>
    </row>
    <row r="78" customFormat="false" ht="23.85" hidden="false" customHeight="false" outlineLevel="0" collapsed="false">
      <c r="A78" s="4" t="n">
        <v>74</v>
      </c>
      <c r="B78" s="4" t="s">
        <v>369</v>
      </c>
      <c r="C78" s="4" t="s">
        <v>391</v>
      </c>
      <c r="D78" s="5" t="s">
        <v>392</v>
      </c>
      <c r="E78" s="4" t="n">
        <v>13</v>
      </c>
      <c r="F78" s="4" t="n">
        <v>4</v>
      </c>
      <c r="G78" s="4" t="s">
        <v>393</v>
      </c>
      <c r="H78" s="4" t="s">
        <v>373</v>
      </c>
      <c r="I78" s="10" t="s">
        <v>182</v>
      </c>
      <c r="J78" s="4" t="s">
        <v>394</v>
      </c>
      <c r="K78" s="4" t="s">
        <v>395</v>
      </c>
    </row>
    <row r="79" customFormat="false" ht="23.85" hidden="false" customHeight="false" outlineLevel="0" collapsed="false">
      <c r="A79" s="4" t="n">
        <v>75</v>
      </c>
      <c r="B79" s="4" t="s">
        <v>369</v>
      </c>
      <c r="C79" s="4" t="s">
        <v>396</v>
      </c>
      <c r="D79" s="5" t="s">
        <v>397</v>
      </c>
      <c r="E79" s="4" t="n">
        <v>13</v>
      </c>
      <c r="F79" s="4" t="n">
        <v>4</v>
      </c>
      <c r="G79" s="4" t="s">
        <v>393</v>
      </c>
      <c r="H79" s="4" t="s">
        <v>373</v>
      </c>
      <c r="I79" s="10" t="s">
        <v>182</v>
      </c>
      <c r="J79" s="4" t="s">
        <v>398</v>
      </c>
      <c r="K79" s="4" t="s">
        <v>399</v>
      </c>
    </row>
    <row r="80" customFormat="false" ht="23.85" hidden="false" customHeight="false" outlineLevel="0" collapsed="false">
      <c r="A80" s="4" t="n">
        <v>76</v>
      </c>
      <c r="B80" s="4" t="s">
        <v>369</v>
      </c>
      <c r="C80" s="4" t="s">
        <v>400</v>
      </c>
      <c r="D80" s="5" t="s">
        <v>401</v>
      </c>
      <c r="E80" s="4" t="n">
        <v>14</v>
      </c>
      <c r="F80" s="4" t="n">
        <v>4</v>
      </c>
      <c r="G80" s="4" t="s">
        <v>393</v>
      </c>
      <c r="H80" s="4" t="s">
        <v>373</v>
      </c>
      <c r="I80" s="10" t="s">
        <v>182</v>
      </c>
      <c r="J80" s="4" t="s">
        <v>402</v>
      </c>
      <c r="K80" s="4" t="s">
        <v>403</v>
      </c>
    </row>
    <row r="81" customFormat="false" ht="23.85" hidden="false" customHeight="false" outlineLevel="0" collapsed="false">
      <c r="A81" s="4" t="n">
        <v>77</v>
      </c>
      <c r="B81" s="4" t="s">
        <v>369</v>
      </c>
      <c r="C81" s="4" t="s">
        <v>404</v>
      </c>
      <c r="D81" s="5" t="s">
        <v>405</v>
      </c>
      <c r="E81" s="4" t="n">
        <v>5</v>
      </c>
      <c r="F81" s="4" t="n">
        <v>5</v>
      </c>
      <c r="G81" s="4" t="s">
        <v>406</v>
      </c>
      <c r="H81" s="4" t="s">
        <v>373</v>
      </c>
      <c r="I81" s="6" t="s">
        <v>18</v>
      </c>
      <c r="J81" s="4" t="s">
        <v>407</v>
      </c>
      <c r="K81" s="4" t="s">
        <v>408</v>
      </c>
    </row>
    <row r="82" customFormat="false" ht="23.85" hidden="false" customHeight="false" outlineLevel="0" collapsed="false">
      <c r="A82" s="4" t="n">
        <v>78</v>
      </c>
      <c r="B82" s="4" t="s">
        <v>369</v>
      </c>
      <c r="C82" s="4" t="s">
        <v>409</v>
      </c>
      <c r="D82" s="5" t="s">
        <v>410</v>
      </c>
      <c r="E82" s="4" t="n">
        <v>5</v>
      </c>
      <c r="F82" s="4" t="n">
        <v>5</v>
      </c>
      <c r="G82" s="4" t="s">
        <v>406</v>
      </c>
      <c r="H82" s="4" t="s">
        <v>373</v>
      </c>
      <c r="I82" s="10" t="s">
        <v>182</v>
      </c>
      <c r="J82" s="4" t="s">
        <v>411</v>
      </c>
      <c r="K82" s="4" t="s">
        <v>412</v>
      </c>
    </row>
    <row r="83" customFormat="false" ht="23.85" hidden="false" customHeight="false" outlineLevel="0" collapsed="false">
      <c r="A83" s="4" t="n">
        <v>79</v>
      </c>
      <c r="B83" s="4" t="s">
        <v>369</v>
      </c>
      <c r="C83" s="4" t="s">
        <v>413</v>
      </c>
      <c r="D83" s="5" t="s">
        <v>414</v>
      </c>
      <c r="E83" s="4" t="n">
        <v>3</v>
      </c>
      <c r="F83" s="4" t="n">
        <v>5</v>
      </c>
      <c r="G83" s="4" t="s">
        <v>415</v>
      </c>
      <c r="H83" s="4" t="s">
        <v>373</v>
      </c>
      <c r="I83" s="10" t="s">
        <v>182</v>
      </c>
      <c r="J83" s="4" t="s">
        <v>416</v>
      </c>
      <c r="K83" s="4" t="s">
        <v>417</v>
      </c>
    </row>
    <row r="84" customFormat="false" ht="23.85" hidden="false" customHeight="false" outlineLevel="0" collapsed="false">
      <c r="A84" s="4" t="n">
        <v>80</v>
      </c>
      <c r="B84" s="4" t="s">
        <v>369</v>
      </c>
      <c r="C84" s="4" t="s">
        <v>418</v>
      </c>
      <c r="D84" s="5" t="s">
        <v>419</v>
      </c>
      <c r="E84" s="4" t="n">
        <v>5</v>
      </c>
      <c r="F84" s="4" t="n">
        <v>3</v>
      </c>
      <c r="G84" s="4" t="s">
        <v>420</v>
      </c>
      <c r="H84" s="4" t="s">
        <v>373</v>
      </c>
      <c r="I84" s="7" t="s">
        <v>23</v>
      </c>
      <c r="J84" s="4" t="s">
        <v>421</v>
      </c>
      <c r="K84" s="4" t="s">
        <v>422</v>
      </c>
    </row>
    <row r="85" customFormat="false" ht="23.85" hidden="false" customHeight="false" outlineLevel="0" collapsed="false">
      <c r="A85" s="4" t="n">
        <v>81</v>
      </c>
      <c r="B85" s="4" t="s">
        <v>369</v>
      </c>
      <c r="C85" s="4" t="s">
        <v>423</v>
      </c>
      <c r="D85" s="5" t="s">
        <v>424</v>
      </c>
      <c r="E85" s="4" t="n">
        <v>12</v>
      </c>
      <c r="F85" s="4" t="n">
        <v>2</v>
      </c>
      <c r="G85" s="4" t="s">
        <v>425</v>
      </c>
      <c r="H85" s="4" t="s">
        <v>373</v>
      </c>
      <c r="I85" s="10" t="s">
        <v>182</v>
      </c>
      <c r="J85" s="4" t="s">
        <v>426</v>
      </c>
      <c r="K85" s="4" t="s">
        <v>427</v>
      </c>
    </row>
    <row r="86" customFormat="false" ht="23.85" hidden="false" customHeight="false" outlineLevel="0" collapsed="false">
      <c r="A86" s="4" t="n">
        <v>82</v>
      </c>
      <c r="B86" s="4" t="s">
        <v>369</v>
      </c>
      <c r="C86" s="4" t="s">
        <v>428</v>
      </c>
      <c r="D86" s="5" t="s">
        <v>429</v>
      </c>
      <c r="E86" s="4" t="n">
        <v>12</v>
      </c>
      <c r="F86" s="4" t="n">
        <v>2</v>
      </c>
      <c r="G86" s="4" t="s">
        <v>425</v>
      </c>
      <c r="H86" s="4" t="s">
        <v>373</v>
      </c>
      <c r="I86" s="10" t="s">
        <v>182</v>
      </c>
      <c r="J86" s="4" t="s">
        <v>430</v>
      </c>
      <c r="K86" s="4" t="s">
        <v>431</v>
      </c>
    </row>
    <row r="87" customFormat="false" ht="23.85" hidden="false" customHeight="false" outlineLevel="0" collapsed="false">
      <c r="A87" s="4" t="n">
        <v>83</v>
      </c>
      <c r="B87" s="4" t="s">
        <v>369</v>
      </c>
      <c r="C87" s="4" t="s">
        <v>432</v>
      </c>
      <c r="D87" s="5" t="s">
        <v>433</v>
      </c>
      <c r="E87" s="4" t="n">
        <v>12</v>
      </c>
      <c r="F87" s="4" t="n">
        <v>2</v>
      </c>
      <c r="G87" s="4" t="s">
        <v>425</v>
      </c>
      <c r="H87" s="4" t="s">
        <v>373</v>
      </c>
      <c r="I87" s="10" t="s">
        <v>182</v>
      </c>
      <c r="J87" s="4" t="s">
        <v>434</v>
      </c>
      <c r="K87" s="4" t="s">
        <v>435</v>
      </c>
    </row>
    <row r="88" customFormat="false" ht="35.05" hidden="false" customHeight="false" outlineLevel="0" collapsed="false">
      <c r="A88" s="4" t="n">
        <v>84</v>
      </c>
      <c r="B88" s="4" t="s">
        <v>369</v>
      </c>
      <c r="C88" s="4" t="s">
        <v>436</v>
      </c>
      <c r="D88" s="5" t="s">
        <v>437</v>
      </c>
      <c r="E88" s="4" t="n">
        <v>7</v>
      </c>
      <c r="F88" s="4" t="n">
        <v>3</v>
      </c>
      <c r="G88" s="4" t="s">
        <v>438</v>
      </c>
      <c r="H88" s="4" t="s">
        <v>373</v>
      </c>
      <c r="I88" s="7" t="s">
        <v>23</v>
      </c>
      <c r="J88" s="4" t="s">
        <v>439</v>
      </c>
      <c r="K88" s="4" t="s">
        <v>440</v>
      </c>
    </row>
    <row r="89" customFormat="false" ht="35.05" hidden="false" customHeight="false" outlineLevel="0" collapsed="false">
      <c r="A89" s="4" t="n">
        <v>85</v>
      </c>
      <c r="B89" s="4" t="s">
        <v>369</v>
      </c>
      <c r="C89" s="4" t="s">
        <v>441</v>
      </c>
      <c r="D89" s="5" t="s">
        <v>442</v>
      </c>
      <c r="E89" s="4" t="n">
        <v>10</v>
      </c>
      <c r="F89" s="4" t="n">
        <v>4</v>
      </c>
      <c r="G89" s="4" t="s">
        <v>438</v>
      </c>
      <c r="H89" s="4" t="s">
        <v>373</v>
      </c>
      <c r="I89" s="10" t="s">
        <v>182</v>
      </c>
      <c r="J89" s="4" t="s">
        <v>443</v>
      </c>
      <c r="K89" s="4" t="s">
        <v>444</v>
      </c>
    </row>
    <row r="90" customFormat="false" ht="35.05" hidden="false" customHeight="false" outlineLevel="0" collapsed="false">
      <c r="A90" s="4" t="n">
        <v>86</v>
      </c>
      <c r="B90" s="4" t="s">
        <v>369</v>
      </c>
      <c r="C90" s="4" t="s">
        <v>445</v>
      </c>
      <c r="D90" s="5" t="s">
        <v>446</v>
      </c>
      <c r="E90" s="4" t="n">
        <v>4</v>
      </c>
      <c r="F90" s="4" t="n">
        <v>2</v>
      </c>
      <c r="G90" s="4" t="s">
        <v>438</v>
      </c>
      <c r="H90" s="4" t="s">
        <v>373</v>
      </c>
      <c r="I90" s="7" t="s">
        <v>23</v>
      </c>
      <c r="J90" s="4" t="s">
        <v>447</v>
      </c>
      <c r="K90" s="4" t="s">
        <v>448</v>
      </c>
    </row>
    <row r="91" customFormat="false" ht="23.85" hidden="false" customHeight="false" outlineLevel="0" collapsed="false">
      <c r="A91" s="4" t="n">
        <v>87</v>
      </c>
      <c r="B91" s="4" t="s">
        <v>369</v>
      </c>
      <c r="C91" s="4" t="s">
        <v>449</v>
      </c>
      <c r="D91" s="5" t="s">
        <v>450</v>
      </c>
      <c r="E91" s="4" t="n">
        <v>4</v>
      </c>
      <c r="F91" s="4" t="n">
        <v>6</v>
      </c>
      <c r="G91" s="4" t="s">
        <v>451</v>
      </c>
      <c r="H91" s="4" t="s">
        <v>373</v>
      </c>
      <c r="I91" s="10" t="s">
        <v>182</v>
      </c>
      <c r="J91" s="4" t="s">
        <v>452</v>
      </c>
      <c r="K91" s="4" t="s">
        <v>453</v>
      </c>
    </row>
    <row r="92" customFormat="false" ht="35.05" hidden="false" customHeight="false" outlineLevel="0" collapsed="false">
      <c r="A92" s="4" t="n">
        <v>88</v>
      </c>
      <c r="B92" s="4" t="s">
        <v>369</v>
      </c>
      <c r="C92" s="4" t="s">
        <v>454</v>
      </c>
      <c r="D92" s="5" t="s">
        <v>455</v>
      </c>
      <c r="E92" s="4" t="n">
        <v>4</v>
      </c>
      <c r="F92" s="4" t="n">
        <v>7</v>
      </c>
      <c r="G92" s="4" t="s">
        <v>456</v>
      </c>
      <c r="H92" s="4" t="s">
        <v>373</v>
      </c>
      <c r="I92" s="10" t="s">
        <v>182</v>
      </c>
      <c r="J92" s="4" t="s">
        <v>457</v>
      </c>
      <c r="K92" s="4" t="s">
        <v>458</v>
      </c>
    </row>
    <row r="93" customFormat="false" ht="35.05" hidden="false" customHeight="false" outlineLevel="0" collapsed="false">
      <c r="A93" s="4" t="n">
        <v>89</v>
      </c>
      <c r="B93" s="4" t="s">
        <v>369</v>
      </c>
      <c r="C93" s="4" t="s">
        <v>459</v>
      </c>
      <c r="D93" s="5" t="s">
        <v>460</v>
      </c>
      <c r="E93" s="4" t="n">
        <v>4</v>
      </c>
      <c r="F93" s="4" t="n">
        <v>6</v>
      </c>
      <c r="G93" s="4" t="s">
        <v>461</v>
      </c>
      <c r="H93" s="4" t="s">
        <v>373</v>
      </c>
      <c r="I93" s="10" t="s">
        <v>182</v>
      </c>
      <c r="J93" s="4" t="s">
        <v>462</v>
      </c>
      <c r="K93" s="4" t="s">
        <v>463</v>
      </c>
    </row>
    <row r="94" customFormat="false" ht="35.05" hidden="false" customHeight="false" outlineLevel="0" collapsed="false">
      <c r="A94" s="4" t="n">
        <v>90</v>
      </c>
      <c r="B94" s="4" t="s">
        <v>369</v>
      </c>
      <c r="C94" s="4" t="s">
        <v>464</v>
      </c>
      <c r="D94" s="5" t="s">
        <v>465</v>
      </c>
      <c r="E94" s="4" t="n">
        <v>9</v>
      </c>
      <c r="F94" s="4" t="n">
        <v>3</v>
      </c>
      <c r="G94" s="4" t="s">
        <v>461</v>
      </c>
      <c r="H94" s="4" t="s">
        <v>373</v>
      </c>
      <c r="I94" s="7" t="s">
        <v>23</v>
      </c>
      <c r="J94" s="4" t="s">
        <v>466</v>
      </c>
      <c r="K94" s="4" t="s">
        <v>467</v>
      </c>
    </row>
    <row r="95" customFormat="false" ht="23.85" hidden="false" customHeight="false" outlineLevel="0" collapsed="false">
      <c r="A95" s="4" t="n">
        <v>91</v>
      </c>
      <c r="B95" s="4" t="s">
        <v>369</v>
      </c>
      <c r="C95" s="4" t="s">
        <v>468</v>
      </c>
      <c r="D95" s="5" t="s">
        <v>469</v>
      </c>
      <c r="E95" s="4" t="n">
        <v>7</v>
      </c>
      <c r="F95" s="4" t="n">
        <v>4</v>
      </c>
      <c r="G95" s="4" t="s">
        <v>470</v>
      </c>
      <c r="H95" s="4" t="s">
        <v>373</v>
      </c>
      <c r="I95" s="10" t="s">
        <v>182</v>
      </c>
      <c r="J95" s="4" t="s">
        <v>471</v>
      </c>
      <c r="K95" s="4" t="s">
        <v>472</v>
      </c>
    </row>
    <row r="96" customFormat="false" ht="23.85" hidden="false" customHeight="false" outlineLevel="0" collapsed="false">
      <c r="A96" s="4" t="n">
        <v>92</v>
      </c>
      <c r="B96" s="4" t="s">
        <v>369</v>
      </c>
      <c r="C96" s="4" t="s">
        <v>473</v>
      </c>
      <c r="D96" s="5" t="s">
        <v>474</v>
      </c>
      <c r="E96" s="4" t="n">
        <v>7</v>
      </c>
      <c r="F96" s="4" t="n">
        <v>4</v>
      </c>
      <c r="G96" s="4" t="s">
        <v>475</v>
      </c>
      <c r="H96" s="4" t="s">
        <v>373</v>
      </c>
      <c r="I96" s="7" t="s">
        <v>23</v>
      </c>
      <c r="J96" s="4" t="s">
        <v>476</v>
      </c>
      <c r="K96" s="4" t="s">
        <v>477</v>
      </c>
    </row>
    <row r="97" customFormat="false" ht="23.85" hidden="false" customHeight="false" outlineLevel="0" collapsed="false">
      <c r="A97" s="4" t="n">
        <v>93</v>
      </c>
      <c r="B97" s="4" t="s">
        <v>369</v>
      </c>
      <c r="C97" s="4" t="s">
        <v>478</v>
      </c>
      <c r="D97" s="5" t="s">
        <v>479</v>
      </c>
      <c r="E97" s="4" t="n">
        <v>5</v>
      </c>
      <c r="F97" s="4" t="n">
        <v>4</v>
      </c>
      <c r="G97" s="4" t="s">
        <v>475</v>
      </c>
      <c r="H97" s="4" t="s">
        <v>373</v>
      </c>
      <c r="I97" s="10" t="s">
        <v>182</v>
      </c>
      <c r="J97" s="4" t="s">
        <v>480</v>
      </c>
      <c r="K97" s="4" t="s">
        <v>481</v>
      </c>
    </row>
    <row r="98" customFormat="false" ht="23.85" hidden="false" customHeight="false" outlineLevel="0" collapsed="false">
      <c r="A98" s="4" t="n">
        <v>94</v>
      </c>
      <c r="B98" s="4" t="s">
        <v>482</v>
      </c>
      <c r="C98" s="4" t="s">
        <v>483</v>
      </c>
      <c r="D98" s="5" t="s">
        <v>484</v>
      </c>
      <c r="E98" s="4" t="n">
        <v>12</v>
      </c>
      <c r="F98" s="4" t="n">
        <v>5</v>
      </c>
      <c r="G98" s="4" t="s">
        <v>485</v>
      </c>
      <c r="H98" s="4" t="s">
        <v>486</v>
      </c>
      <c r="I98" s="8" t="s">
        <v>52</v>
      </c>
      <c r="J98" s="4" t="s">
        <v>487</v>
      </c>
      <c r="K98" s="4" t="s">
        <v>488</v>
      </c>
    </row>
    <row r="99" customFormat="false" ht="35.05" hidden="false" customHeight="false" outlineLevel="0" collapsed="false">
      <c r="A99" s="4" t="n">
        <v>95</v>
      </c>
      <c r="B99" s="4" t="s">
        <v>482</v>
      </c>
      <c r="C99" s="4" t="s">
        <v>489</v>
      </c>
      <c r="D99" s="5" t="s">
        <v>490</v>
      </c>
      <c r="E99" s="4" t="n">
        <v>5</v>
      </c>
      <c r="F99" s="4" t="n">
        <v>3</v>
      </c>
      <c r="G99" s="4" t="s">
        <v>491</v>
      </c>
      <c r="H99" s="4" t="s">
        <v>486</v>
      </c>
      <c r="I99" s="8" t="s">
        <v>52</v>
      </c>
      <c r="J99" s="4" t="s">
        <v>492</v>
      </c>
      <c r="K99" s="4" t="s">
        <v>493</v>
      </c>
    </row>
    <row r="100" customFormat="false" ht="23.85" hidden="false" customHeight="false" outlineLevel="0" collapsed="false">
      <c r="A100" s="4" t="n">
        <v>96</v>
      </c>
      <c r="B100" s="4" t="s">
        <v>482</v>
      </c>
      <c r="C100" s="4" t="s">
        <v>494</v>
      </c>
      <c r="D100" s="5" t="s">
        <v>495</v>
      </c>
      <c r="E100" s="4" t="n">
        <v>9</v>
      </c>
      <c r="F100" s="4" t="n">
        <v>4</v>
      </c>
      <c r="G100" s="4" t="s">
        <v>496</v>
      </c>
      <c r="H100" s="4" t="s">
        <v>486</v>
      </c>
      <c r="I100" s="7" t="s">
        <v>23</v>
      </c>
      <c r="J100" s="4" t="s">
        <v>497</v>
      </c>
      <c r="K100" s="4" t="s">
        <v>498</v>
      </c>
    </row>
    <row r="101" customFormat="false" ht="23.85" hidden="false" customHeight="false" outlineLevel="0" collapsed="false">
      <c r="A101" s="4" t="n">
        <v>97</v>
      </c>
      <c r="B101" s="4" t="s">
        <v>482</v>
      </c>
      <c r="C101" s="4" t="s">
        <v>499</v>
      </c>
      <c r="D101" s="5" t="s">
        <v>500</v>
      </c>
      <c r="E101" s="4" t="n">
        <v>8</v>
      </c>
      <c r="F101" s="4" t="n">
        <v>4</v>
      </c>
      <c r="G101" s="4" t="s">
        <v>501</v>
      </c>
      <c r="H101" s="4" t="s">
        <v>486</v>
      </c>
      <c r="I101" s="7" t="s">
        <v>23</v>
      </c>
      <c r="J101" s="4" t="s">
        <v>502</v>
      </c>
      <c r="K101" s="4" t="s">
        <v>503</v>
      </c>
    </row>
    <row r="102" customFormat="false" ht="35.05" hidden="false" customHeight="false" outlineLevel="0" collapsed="false">
      <c r="A102" s="4" t="n">
        <v>98</v>
      </c>
      <c r="B102" s="4" t="s">
        <v>482</v>
      </c>
      <c r="C102" s="4" t="s">
        <v>504</v>
      </c>
      <c r="D102" s="5" t="s">
        <v>505</v>
      </c>
      <c r="E102" s="4" t="n">
        <v>9</v>
      </c>
      <c r="F102" s="4" t="n">
        <v>3</v>
      </c>
      <c r="G102" s="4" t="s">
        <v>506</v>
      </c>
      <c r="H102" s="4" t="s">
        <v>486</v>
      </c>
      <c r="I102" s="7" t="s">
        <v>23</v>
      </c>
      <c r="J102" s="4" t="s">
        <v>507</v>
      </c>
      <c r="K102" s="4" t="s">
        <v>508</v>
      </c>
    </row>
    <row r="103" customFormat="false" ht="23.85" hidden="false" customHeight="false" outlineLevel="0" collapsed="false">
      <c r="A103" s="4" t="n">
        <v>99</v>
      </c>
      <c r="B103" s="4" t="s">
        <v>482</v>
      </c>
      <c r="C103" s="4" t="s">
        <v>509</v>
      </c>
      <c r="D103" s="5" t="s">
        <v>510</v>
      </c>
      <c r="E103" s="4" t="n">
        <v>17</v>
      </c>
      <c r="F103" s="4" t="n">
        <v>4</v>
      </c>
      <c r="G103" s="4" t="s">
        <v>511</v>
      </c>
      <c r="H103" s="4" t="s">
        <v>486</v>
      </c>
      <c r="I103" s="9" t="s">
        <v>154</v>
      </c>
      <c r="J103" s="4" t="s">
        <v>512</v>
      </c>
      <c r="K103" s="4" t="s">
        <v>513</v>
      </c>
    </row>
    <row r="104" customFormat="false" ht="35.05" hidden="false" customHeight="false" outlineLevel="0" collapsed="false">
      <c r="A104" s="4" t="n">
        <v>100</v>
      </c>
      <c r="B104" s="4" t="s">
        <v>482</v>
      </c>
      <c r="C104" s="4" t="s">
        <v>514</v>
      </c>
      <c r="D104" s="5" t="s">
        <v>515</v>
      </c>
      <c r="E104" s="4" t="n">
        <v>10</v>
      </c>
      <c r="F104" s="4" t="n">
        <v>5</v>
      </c>
      <c r="G104" s="4" t="s">
        <v>516</v>
      </c>
      <c r="H104" s="4" t="s">
        <v>486</v>
      </c>
      <c r="I104" s="6" t="s">
        <v>18</v>
      </c>
      <c r="J104" s="4" t="s">
        <v>517</v>
      </c>
      <c r="K104" s="4" t="s">
        <v>518</v>
      </c>
    </row>
    <row r="105" customFormat="false" ht="35.05" hidden="false" customHeight="false" outlineLevel="0" collapsed="false">
      <c r="A105" s="4" t="n">
        <v>101</v>
      </c>
      <c r="B105" s="4" t="s">
        <v>482</v>
      </c>
      <c r="C105" s="4" t="s">
        <v>519</v>
      </c>
      <c r="D105" s="5" t="s">
        <v>520</v>
      </c>
      <c r="E105" s="4" t="n">
        <v>8</v>
      </c>
      <c r="F105" s="4" t="n">
        <v>3</v>
      </c>
      <c r="G105" s="4" t="s">
        <v>521</v>
      </c>
      <c r="H105" s="4" t="s">
        <v>486</v>
      </c>
      <c r="I105" s="7" t="s">
        <v>23</v>
      </c>
      <c r="J105" s="4" t="s">
        <v>522</v>
      </c>
      <c r="K105" s="4" t="s">
        <v>523</v>
      </c>
    </row>
    <row r="106" customFormat="false" ht="23.85" hidden="false" customHeight="false" outlineLevel="0" collapsed="false">
      <c r="A106" s="4" t="n">
        <v>102</v>
      </c>
      <c r="B106" s="4" t="s">
        <v>482</v>
      </c>
      <c r="C106" s="4" t="s">
        <v>524</v>
      </c>
      <c r="D106" s="5" t="s">
        <v>525</v>
      </c>
      <c r="E106" s="4" t="n">
        <v>3</v>
      </c>
      <c r="F106" s="4" t="n">
        <v>5</v>
      </c>
      <c r="G106" s="4" t="s">
        <v>526</v>
      </c>
      <c r="H106" s="4" t="s">
        <v>486</v>
      </c>
      <c r="I106" s="7" t="s">
        <v>23</v>
      </c>
      <c r="J106" s="4" t="s">
        <v>527</v>
      </c>
      <c r="K106" s="4" t="s">
        <v>528</v>
      </c>
    </row>
    <row r="107" customFormat="false" ht="46.25" hidden="false" customHeight="false" outlineLevel="0" collapsed="false">
      <c r="A107" s="4" t="n">
        <v>103</v>
      </c>
      <c r="B107" s="4" t="s">
        <v>482</v>
      </c>
      <c r="C107" s="4" t="s">
        <v>529</v>
      </c>
      <c r="D107" s="5" t="s">
        <v>530</v>
      </c>
      <c r="E107" s="4" t="n">
        <v>12</v>
      </c>
      <c r="F107" s="4" t="n">
        <v>4</v>
      </c>
      <c r="G107" s="4" t="s">
        <v>531</v>
      </c>
      <c r="H107" s="4" t="s">
        <v>486</v>
      </c>
      <c r="I107" s="9" t="s">
        <v>154</v>
      </c>
      <c r="J107" s="4" t="s">
        <v>532</v>
      </c>
      <c r="K107" s="4" t="s">
        <v>533</v>
      </c>
    </row>
    <row r="108" customFormat="false" ht="46.25" hidden="false" customHeight="false" outlineLevel="0" collapsed="false">
      <c r="A108" s="4" t="n">
        <v>104</v>
      </c>
      <c r="B108" s="4" t="s">
        <v>482</v>
      </c>
      <c r="C108" s="4" t="s">
        <v>534</v>
      </c>
      <c r="D108" s="5" t="s">
        <v>535</v>
      </c>
      <c r="E108" s="4" t="n">
        <v>4</v>
      </c>
      <c r="F108" s="4" t="n">
        <v>4</v>
      </c>
      <c r="G108" s="4" t="s">
        <v>536</v>
      </c>
      <c r="H108" s="4" t="s">
        <v>486</v>
      </c>
      <c r="I108" s="10" t="s">
        <v>182</v>
      </c>
      <c r="J108" s="4" t="s">
        <v>537</v>
      </c>
      <c r="K108" s="4" t="s">
        <v>538</v>
      </c>
    </row>
    <row r="109" customFormat="false" ht="23.85" hidden="false" customHeight="false" outlineLevel="0" collapsed="false">
      <c r="A109" s="4" t="n">
        <v>105</v>
      </c>
      <c r="B109" s="4" t="s">
        <v>482</v>
      </c>
      <c r="C109" s="4" t="s">
        <v>539</v>
      </c>
      <c r="D109" s="5" t="s">
        <v>540</v>
      </c>
      <c r="E109" s="4" t="n">
        <v>8</v>
      </c>
      <c r="F109" s="4" t="n">
        <v>6</v>
      </c>
      <c r="G109" s="4" t="s">
        <v>541</v>
      </c>
      <c r="H109" s="4" t="s">
        <v>486</v>
      </c>
      <c r="I109" s="8" t="s">
        <v>52</v>
      </c>
      <c r="J109" s="4" t="s">
        <v>542</v>
      </c>
      <c r="K109" s="4" t="s">
        <v>543</v>
      </c>
    </row>
    <row r="110" customFormat="false" ht="23.85" hidden="false" customHeight="false" outlineLevel="0" collapsed="false">
      <c r="A110" s="4" t="n">
        <v>106</v>
      </c>
      <c r="B110" s="4" t="s">
        <v>544</v>
      </c>
      <c r="C110" s="4" t="s">
        <v>545</v>
      </c>
      <c r="D110" s="5" t="s">
        <v>546</v>
      </c>
      <c r="E110" s="4" t="n">
        <v>12</v>
      </c>
      <c r="F110" s="4" t="n">
        <v>3</v>
      </c>
      <c r="G110" s="4" t="s">
        <v>547</v>
      </c>
      <c r="H110" s="4" t="s">
        <v>548</v>
      </c>
      <c r="I110" s="7" t="s">
        <v>23</v>
      </c>
      <c r="J110" s="4" t="s">
        <v>549</v>
      </c>
      <c r="K110" s="4" t="s">
        <v>550</v>
      </c>
    </row>
    <row r="111" customFormat="false" ht="35.05" hidden="false" customHeight="false" outlineLevel="0" collapsed="false">
      <c r="A111" s="4" t="n">
        <v>107</v>
      </c>
      <c r="B111" s="4" t="s">
        <v>544</v>
      </c>
      <c r="C111" s="4" t="s">
        <v>551</v>
      </c>
      <c r="D111" s="5" t="s">
        <v>552</v>
      </c>
      <c r="E111" s="4" t="n">
        <v>5</v>
      </c>
      <c r="F111" s="4" t="n">
        <v>3</v>
      </c>
      <c r="G111" s="4" t="s">
        <v>553</v>
      </c>
      <c r="H111" s="4" t="s">
        <v>548</v>
      </c>
      <c r="I111" s="7" t="s">
        <v>23</v>
      </c>
      <c r="J111" s="4" t="s">
        <v>554</v>
      </c>
      <c r="K111" s="4" t="s">
        <v>555</v>
      </c>
    </row>
    <row r="112" customFormat="false" ht="23.85" hidden="false" customHeight="false" outlineLevel="0" collapsed="false">
      <c r="A112" s="4" t="n">
        <v>108</v>
      </c>
      <c r="B112" s="4" t="s">
        <v>544</v>
      </c>
      <c r="C112" s="4" t="s">
        <v>556</v>
      </c>
      <c r="D112" s="5" t="s">
        <v>557</v>
      </c>
      <c r="E112" s="4" t="n">
        <v>13</v>
      </c>
      <c r="F112" s="4" t="n">
        <v>8</v>
      </c>
      <c r="G112" s="4" t="s">
        <v>558</v>
      </c>
      <c r="H112" s="4" t="s">
        <v>548</v>
      </c>
      <c r="I112" s="7" t="s">
        <v>23</v>
      </c>
      <c r="J112" s="4" t="s">
        <v>559</v>
      </c>
      <c r="K112" s="4" t="s">
        <v>560</v>
      </c>
    </row>
    <row r="113" customFormat="false" ht="23.85" hidden="false" customHeight="false" outlineLevel="0" collapsed="false">
      <c r="A113" s="4" t="n">
        <v>109</v>
      </c>
      <c r="B113" s="4" t="s">
        <v>544</v>
      </c>
      <c r="C113" s="4" t="s">
        <v>561</v>
      </c>
      <c r="D113" s="5" t="s">
        <v>562</v>
      </c>
      <c r="E113" s="4" t="n">
        <v>12</v>
      </c>
      <c r="F113" s="4" t="n">
        <v>10</v>
      </c>
      <c r="G113" s="4" t="s">
        <v>563</v>
      </c>
      <c r="H113" s="4" t="s">
        <v>548</v>
      </c>
      <c r="I113" s="8" t="s">
        <v>52</v>
      </c>
      <c r="J113" s="4" t="s">
        <v>564</v>
      </c>
      <c r="K113" s="4" t="s">
        <v>565</v>
      </c>
    </row>
    <row r="114" customFormat="false" ht="23.85" hidden="false" customHeight="false" outlineLevel="0" collapsed="false">
      <c r="A114" s="4" t="n">
        <v>110</v>
      </c>
      <c r="B114" s="4" t="s">
        <v>566</v>
      </c>
      <c r="C114" s="4" t="s">
        <v>567</v>
      </c>
      <c r="D114" s="5" t="s">
        <v>568</v>
      </c>
      <c r="E114" s="4" t="n">
        <v>7</v>
      </c>
      <c r="F114" s="4" t="n">
        <v>3</v>
      </c>
      <c r="G114" s="4" t="s">
        <v>569</v>
      </c>
      <c r="H114" s="4" t="s">
        <v>570</v>
      </c>
      <c r="I114" s="7" t="s">
        <v>23</v>
      </c>
      <c r="J114" s="4" t="s">
        <v>571</v>
      </c>
      <c r="K114" s="4" t="s">
        <v>572</v>
      </c>
    </row>
    <row r="115" customFormat="false" ht="23.85" hidden="false" customHeight="false" outlineLevel="0" collapsed="false">
      <c r="A115" s="4" t="n">
        <v>111</v>
      </c>
      <c r="B115" s="4" t="s">
        <v>566</v>
      </c>
      <c r="C115" s="4" t="s">
        <v>573</v>
      </c>
      <c r="D115" s="5" t="s">
        <v>574</v>
      </c>
      <c r="E115" s="4" t="n">
        <v>9</v>
      </c>
      <c r="F115" s="4" t="n">
        <v>3</v>
      </c>
      <c r="G115" s="4" t="s">
        <v>569</v>
      </c>
      <c r="H115" s="4" t="s">
        <v>570</v>
      </c>
      <c r="I115" s="6" t="s">
        <v>18</v>
      </c>
      <c r="J115" s="4" t="s">
        <v>575</v>
      </c>
      <c r="K115" s="4" t="s">
        <v>576</v>
      </c>
    </row>
    <row r="116" customFormat="false" ht="23.85" hidden="false" customHeight="false" outlineLevel="0" collapsed="false">
      <c r="A116" s="4" t="n">
        <v>112</v>
      </c>
      <c r="B116" s="4" t="s">
        <v>566</v>
      </c>
      <c r="C116" s="4" t="s">
        <v>577</v>
      </c>
      <c r="D116" s="5" t="s">
        <v>578</v>
      </c>
      <c r="E116" s="4" t="n">
        <v>9</v>
      </c>
      <c r="F116" s="4" t="n">
        <v>5</v>
      </c>
      <c r="G116" s="4" t="s">
        <v>579</v>
      </c>
      <c r="H116" s="4" t="s">
        <v>570</v>
      </c>
      <c r="I116" s="8" t="s">
        <v>52</v>
      </c>
      <c r="J116" s="4" t="s">
        <v>580</v>
      </c>
      <c r="K116" s="4" t="s">
        <v>581</v>
      </c>
    </row>
    <row r="117" customFormat="false" ht="15" hidden="false" customHeight="false" outlineLevel="0" collapsed="false">
      <c r="A117" s="4" t="n">
        <v>113</v>
      </c>
      <c r="B117" s="4" t="s">
        <v>566</v>
      </c>
      <c r="C117" s="4" t="s">
        <v>582</v>
      </c>
      <c r="D117" s="5" t="s">
        <v>583</v>
      </c>
      <c r="E117" s="4" t="n">
        <v>6</v>
      </c>
      <c r="F117" s="4" t="n">
        <v>3</v>
      </c>
      <c r="G117" s="4" t="s">
        <v>579</v>
      </c>
      <c r="H117" s="4" t="s">
        <v>570</v>
      </c>
      <c r="I117" s="10" t="s">
        <v>182</v>
      </c>
      <c r="J117" s="4" t="s">
        <v>584</v>
      </c>
      <c r="K117" s="4" t="s">
        <v>585</v>
      </c>
    </row>
    <row r="118" customFormat="false" ht="35.05" hidden="false" customHeight="false" outlineLevel="0" collapsed="false">
      <c r="A118" s="4" t="n">
        <v>114</v>
      </c>
      <c r="B118" s="4" t="s">
        <v>566</v>
      </c>
      <c r="C118" s="4" t="s">
        <v>586</v>
      </c>
      <c r="D118" s="5" t="s">
        <v>587</v>
      </c>
      <c r="E118" s="4" t="n">
        <v>37</v>
      </c>
      <c r="F118" s="4" t="n">
        <v>7</v>
      </c>
      <c r="G118" s="4" t="s">
        <v>588</v>
      </c>
      <c r="H118" s="4" t="s">
        <v>570</v>
      </c>
      <c r="I118" s="10" t="s">
        <v>182</v>
      </c>
      <c r="J118" s="4" t="s">
        <v>589</v>
      </c>
      <c r="K118" s="4" t="s">
        <v>590</v>
      </c>
    </row>
    <row r="119" customFormat="false" ht="23.85" hidden="false" customHeight="false" outlineLevel="0" collapsed="false">
      <c r="A119" s="4" t="n">
        <v>115</v>
      </c>
      <c r="B119" s="4" t="s">
        <v>566</v>
      </c>
      <c r="C119" s="4" t="s">
        <v>591</v>
      </c>
      <c r="D119" s="5" t="s">
        <v>592</v>
      </c>
      <c r="E119" s="4" t="n">
        <v>4</v>
      </c>
      <c r="F119" s="4" t="n">
        <v>10</v>
      </c>
      <c r="G119" s="4" t="s">
        <v>593</v>
      </c>
      <c r="H119" s="4" t="s">
        <v>570</v>
      </c>
      <c r="I119" s="6" t="s">
        <v>18</v>
      </c>
      <c r="J119" s="4" t="s">
        <v>594</v>
      </c>
      <c r="K119" s="4" t="s">
        <v>595</v>
      </c>
    </row>
    <row r="120" customFormat="false" ht="23.85" hidden="false" customHeight="false" outlineLevel="0" collapsed="false">
      <c r="A120" s="4" t="n">
        <v>116</v>
      </c>
      <c r="B120" s="4" t="s">
        <v>566</v>
      </c>
      <c r="C120" s="4" t="s">
        <v>596</v>
      </c>
      <c r="D120" s="5" t="s">
        <v>597</v>
      </c>
      <c r="E120" s="4" t="n">
        <v>4</v>
      </c>
      <c r="F120" s="4" t="n">
        <v>10</v>
      </c>
      <c r="G120" s="4" t="s">
        <v>598</v>
      </c>
      <c r="H120" s="4" t="s">
        <v>570</v>
      </c>
      <c r="I120" s="6" t="s">
        <v>18</v>
      </c>
      <c r="J120" s="4" t="s">
        <v>594</v>
      </c>
      <c r="K120" s="4" t="s">
        <v>595</v>
      </c>
    </row>
    <row r="121" customFormat="false" ht="23.85" hidden="false" customHeight="false" outlineLevel="0" collapsed="false">
      <c r="A121" s="4" t="n">
        <v>117</v>
      </c>
      <c r="B121" s="4" t="s">
        <v>566</v>
      </c>
      <c r="C121" s="4" t="s">
        <v>599</v>
      </c>
      <c r="D121" s="5" t="s">
        <v>600</v>
      </c>
      <c r="E121" s="4" t="n">
        <v>4</v>
      </c>
      <c r="F121" s="4" t="n">
        <v>10</v>
      </c>
      <c r="G121" s="4" t="s">
        <v>601</v>
      </c>
      <c r="H121" s="4" t="s">
        <v>570</v>
      </c>
      <c r="I121" s="6" t="s">
        <v>18</v>
      </c>
      <c r="J121" s="4" t="s">
        <v>594</v>
      </c>
      <c r="K121" s="4" t="s">
        <v>595</v>
      </c>
    </row>
    <row r="122" customFormat="false" ht="23.85" hidden="false" customHeight="false" outlineLevel="0" collapsed="false">
      <c r="A122" s="4" t="n">
        <v>118</v>
      </c>
      <c r="B122" s="4" t="s">
        <v>566</v>
      </c>
      <c r="C122" s="4" t="s">
        <v>602</v>
      </c>
      <c r="D122" s="5" t="s">
        <v>603</v>
      </c>
      <c r="E122" s="4" t="n">
        <v>3</v>
      </c>
      <c r="F122" s="4" t="n">
        <v>10</v>
      </c>
      <c r="G122" s="4" t="s">
        <v>604</v>
      </c>
      <c r="H122" s="4" t="s">
        <v>570</v>
      </c>
      <c r="I122" s="6" t="s">
        <v>18</v>
      </c>
      <c r="J122" s="4" t="s">
        <v>594</v>
      </c>
      <c r="K122" s="4" t="s">
        <v>595</v>
      </c>
    </row>
    <row r="123" customFormat="false" ht="23.85" hidden="false" customHeight="false" outlineLevel="0" collapsed="false">
      <c r="A123" s="4" t="n">
        <v>119</v>
      </c>
      <c r="B123" s="4" t="s">
        <v>566</v>
      </c>
      <c r="C123" s="4" t="s">
        <v>605</v>
      </c>
      <c r="D123" s="5" t="s">
        <v>606</v>
      </c>
      <c r="E123" s="4" t="n">
        <v>4</v>
      </c>
      <c r="F123" s="4" t="n">
        <v>10</v>
      </c>
      <c r="G123" s="4" t="s">
        <v>607</v>
      </c>
      <c r="H123" s="4" t="s">
        <v>570</v>
      </c>
      <c r="I123" s="6" t="s">
        <v>18</v>
      </c>
      <c r="J123" s="4" t="s">
        <v>594</v>
      </c>
      <c r="K123" s="4" t="s">
        <v>595</v>
      </c>
    </row>
    <row r="124" customFormat="false" ht="23.85" hidden="false" customHeight="false" outlineLevel="0" collapsed="false">
      <c r="A124" s="4" t="n">
        <v>120</v>
      </c>
      <c r="B124" s="4" t="s">
        <v>566</v>
      </c>
      <c r="C124" s="4" t="s">
        <v>608</v>
      </c>
      <c r="D124" s="5" t="s">
        <v>609</v>
      </c>
      <c r="E124" s="4" t="n">
        <v>5</v>
      </c>
      <c r="F124" s="4" t="n">
        <v>10</v>
      </c>
      <c r="G124" s="4" t="s">
        <v>610</v>
      </c>
      <c r="H124" s="4" t="s">
        <v>570</v>
      </c>
      <c r="I124" s="6" t="s">
        <v>18</v>
      </c>
      <c r="J124" s="4" t="s">
        <v>594</v>
      </c>
      <c r="K124" s="4" t="s">
        <v>595</v>
      </c>
    </row>
    <row r="125" customFormat="false" ht="23.85" hidden="false" customHeight="false" outlineLevel="0" collapsed="false">
      <c r="A125" s="4" t="n">
        <v>121</v>
      </c>
      <c r="B125" s="4" t="s">
        <v>566</v>
      </c>
      <c r="C125" s="4" t="s">
        <v>611</v>
      </c>
      <c r="D125" s="5" t="s">
        <v>612</v>
      </c>
      <c r="E125" s="4" t="n">
        <v>2</v>
      </c>
      <c r="F125" s="4" t="n">
        <v>10</v>
      </c>
      <c r="G125" s="4" t="s">
        <v>613</v>
      </c>
      <c r="H125" s="4" t="s">
        <v>570</v>
      </c>
      <c r="I125" s="6" t="s">
        <v>18</v>
      </c>
      <c r="J125" s="4" t="s">
        <v>594</v>
      </c>
      <c r="K125" s="4" t="s">
        <v>595</v>
      </c>
    </row>
    <row r="126" customFormat="false" ht="23.85" hidden="false" customHeight="false" outlineLevel="0" collapsed="false">
      <c r="A126" s="4" t="n">
        <v>122</v>
      </c>
      <c r="B126" s="4" t="s">
        <v>566</v>
      </c>
      <c r="C126" s="4" t="s">
        <v>614</v>
      </c>
      <c r="D126" s="5" t="s">
        <v>615</v>
      </c>
      <c r="E126" s="4" t="n">
        <v>1</v>
      </c>
      <c r="F126" s="4" t="n">
        <v>10</v>
      </c>
      <c r="G126" s="4" t="s">
        <v>616</v>
      </c>
      <c r="H126" s="4" t="s">
        <v>570</v>
      </c>
      <c r="I126" s="6" t="s">
        <v>18</v>
      </c>
      <c r="J126" s="4" t="s">
        <v>594</v>
      </c>
      <c r="K126" s="4" t="s">
        <v>595</v>
      </c>
    </row>
    <row r="127" customFormat="false" ht="23.85" hidden="false" customHeight="false" outlineLevel="0" collapsed="false">
      <c r="A127" s="4" t="n">
        <v>123</v>
      </c>
      <c r="B127" s="4" t="s">
        <v>566</v>
      </c>
      <c r="C127" s="4" t="s">
        <v>617</v>
      </c>
      <c r="D127" s="5" t="s">
        <v>618</v>
      </c>
      <c r="E127" s="4" t="n">
        <v>4</v>
      </c>
      <c r="F127" s="4" t="n">
        <v>10</v>
      </c>
      <c r="G127" s="4" t="s">
        <v>619</v>
      </c>
      <c r="H127" s="4" t="s">
        <v>570</v>
      </c>
      <c r="I127" s="6" t="s">
        <v>18</v>
      </c>
      <c r="J127" s="4" t="s">
        <v>594</v>
      </c>
      <c r="K127" s="4" t="s">
        <v>595</v>
      </c>
    </row>
    <row r="128" customFormat="false" ht="23.85" hidden="false" customHeight="false" outlineLevel="0" collapsed="false">
      <c r="A128" s="4" t="n">
        <v>124</v>
      </c>
      <c r="B128" s="4" t="s">
        <v>566</v>
      </c>
      <c r="C128" s="4" t="s">
        <v>620</v>
      </c>
      <c r="D128" s="5" t="s">
        <v>621</v>
      </c>
      <c r="E128" s="4" t="n">
        <v>3</v>
      </c>
      <c r="F128" s="4" t="n">
        <v>10</v>
      </c>
      <c r="G128" s="4" t="s">
        <v>622</v>
      </c>
      <c r="H128" s="4" t="s">
        <v>570</v>
      </c>
      <c r="I128" s="6" t="s">
        <v>18</v>
      </c>
      <c r="J128" s="4" t="s">
        <v>594</v>
      </c>
      <c r="K128" s="4" t="s">
        <v>595</v>
      </c>
    </row>
    <row r="129" customFormat="false" ht="23.85" hidden="false" customHeight="false" outlineLevel="0" collapsed="false">
      <c r="A129" s="4" t="n">
        <v>125</v>
      </c>
      <c r="B129" s="4" t="s">
        <v>566</v>
      </c>
      <c r="C129" s="4" t="s">
        <v>623</v>
      </c>
      <c r="D129" s="5" t="s">
        <v>624</v>
      </c>
      <c r="E129" s="4" t="n">
        <v>2</v>
      </c>
      <c r="F129" s="4" t="n">
        <v>10</v>
      </c>
      <c r="G129" s="4" t="s">
        <v>625</v>
      </c>
      <c r="H129" s="4" t="s">
        <v>570</v>
      </c>
      <c r="I129" s="6" t="s">
        <v>18</v>
      </c>
      <c r="J129" s="4" t="s">
        <v>594</v>
      </c>
      <c r="K129" s="4" t="s">
        <v>595</v>
      </c>
    </row>
    <row r="130" customFormat="false" ht="23.85" hidden="false" customHeight="false" outlineLevel="0" collapsed="false">
      <c r="A130" s="4" t="n">
        <v>126</v>
      </c>
      <c r="B130" s="4" t="s">
        <v>566</v>
      </c>
      <c r="C130" s="4" t="s">
        <v>626</v>
      </c>
      <c r="D130" s="5" t="s">
        <v>627</v>
      </c>
      <c r="E130" s="4" t="n">
        <v>2</v>
      </c>
      <c r="F130" s="4" t="n">
        <v>10</v>
      </c>
      <c r="G130" s="4" t="s">
        <v>628</v>
      </c>
      <c r="H130" s="4" t="s">
        <v>570</v>
      </c>
      <c r="I130" s="6" t="s">
        <v>18</v>
      </c>
      <c r="J130" s="4" t="s">
        <v>594</v>
      </c>
      <c r="K130" s="4" t="s">
        <v>595</v>
      </c>
    </row>
    <row r="131" customFormat="false" ht="23.85" hidden="false" customHeight="false" outlineLevel="0" collapsed="false">
      <c r="A131" s="4" t="n">
        <v>127</v>
      </c>
      <c r="B131" s="4" t="s">
        <v>566</v>
      </c>
      <c r="C131" s="4" t="s">
        <v>629</v>
      </c>
      <c r="D131" s="5" t="s">
        <v>630</v>
      </c>
      <c r="E131" s="4" t="n">
        <v>2</v>
      </c>
      <c r="F131" s="4" t="n">
        <v>10</v>
      </c>
      <c r="G131" s="4" t="s">
        <v>631</v>
      </c>
      <c r="H131" s="4" t="s">
        <v>570</v>
      </c>
      <c r="I131" s="6" t="s">
        <v>18</v>
      </c>
      <c r="J131" s="4" t="s">
        <v>594</v>
      </c>
      <c r="K131" s="4" t="s">
        <v>595</v>
      </c>
    </row>
    <row r="132" customFormat="false" ht="23.85" hidden="false" customHeight="false" outlineLevel="0" collapsed="false">
      <c r="A132" s="4" t="n">
        <v>128</v>
      </c>
      <c r="B132" s="4" t="s">
        <v>566</v>
      </c>
      <c r="C132" s="4" t="s">
        <v>632</v>
      </c>
      <c r="D132" s="5" t="s">
        <v>633</v>
      </c>
      <c r="E132" s="4" t="n">
        <v>2</v>
      </c>
      <c r="F132" s="4" t="n">
        <v>10</v>
      </c>
      <c r="G132" s="4" t="s">
        <v>634</v>
      </c>
      <c r="H132" s="4" t="s">
        <v>570</v>
      </c>
      <c r="I132" s="6" t="s">
        <v>18</v>
      </c>
      <c r="J132" s="4" t="s">
        <v>594</v>
      </c>
      <c r="K132" s="4" t="s">
        <v>595</v>
      </c>
    </row>
    <row r="133" customFormat="false" ht="23.85" hidden="false" customHeight="false" outlineLevel="0" collapsed="false">
      <c r="A133" s="4" t="n">
        <v>129</v>
      </c>
      <c r="B133" s="4" t="s">
        <v>566</v>
      </c>
      <c r="C133" s="4" t="s">
        <v>635</v>
      </c>
      <c r="D133" s="5" t="s">
        <v>636</v>
      </c>
      <c r="E133" s="4" t="n">
        <v>8</v>
      </c>
      <c r="F133" s="4" t="n">
        <v>6</v>
      </c>
      <c r="G133" s="4" t="s">
        <v>637</v>
      </c>
      <c r="H133" s="4" t="s">
        <v>570</v>
      </c>
      <c r="I133" s="6" t="s">
        <v>18</v>
      </c>
      <c r="J133" s="4" t="s">
        <v>594</v>
      </c>
      <c r="K133" s="4" t="s">
        <v>595</v>
      </c>
    </row>
    <row r="134" customFormat="false" ht="23.85" hidden="false" customHeight="false" outlineLevel="0" collapsed="false">
      <c r="A134" s="4" t="n">
        <v>130</v>
      </c>
      <c r="B134" s="4" t="s">
        <v>566</v>
      </c>
      <c r="C134" s="4" t="s">
        <v>638</v>
      </c>
      <c r="D134" s="5" t="s">
        <v>639</v>
      </c>
      <c r="E134" s="4" t="n">
        <v>50</v>
      </c>
      <c r="F134" s="4" t="n">
        <v>10</v>
      </c>
      <c r="G134" s="4" t="s">
        <v>640</v>
      </c>
      <c r="H134" s="4" t="s">
        <v>570</v>
      </c>
      <c r="I134" s="10" t="s">
        <v>182</v>
      </c>
      <c r="J134" s="4" t="s">
        <v>641</v>
      </c>
      <c r="K134" s="4" t="s">
        <v>642</v>
      </c>
    </row>
    <row r="135" customFormat="false" ht="23.85" hidden="false" customHeight="false" outlineLevel="0" collapsed="false">
      <c r="A135" s="4" t="n">
        <v>131</v>
      </c>
      <c r="B135" s="4" t="s">
        <v>566</v>
      </c>
      <c r="C135" s="4" t="s">
        <v>643</v>
      </c>
      <c r="D135" s="5" t="s">
        <v>644</v>
      </c>
      <c r="E135" s="4" t="n">
        <v>23</v>
      </c>
      <c r="F135" s="4" t="n">
        <v>6</v>
      </c>
      <c r="G135" s="4" t="s">
        <v>645</v>
      </c>
      <c r="H135" s="4" t="s">
        <v>570</v>
      </c>
      <c r="I135" s="10" t="s">
        <v>182</v>
      </c>
      <c r="J135" s="4" t="s">
        <v>646</v>
      </c>
      <c r="K135" s="4" t="s">
        <v>647</v>
      </c>
    </row>
    <row r="136" customFormat="false" ht="35.05" hidden="false" customHeight="false" outlineLevel="0" collapsed="false">
      <c r="A136" s="4" t="n">
        <v>132</v>
      </c>
      <c r="B136" s="4" t="s">
        <v>648</v>
      </c>
      <c r="C136" s="4" t="s">
        <v>649</v>
      </c>
      <c r="D136" s="5" t="s">
        <v>650</v>
      </c>
      <c r="E136" s="4" t="n">
        <v>10</v>
      </c>
      <c r="F136" s="4" t="n">
        <v>4</v>
      </c>
      <c r="G136" s="4" t="s">
        <v>651</v>
      </c>
      <c r="H136" s="4" t="s">
        <v>652</v>
      </c>
      <c r="I136" s="6" t="s">
        <v>18</v>
      </c>
      <c r="J136" s="4" t="s">
        <v>653</v>
      </c>
      <c r="K136" s="4" t="s">
        <v>654</v>
      </c>
    </row>
    <row r="137" customFormat="false" ht="35.05" hidden="false" customHeight="false" outlineLevel="0" collapsed="false">
      <c r="A137" s="4" t="n">
        <v>133</v>
      </c>
      <c r="B137" s="4" t="s">
        <v>648</v>
      </c>
      <c r="C137" s="4" t="s">
        <v>655</v>
      </c>
      <c r="D137" s="5" t="s">
        <v>656</v>
      </c>
      <c r="E137" s="4" t="n">
        <v>3</v>
      </c>
      <c r="F137" s="4" t="n">
        <v>6</v>
      </c>
      <c r="G137" s="4" t="s">
        <v>657</v>
      </c>
      <c r="H137" s="4" t="s">
        <v>652</v>
      </c>
      <c r="I137" s="10" t="s">
        <v>182</v>
      </c>
      <c r="J137" s="4" t="s">
        <v>658</v>
      </c>
      <c r="K137" s="4" t="s">
        <v>659</v>
      </c>
    </row>
    <row r="138" customFormat="false" ht="46.25" hidden="false" customHeight="false" outlineLevel="0" collapsed="false">
      <c r="A138" s="4" t="n">
        <v>134</v>
      </c>
      <c r="B138" s="4" t="s">
        <v>648</v>
      </c>
      <c r="C138" s="4" t="s">
        <v>660</v>
      </c>
      <c r="D138" s="5" t="s">
        <v>661</v>
      </c>
      <c r="E138" s="4" t="n">
        <v>3</v>
      </c>
      <c r="F138" s="4" t="n">
        <v>4</v>
      </c>
      <c r="G138" s="4" t="s">
        <v>662</v>
      </c>
      <c r="H138" s="4" t="s">
        <v>652</v>
      </c>
      <c r="I138" s="9" t="s">
        <v>154</v>
      </c>
      <c r="J138" s="4" t="s">
        <v>663</v>
      </c>
      <c r="K138" s="4" t="s">
        <v>664</v>
      </c>
    </row>
    <row r="139" customFormat="false" ht="46.25" hidden="false" customHeight="false" outlineLevel="0" collapsed="false">
      <c r="A139" s="4" t="n">
        <v>135</v>
      </c>
      <c r="B139" s="4" t="s">
        <v>648</v>
      </c>
      <c r="C139" s="4" t="s">
        <v>665</v>
      </c>
      <c r="D139" s="5" t="s">
        <v>666</v>
      </c>
      <c r="E139" s="4" t="n">
        <v>10</v>
      </c>
      <c r="F139" s="4" t="n">
        <v>4</v>
      </c>
      <c r="G139" s="4" t="s">
        <v>662</v>
      </c>
      <c r="H139" s="4" t="s">
        <v>652</v>
      </c>
      <c r="I139" s="10" t="s">
        <v>182</v>
      </c>
      <c r="J139" s="4" t="s">
        <v>667</v>
      </c>
      <c r="K139" s="4" t="s">
        <v>668</v>
      </c>
    </row>
    <row r="140" customFormat="false" ht="46.25" hidden="false" customHeight="false" outlineLevel="0" collapsed="false">
      <c r="A140" s="4" t="n">
        <v>136</v>
      </c>
      <c r="B140" s="4" t="s">
        <v>648</v>
      </c>
      <c r="C140" s="4" t="s">
        <v>669</v>
      </c>
      <c r="D140" s="5" t="s">
        <v>670</v>
      </c>
      <c r="E140" s="4" t="n">
        <v>6</v>
      </c>
      <c r="F140" s="4" t="n">
        <v>5</v>
      </c>
      <c r="G140" s="4" t="s">
        <v>671</v>
      </c>
      <c r="H140" s="4" t="s">
        <v>652</v>
      </c>
      <c r="I140" s="6" t="s">
        <v>18</v>
      </c>
      <c r="J140" s="4" t="s">
        <v>672</v>
      </c>
      <c r="K140" s="4" t="s">
        <v>673</v>
      </c>
    </row>
    <row r="141" customFormat="false" ht="46.25" hidden="false" customHeight="false" outlineLevel="0" collapsed="false">
      <c r="A141" s="4" t="n">
        <v>137</v>
      </c>
      <c r="B141" s="4" t="s">
        <v>648</v>
      </c>
      <c r="C141" s="4" t="s">
        <v>674</v>
      </c>
      <c r="D141" s="5" t="s">
        <v>675</v>
      </c>
      <c r="E141" s="4" t="n">
        <v>3</v>
      </c>
      <c r="F141" s="4" t="n">
        <v>3</v>
      </c>
      <c r="G141" s="4" t="s">
        <v>671</v>
      </c>
      <c r="H141" s="4" t="s">
        <v>652</v>
      </c>
      <c r="I141" s="9" t="s">
        <v>154</v>
      </c>
      <c r="J141" s="4" t="s">
        <v>676</v>
      </c>
      <c r="K141" s="4" t="s">
        <v>677</v>
      </c>
    </row>
    <row r="142" customFormat="false" ht="46.25" hidden="false" customHeight="false" outlineLevel="0" collapsed="false">
      <c r="A142" s="4" t="n">
        <v>138</v>
      </c>
      <c r="B142" s="4" t="s">
        <v>648</v>
      </c>
      <c r="C142" s="4" t="s">
        <v>678</v>
      </c>
      <c r="D142" s="5" t="s">
        <v>679</v>
      </c>
      <c r="E142" s="4" t="n">
        <v>3</v>
      </c>
      <c r="F142" s="4" t="n">
        <v>6</v>
      </c>
      <c r="G142" s="4" t="s">
        <v>671</v>
      </c>
      <c r="H142" s="4" t="s">
        <v>652</v>
      </c>
      <c r="I142" s="10" t="s">
        <v>182</v>
      </c>
      <c r="J142" s="4" t="s">
        <v>680</v>
      </c>
      <c r="K142" s="4" t="s">
        <v>681</v>
      </c>
    </row>
    <row r="143" customFormat="false" ht="35.05" hidden="false" customHeight="false" outlineLevel="0" collapsed="false">
      <c r="A143" s="4" t="n">
        <v>139</v>
      </c>
      <c r="B143" s="4" t="s">
        <v>648</v>
      </c>
      <c r="C143" s="4" t="s">
        <v>682</v>
      </c>
      <c r="D143" s="5" t="s">
        <v>683</v>
      </c>
      <c r="E143" s="4" t="n">
        <v>3</v>
      </c>
      <c r="F143" s="4" t="n">
        <v>11</v>
      </c>
      <c r="G143" s="4" t="s">
        <v>684</v>
      </c>
      <c r="H143" s="4" t="s">
        <v>652</v>
      </c>
      <c r="I143" s="10" t="s">
        <v>182</v>
      </c>
      <c r="J143" s="4" t="s">
        <v>685</v>
      </c>
      <c r="K143" s="4" t="s">
        <v>686</v>
      </c>
    </row>
    <row r="144" customFormat="false" ht="35.05" hidden="false" customHeight="false" outlineLevel="0" collapsed="false">
      <c r="A144" s="4" t="n">
        <v>140</v>
      </c>
      <c r="B144" s="4" t="s">
        <v>648</v>
      </c>
      <c r="C144" s="4" t="s">
        <v>687</v>
      </c>
      <c r="D144" s="5" t="s">
        <v>688</v>
      </c>
      <c r="E144" s="4" t="n">
        <v>14</v>
      </c>
      <c r="F144" s="4" t="n">
        <v>6</v>
      </c>
      <c r="G144" s="4" t="s">
        <v>689</v>
      </c>
      <c r="H144" s="4" t="s">
        <v>652</v>
      </c>
      <c r="I144" s="7" t="s">
        <v>23</v>
      </c>
      <c r="J144" s="4" t="s">
        <v>690</v>
      </c>
      <c r="K144" s="4" t="s">
        <v>691</v>
      </c>
    </row>
    <row r="145" customFormat="false" ht="23.85" hidden="false" customHeight="false" outlineLevel="0" collapsed="false">
      <c r="A145" s="4" t="n">
        <v>141</v>
      </c>
      <c r="B145" s="4" t="s">
        <v>648</v>
      </c>
      <c r="C145" s="4" t="s">
        <v>692</v>
      </c>
      <c r="D145" s="5" t="s">
        <v>693</v>
      </c>
      <c r="E145" s="4" t="n">
        <v>10</v>
      </c>
      <c r="F145" s="4" t="n">
        <v>8</v>
      </c>
      <c r="G145" s="4" t="s">
        <v>694</v>
      </c>
      <c r="H145" s="4" t="s">
        <v>652</v>
      </c>
      <c r="I145" s="10" t="s">
        <v>182</v>
      </c>
      <c r="J145" s="4" t="s">
        <v>695</v>
      </c>
      <c r="K145" s="4" t="s">
        <v>696</v>
      </c>
    </row>
    <row r="146" customFormat="false" ht="23.85" hidden="false" customHeight="false" outlineLevel="0" collapsed="false">
      <c r="A146" s="4" t="n">
        <v>142</v>
      </c>
      <c r="B146" s="4" t="s">
        <v>648</v>
      </c>
      <c r="C146" s="4" t="s">
        <v>697</v>
      </c>
      <c r="D146" s="5" t="s">
        <v>698</v>
      </c>
      <c r="E146" s="4" t="n">
        <v>3</v>
      </c>
      <c r="F146" s="4" t="n">
        <v>6</v>
      </c>
      <c r="G146" s="4" t="s">
        <v>694</v>
      </c>
      <c r="H146" s="4" t="s">
        <v>652</v>
      </c>
      <c r="I146" s="10" t="s">
        <v>182</v>
      </c>
      <c r="J146" s="4" t="s">
        <v>699</v>
      </c>
      <c r="K146" s="4" t="s">
        <v>700</v>
      </c>
    </row>
    <row r="147" customFormat="false" ht="23.85" hidden="false" customHeight="false" outlineLevel="0" collapsed="false">
      <c r="A147" s="4" t="n">
        <v>143</v>
      </c>
      <c r="B147" s="4" t="s">
        <v>648</v>
      </c>
      <c r="C147" s="4" t="s">
        <v>701</v>
      </c>
      <c r="D147" s="5" t="s">
        <v>702</v>
      </c>
      <c r="E147" s="4" t="n">
        <v>6</v>
      </c>
      <c r="F147" s="4" t="n">
        <v>7</v>
      </c>
      <c r="G147" s="4" t="s">
        <v>694</v>
      </c>
      <c r="H147" s="4" t="s">
        <v>652</v>
      </c>
      <c r="I147" s="9" t="s">
        <v>154</v>
      </c>
      <c r="J147" s="4" t="s">
        <v>703</v>
      </c>
      <c r="K147" s="4" t="s">
        <v>704</v>
      </c>
    </row>
    <row r="148" customFormat="false" ht="23.85" hidden="false" customHeight="false" outlineLevel="0" collapsed="false">
      <c r="A148" s="4" t="n">
        <v>144</v>
      </c>
      <c r="B148" s="4" t="s">
        <v>648</v>
      </c>
      <c r="C148" s="4" t="s">
        <v>705</v>
      </c>
      <c r="D148" s="5" t="s">
        <v>706</v>
      </c>
      <c r="E148" s="4" t="n">
        <v>5</v>
      </c>
      <c r="F148" s="4" t="n">
        <v>2</v>
      </c>
      <c r="G148" s="4" t="s">
        <v>707</v>
      </c>
      <c r="H148" s="4" t="s">
        <v>652</v>
      </c>
      <c r="I148" s="7" t="s">
        <v>23</v>
      </c>
      <c r="J148" s="4" t="s">
        <v>708</v>
      </c>
      <c r="K148" s="4" t="s">
        <v>709</v>
      </c>
    </row>
    <row r="149" customFormat="false" ht="23.85" hidden="false" customHeight="false" outlineLevel="0" collapsed="false">
      <c r="A149" s="4" t="n">
        <v>145</v>
      </c>
      <c r="B149" s="4" t="s">
        <v>648</v>
      </c>
      <c r="C149" s="4" t="s">
        <v>710</v>
      </c>
      <c r="D149" s="5" t="s">
        <v>711</v>
      </c>
      <c r="E149" s="4" t="n">
        <v>3</v>
      </c>
      <c r="F149" s="4" t="n">
        <v>4</v>
      </c>
      <c r="G149" s="4" t="s">
        <v>707</v>
      </c>
      <c r="H149" s="4" t="s">
        <v>652</v>
      </c>
      <c r="I149" s="9" t="s">
        <v>154</v>
      </c>
      <c r="J149" s="4" t="s">
        <v>712</v>
      </c>
      <c r="K149" s="4" t="s">
        <v>713</v>
      </c>
    </row>
    <row r="150" customFormat="false" ht="23.85" hidden="false" customHeight="false" outlineLevel="0" collapsed="false">
      <c r="A150" s="4" t="n">
        <v>146</v>
      </c>
      <c r="B150" s="4" t="s">
        <v>648</v>
      </c>
      <c r="C150" s="4" t="s">
        <v>714</v>
      </c>
      <c r="D150" s="5" t="s">
        <v>715</v>
      </c>
      <c r="E150" s="4" t="n">
        <v>10</v>
      </c>
      <c r="F150" s="4" t="n">
        <v>6</v>
      </c>
      <c r="G150" s="4" t="s">
        <v>707</v>
      </c>
      <c r="H150" s="4" t="s">
        <v>652</v>
      </c>
      <c r="I150" s="10" t="s">
        <v>182</v>
      </c>
      <c r="J150" s="4" t="s">
        <v>716</v>
      </c>
      <c r="K150" s="4" t="s">
        <v>717</v>
      </c>
    </row>
    <row r="151" customFormat="false" ht="35.05" hidden="false" customHeight="false" outlineLevel="0" collapsed="false">
      <c r="A151" s="4" t="n">
        <v>147</v>
      </c>
      <c r="B151" s="4" t="s">
        <v>648</v>
      </c>
      <c r="C151" s="4" t="s">
        <v>718</v>
      </c>
      <c r="D151" s="5" t="s">
        <v>719</v>
      </c>
      <c r="E151" s="4" t="n">
        <v>8</v>
      </c>
      <c r="F151" s="4" t="n">
        <v>4</v>
      </c>
      <c r="G151" s="4" t="s">
        <v>720</v>
      </c>
      <c r="H151" s="4" t="s">
        <v>652</v>
      </c>
      <c r="I151" s="7" t="s">
        <v>23</v>
      </c>
      <c r="J151" s="4" t="s">
        <v>721</v>
      </c>
      <c r="K151" s="4" t="s">
        <v>722</v>
      </c>
    </row>
    <row r="152" customFormat="false" ht="35.05" hidden="false" customHeight="false" outlineLevel="0" collapsed="false">
      <c r="A152" s="4" t="n">
        <v>148</v>
      </c>
      <c r="B152" s="4" t="s">
        <v>648</v>
      </c>
      <c r="C152" s="4" t="s">
        <v>723</v>
      </c>
      <c r="D152" s="5" t="s">
        <v>724</v>
      </c>
      <c r="E152" s="4" t="n">
        <v>3</v>
      </c>
      <c r="F152" s="4" t="n">
        <v>8</v>
      </c>
      <c r="G152" s="4" t="s">
        <v>720</v>
      </c>
      <c r="H152" s="4" t="s">
        <v>652</v>
      </c>
      <c r="I152" s="10" t="s">
        <v>182</v>
      </c>
      <c r="J152" s="4" t="s">
        <v>725</v>
      </c>
      <c r="K152" s="4" t="s">
        <v>726</v>
      </c>
    </row>
    <row r="153" customFormat="false" ht="35.05" hidden="false" customHeight="false" outlineLevel="0" collapsed="false">
      <c r="A153" s="4" t="n">
        <v>149</v>
      </c>
      <c r="B153" s="4" t="s">
        <v>648</v>
      </c>
      <c r="C153" s="4" t="s">
        <v>727</v>
      </c>
      <c r="D153" s="5" t="s">
        <v>728</v>
      </c>
      <c r="E153" s="4" t="n">
        <v>10</v>
      </c>
      <c r="F153" s="4" t="n">
        <v>5</v>
      </c>
      <c r="G153" s="4" t="s">
        <v>720</v>
      </c>
      <c r="H153" s="4" t="s">
        <v>652</v>
      </c>
      <c r="I153" s="10" t="s">
        <v>182</v>
      </c>
      <c r="J153" s="4" t="s">
        <v>729</v>
      </c>
      <c r="K153" s="4" t="s">
        <v>730</v>
      </c>
    </row>
    <row r="154" customFormat="false" ht="35.05" hidden="false" customHeight="false" outlineLevel="0" collapsed="false">
      <c r="A154" s="4" t="n">
        <v>150</v>
      </c>
      <c r="B154" s="4" t="s">
        <v>648</v>
      </c>
      <c r="C154" s="4" t="s">
        <v>731</v>
      </c>
      <c r="D154" s="5" t="s">
        <v>732</v>
      </c>
      <c r="E154" s="4" t="n">
        <v>4</v>
      </c>
      <c r="F154" s="4" t="n">
        <v>2</v>
      </c>
      <c r="G154" s="4" t="s">
        <v>733</v>
      </c>
      <c r="H154" s="4" t="s">
        <v>652</v>
      </c>
      <c r="I154" s="7" t="s">
        <v>23</v>
      </c>
      <c r="J154" s="4" t="s">
        <v>734</v>
      </c>
      <c r="K154" s="4" t="s">
        <v>735</v>
      </c>
    </row>
    <row r="155" customFormat="false" ht="35.05" hidden="false" customHeight="false" outlineLevel="0" collapsed="false">
      <c r="A155" s="4" t="n">
        <v>151</v>
      </c>
      <c r="B155" s="4" t="s">
        <v>648</v>
      </c>
      <c r="C155" s="4" t="s">
        <v>736</v>
      </c>
      <c r="D155" s="5" t="s">
        <v>737</v>
      </c>
      <c r="E155" s="4" t="n">
        <v>4</v>
      </c>
      <c r="F155" s="4" t="n">
        <v>6</v>
      </c>
      <c r="G155" s="4" t="s">
        <v>733</v>
      </c>
      <c r="H155" s="4" t="s">
        <v>652</v>
      </c>
      <c r="I155" s="10" t="s">
        <v>182</v>
      </c>
      <c r="J155" s="4" t="s">
        <v>738</v>
      </c>
      <c r="K155" s="4" t="s">
        <v>739</v>
      </c>
    </row>
    <row r="156" customFormat="false" ht="23.85" hidden="false" customHeight="false" outlineLevel="0" collapsed="false">
      <c r="A156" s="4" t="n">
        <v>152</v>
      </c>
      <c r="B156" s="4" t="s">
        <v>648</v>
      </c>
      <c r="C156" s="4" t="s">
        <v>740</v>
      </c>
      <c r="D156" s="5" t="s">
        <v>741</v>
      </c>
      <c r="E156" s="4" t="n">
        <v>10</v>
      </c>
      <c r="F156" s="4" t="n">
        <v>4</v>
      </c>
      <c r="G156" s="4" t="s">
        <v>742</v>
      </c>
      <c r="H156" s="4" t="s">
        <v>652</v>
      </c>
      <c r="I156" s="10" t="s">
        <v>182</v>
      </c>
      <c r="J156" s="4" t="s">
        <v>743</v>
      </c>
      <c r="K156" s="4" t="s">
        <v>744</v>
      </c>
    </row>
    <row r="157" customFormat="false" ht="23.85" hidden="false" customHeight="false" outlineLevel="0" collapsed="false">
      <c r="A157" s="4" t="n">
        <v>153</v>
      </c>
      <c r="B157" s="4" t="s">
        <v>648</v>
      </c>
      <c r="C157" s="4" t="s">
        <v>745</v>
      </c>
      <c r="D157" s="5" t="s">
        <v>746</v>
      </c>
      <c r="E157" s="4" t="n">
        <v>8</v>
      </c>
      <c r="F157" s="4" t="n">
        <v>8</v>
      </c>
      <c r="G157" s="4" t="s">
        <v>742</v>
      </c>
      <c r="H157" s="4" t="s">
        <v>652</v>
      </c>
      <c r="I157" s="6" t="s">
        <v>18</v>
      </c>
      <c r="J157" s="4" t="s">
        <v>747</v>
      </c>
      <c r="K157" s="4" t="s">
        <v>748</v>
      </c>
    </row>
    <row r="158" customFormat="false" ht="23.85" hidden="false" customHeight="false" outlineLevel="0" collapsed="false">
      <c r="A158" s="4" t="n">
        <v>154</v>
      </c>
      <c r="B158" s="4" t="s">
        <v>648</v>
      </c>
      <c r="C158" s="4" t="s">
        <v>749</v>
      </c>
      <c r="D158" s="5" t="s">
        <v>750</v>
      </c>
      <c r="E158" s="4" t="n">
        <v>7</v>
      </c>
      <c r="F158" s="4" t="n">
        <v>3</v>
      </c>
      <c r="G158" s="4" t="s">
        <v>751</v>
      </c>
      <c r="H158" s="4" t="s">
        <v>652</v>
      </c>
      <c r="I158" s="7" t="s">
        <v>23</v>
      </c>
      <c r="J158" s="4" t="s">
        <v>752</v>
      </c>
      <c r="K158" s="4" t="s">
        <v>753</v>
      </c>
    </row>
    <row r="159" customFormat="false" ht="23.85" hidden="false" customHeight="false" outlineLevel="0" collapsed="false">
      <c r="A159" s="4" t="n">
        <v>155</v>
      </c>
      <c r="B159" s="4" t="s">
        <v>648</v>
      </c>
      <c r="C159" s="4" t="s">
        <v>754</v>
      </c>
      <c r="D159" s="5" t="s">
        <v>755</v>
      </c>
      <c r="E159" s="4" t="n">
        <v>8</v>
      </c>
      <c r="F159" s="4" t="n">
        <v>2</v>
      </c>
      <c r="G159" s="4" t="s">
        <v>751</v>
      </c>
      <c r="H159" s="4" t="s">
        <v>652</v>
      </c>
      <c r="I159" s="8" t="s">
        <v>52</v>
      </c>
      <c r="J159" s="4" t="s">
        <v>756</v>
      </c>
      <c r="K159" s="4" t="s">
        <v>757</v>
      </c>
    </row>
    <row r="160" customFormat="false" ht="23.85" hidden="false" customHeight="false" outlineLevel="0" collapsed="false">
      <c r="A160" s="4" t="n">
        <v>156</v>
      </c>
      <c r="B160" s="4" t="s">
        <v>648</v>
      </c>
      <c r="C160" s="4" t="s">
        <v>758</v>
      </c>
      <c r="D160" s="5" t="s">
        <v>759</v>
      </c>
      <c r="E160" s="4" t="n">
        <v>10</v>
      </c>
      <c r="F160" s="4" t="n">
        <v>6</v>
      </c>
      <c r="G160" s="4" t="s">
        <v>751</v>
      </c>
      <c r="H160" s="4" t="s">
        <v>652</v>
      </c>
      <c r="I160" s="10" t="s">
        <v>182</v>
      </c>
      <c r="J160" s="4" t="s">
        <v>760</v>
      </c>
      <c r="K160" s="4" t="s">
        <v>761</v>
      </c>
    </row>
    <row r="161" customFormat="false" ht="23.85" hidden="false" customHeight="false" outlineLevel="0" collapsed="false">
      <c r="A161" s="4" t="n">
        <v>157</v>
      </c>
      <c r="B161" s="4" t="s">
        <v>648</v>
      </c>
      <c r="C161" s="4" t="s">
        <v>762</v>
      </c>
      <c r="D161" s="5" t="s">
        <v>763</v>
      </c>
      <c r="E161" s="4" t="n">
        <v>4</v>
      </c>
      <c r="F161" s="4" t="n">
        <v>2</v>
      </c>
      <c r="G161" s="4" t="s">
        <v>764</v>
      </c>
      <c r="H161" s="4" t="s">
        <v>652</v>
      </c>
      <c r="I161" s="10" t="s">
        <v>182</v>
      </c>
      <c r="J161" s="4" t="s">
        <v>765</v>
      </c>
      <c r="K161" s="4" t="s">
        <v>766</v>
      </c>
    </row>
    <row r="162" customFormat="false" ht="23.85" hidden="false" customHeight="false" outlineLevel="0" collapsed="false">
      <c r="A162" s="4" t="n">
        <v>158</v>
      </c>
      <c r="B162" s="4" t="s">
        <v>648</v>
      </c>
      <c r="C162" s="4" t="s">
        <v>767</v>
      </c>
      <c r="D162" s="5" t="s">
        <v>768</v>
      </c>
      <c r="E162" s="4" t="n">
        <v>10</v>
      </c>
      <c r="F162" s="4" t="n">
        <v>11</v>
      </c>
      <c r="G162" s="4" t="s">
        <v>769</v>
      </c>
      <c r="H162" s="4" t="s">
        <v>652</v>
      </c>
      <c r="I162" s="10" t="s">
        <v>182</v>
      </c>
      <c r="J162" s="4" t="s">
        <v>770</v>
      </c>
      <c r="K162" s="4" t="s">
        <v>771</v>
      </c>
    </row>
    <row r="163" customFormat="false" ht="35.05" hidden="false" customHeight="false" outlineLevel="0" collapsed="false">
      <c r="A163" s="4" t="n">
        <v>159</v>
      </c>
      <c r="B163" s="4" t="s">
        <v>648</v>
      </c>
      <c r="C163" s="4" t="s">
        <v>772</v>
      </c>
      <c r="D163" s="5" t="s">
        <v>773</v>
      </c>
      <c r="E163" s="4" t="n">
        <v>30</v>
      </c>
      <c r="F163" s="4" t="n">
        <v>7</v>
      </c>
      <c r="G163" s="4" t="s">
        <v>774</v>
      </c>
      <c r="H163" s="4" t="s">
        <v>652</v>
      </c>
      <c r="I163" s="9" t="s">
        <v>154</v>
      </c>
      <c r="J163" s="4" t="s">
        <v>775</v>
      </c>
      <c r="K163" s="4" t="s">
        <v>776</v>
      </c>
    </row>
    <row r="164" customFormat="false" ht="23.85" hidden="false" customHeight="false" outlineLevel="0" collapsed="false">
      <c r="A164" s="4" t="n">
        <v>160</v>
      </c>
      <c r="B164" s="4" t="s">
        <v>777</v>
      </c>
      <c r="C164" s="4" t="s">
        <v>778</v>
      </c>
      <c r="D164" s="5" t="s">
        <v>779</v>
      </c>
      <c r="E164" s="4" t="n">
        <v>9</v>
      </c>
      <c r="F164" s="4" t="n">
        <v>4</v>
      </c>
      <c r="G164" s="4" t="s">
        <v>780</v>
      </c>
      <c r="H164" s="4" t="s">
        <v>781</v>
      </c>
      <c r="I164" s="11" t="s">
        <v>782</v>
      </c>
      <c r="J164" s="4" t="s">
        <v>783</v>
      </c>
      <c r="K164" s="4" t="s">
        <v>784</v>
      </c>
    </row>
    <row r="165" customFormat="false" ht="23.85" hidden="false" customHeight="false" outlineLevel="0" collapsed="false">
      <c r="A165" s="4" t="n">
        <v>161</v>
      </c>
      <c r="B165" s="4" t="s">
        <v>777</v>
      </c>
      <c r="C165" s="4" t="s">
        <v>785</v>
      </c>
      <c r="D165" s="5" t="s">
        <v>786</v>
      </c>
      <c r="E165" s="4" t="n">
        <v>15</v>
      </c>
      <c r="F165" s="4" t="n">
        <v>7</v>
      </c>
      <c r="G165" s="4" t="s">
        <v>787</v>
      </c>
      <c r="H165" s="4" t="s">
        <v>781</v>
      </c>
      <c r="I165" s="9" t="s">
        <v>154</v>
      </c>
      <c r="J165" s="4" t="s">
        <v>788</v>
      </c>
      <c r="K165" s="4" t="s">
        <v>789</v>
      </c>
    </row>
    <row r="166" customFormat="false" ht="35.05" hidden="false" customHeight="false" outlineLevel="0" collapsed="false">
      <c r="A166" s="4" t="n">
        <v>162</v>
      </c>
      <c r="B166" s="4" t="s">
        <v>777</v>
      </c>
      <c r="C166" s="4" t="s">
        <v>790</v>
      </c>
      <c r="D166" s="5" t="s">
        <v>791</v>
      </c>
      <c r="E166" s="4" t="n">
        <v>20</v>
      </c>
      <c r="F166" s="4" t="n">
        <v>4</v>
      </c>
      <c r="G166" s="4" t="s">
        <v>792</v>
      </c>
      <c r="H166" s="4" t="s">
        <v>781</v>
      </c>
      <c r="I166" s="11" t="s">
        <v>782</v>
      </c>
      <c r="J166" s="4" t="s">
        <v>793</v>
      </c>
      <c r="K166" s="4" t="s">
        <v>794</v>
      </c>
    </row>
    <row r="167" customFormat="false" ht="23.85" hidden="false" customHeight="false" outlineLevel="0" collapsed="false">
      <c r="A167" s="4" t="n">
        <v>163</v>
      </c>
      <c r="B167" s="4" t="s">
        <v>777</v>
      </c>
      <c r="C167" s="4" t="s">
        <v>795</v>
      </c>
      <c r="D167" s="5" t="s">
        <v>796</v>
      </c>
      <c r="E167" s="4" t="n">
        <v>5</v>
      </c>
      <c r="F167" s="4" t="n">
        <v>5</v>
      </c>
      <c r="G167" s="4" t="s">
        <v>797</v>
      </c>
      <c r="H167" s="4" t="s">
        <v>781</v>
      </c>
      <c r="I167" s="6" t="s">
        <v>18</v>
      </c>
      <c r="J167" s="4" t="s">
        <v>798</v>
      </c>
      <c r="K167" s="4" t="s">
        <v>799</v>
      </c>
    </row>
    <row r="168" customFormat="false" ht="23.85" hidden="false" customHeight="false" outlineLevel="0" collapsed="false">
      <c r="A168" s="4" t="n">
        <v>164</v>
      </c>
      <c r="B168" s="4" t="s">
        <v>777</v>
      </c>
      <c r="C168" s="4" t="s">
        <v>800</v>
      </c>
      <c r="D168" s="5" t="s">
        <v>801</v>
      </c>
      <c r="E168" s="4" t="n">
        <v>13</v>
      </c>
      <c r="F168" s="4" t="n">
        <v>4</v>
      </c>
      <c r="G168" s="4" t="s">
        <v>802</v>
      </c>
      <c r="H168" s="4" t="s">
        <v>781</v>
      </c>
      <c r="I168" s="6" t="s">
        <v>18</v>
      </c>
      <c r="J168" s="4" t="s">
        <v>803</v>
      </c>
      <c r="K168" s="4" t="s">
        <v>804</v>
      </c>
    </row>
    <row r="169" customFormat="false" ht="35.05" hidden="false" customHeight="false" outlineLevel="0" collapsed="false">
      <c r="A169" s="4" t="n">
        <v>165</v>
      </c>
      <c r="B169" s="4" t="s">
        <v>777</v>
      </c>
      <c r="C169" s="4" t="s">
        <v>805</v>
      </c>
      <c r="D169" s="5" t="s">
        <v>806</v>
      </c>
      <c r="E169" s="4" t="n">
        <v>7</v>
      </c>
      <c r="F169" s="4" t="n">
        <v>4</v>
      </c>
      <c r="G169" s="4" t="s">
        <v>807</v>
      </c>
      <c r="H169" s="4" t="s">
        <v>781</v>
      </c>
      <c r="I169" s="10" t="s">
        <v>182</v>
      </c>
      <c r="J169" s="4" t="s">
        <v>808</v>
      </c>
      <c r="K169" s="4" t="s">
        <v>809</v>
      </c>
    </row>
    <row r="170" customFormat="false" ht="35.05" hidden="false" customHeight="false" outlineLevel="0" collapsed="false">
      <c r="A170" s="4" t="n">
        <v>166</v>
      </c>
      <c r="B170" s="4" t="s">
        <v>777</v>
      </c>
      <c r="C170" s="4" t="s">
        <v>810</v>
      </c>
      <c r="D170" s="5" t="s">
        <v>811</v>
      </c>
      <c r="E170" s="4" t="n">
        <v>6</v>
      </c>
      <c r="F170" s="4" t="n">
        <v>4</v>
      </c>
      <c r="G170" s="4" t="s">
        <v>807</v>
      </c>
      <c r="H170" s="4" t="s">
        <v>781</v>
      </c>
      <c r="I170" s="9" t="s">
        <v>154</v>
      </c>
      <c r="J170" s="4" t="s">
        <v>812</v>
      </c>
      <c r="K170" s="4" t="s">
        <v>813</v>
      </c>
    </row>
    <row r="171" customFormat="false" ht="23.85" hidden="false" customHeight="false" outlineLevel="0" collapsed="false">
      <c r="A171" s="4" t="n">
        <v>167</v>
      </c>
      <c r="B171" s="4" t="s">
        <v>777</v>
      </c>
      <c r="C171" s="4" t="s">
        <v>814</v>
      </c>
      <c r="D171" s="5" t="s">
        <v>815</v>
      </c>
      <c r="E171" s="4" t="n">
        <v>4</v>
      </c>
      <c r="F171" s="4" t="n">
        <v>5</v>
      </c>
      <c r="G171" s="4" t="s">
        <v>816</v>
      </c>
      <c r="H171" s="4" t="s">
        <v>781</v>
      </c>
      <c r="I171" s="10" t="s">
        <v>182</v>
      </c>
      <c r="J171" s="4" t="s">
        <v>817</v>
      </c>
      <c r="K171" s="4" t="s">
        <v>818</v>
      </c>
    </row>
    <row r="172" customFormat="false" ht="35.05" hidden="false" customHeight="false" outlineLevel="0" collapsed="false">
      <c r="A172" s="4" t="n">
        <v>168</v>
      </c>
      <c r="B172" s="4" t="s">
        <v>777</v>
      </c>
      <c r="C172" s="4" t="s">
        <v>819</v>
      </c>
      <c r="D172" s="5" t="s">
        <v>820</v>
      </c>
      <c r="E172" s="4" t="n">
        <v>4</v>
      </c>
      <c r="F172" s="4" t="n">
        <v>3</v>
      </c>
      <c r="G172" s="4" t="s">
        <v>821</v>
      </c>
      <c r="H172" s="4" t="s">
        <v>781</v>
      </c>
      <c r="I172" s="6" t="s">
        <v>18</v>
      </c>
      <c r="J172" s="4" t="s">
        <v>822</v>
      </c>
      <c r="K172" s="4" t="s">
        <v>823</v>
      </c>
    </row>
    <row r="173" customFormat="false" ht="23.85" hidden="false" customHeight="false" outlineLevel="0" collapsed="false">
      <c r="A173" s="4" t="n">
        <v>169</v>
      </c>
      <c r="B173" s="4" t="s">
        <v>777</v>
      </c>
      <c r="C173" s="4" t="s">
        <v>824</v>
      </c>
      <c r="D173" s="5" t="s">
        <v>825</v>
      </c>
      <c r="E173" s="4" t="n">
        <v>14</v>
      </c>
      <c r="F173" s="4" t="n">
        <v>7</v>
      </c>
      <c r="G173" s="4" t="s">
        <v>826</v>
      </c>
      <c r="H173" s="4" t="s">
        <v>781</v>
      </c>
      <c r="I173" s="9" t="s">
        <v>154</v>
      </c>
      <c r="J173" s="4" t="s">
        <v>827</v>
      </c>
      <c r="K173" s="4" t="s">
        <v>828</v>
      </c>
    </row>
    <row r="174" customFormat="false" ht="23.85" hidden="false" customHeight="false" outlineLevel="0" collapsed="false">
      <c r="A174" s="4" t="n">
        <v>170</v>
      </c>
      <c r="B174" s="4" t="s">
        <v>777</v>
      </c>
      <c r="C174" s="4" t="s">
        <v>829</v>
      </c>
      <c r="D174" s="5" t="s">
        <v>830</v>
      </c>
      <c r="E174" s="4" t="n">
        <v>8</v>
      </c>
      <c r="F174" s="4" t="n">
        <v>4</v>
      </c>
      <c r="G174" s="4" t="s">
        <v>826</v>
      </c>
      <c r="H174" s="4" t="s">
        <v>781</v>
      </c>
      <c r="I174" s="9" t="s">
        <v>154</v>
      </c>
      <c r="J174" s="4" t="s">
        <v>831</v>
      </c>
      <c r="K174" s="4" t="s">
        <v>832</v>
      </c>
    </row>
    <row r="175" customFormat="false" ht="35.05" hidden="false" customHeight="false" outlineLevel="0" collapsed="false">
      <c r="A175" s="4" t="n">
        <v>171</v>
      </c>
      <c r="B175" s="4" t="s">
        <v>777</v>
      </c>
      <c r="C175" s="4" t="s">
        <v>833</v>
      </c>
      <c r="D175" s="5" t="s">
        <v>834</v>
      </c>
      <c r="E175" s="4" t="n">
        <v>4</v>
      </c>
      <c r="F175" s="4" t="n">
        <v>6</v>
      </c>
      <c r="G175" s="4" t="s">
        <v>835</v>
      </c>
      <c r="H175" s="4" t="s">
        <v>781</v>
      </c>
      <c r="I175" s="10" t="s">
        <v>182</v>
      </c>
      <c r="J175" s="4" t="s">
        <v>836</v>
      </c>
      <c r="K175" s="4" t="s">
        <v>837</v>
      </c>
    </row>
    <row r="176" customFormat="false" ht="35.05" hidden="false" customHeight="false" outlineLevel="0" collapsed="false">
      <c r="A176" s="4" t="n">
        <v>172</v>
      </c>
      <c r="B176" s="4" t="s">
        <v>777</v>
      </c>
      <c r="C176" s="4" t="s">
        <v>838</v>
      </c>
      <c r="D176" s="5" t="s">
        <v>839</v>
      </c>
      <c r="E176" s="4" t="n">
        <v>5</v>
      </c>
      <c r="F176" s="4" t="n">
        <v>5</v>
      </c>
      <c r="G176" s="4" t="s">
        <v>840</v>
      </c>
      <c r="H176" s="4" t="s">
        <v>781</v>
      </c>
      <c r="I176" s="11" t="s">
        <v>782</v>
      </c>
      <c r="J176" s="4" t="s">
        <v>841</v>
      </c>
      <c r="K176" s="4" t="s">
        <v>842</v>
      </c>
    </row>
    <row r="177" customFormat="false" ht="46.25" hidden="false" customHeight="false" outlineLevel="0" collapsed="false">
      <c r="A177" s="4" t="n">
        <v>173</v>
      </c>
      <c r="B177" s="4" t="s">
        <v>777</v>
      </c>
      <c r="C177" s="4" t="s">
        <v>843</v>
      </c>
      <c r="D177" s="5" t="s">
        <v>844</v>
      </c>
      <c r="E177" s="4" t="n">
        <v>13</v>
      </c>
      <c r="F177" s="4" t="n">
        <v>7</v>
      </c>
      <c r="G177" s="4" t="s">
        <v>845</v>
      </c>
      <c r="H177" s="4" t="s">
        <v>781</v>
      </c>
      <c r="I177" s="10" t="s">
        <v>182</v>
      </c>
      <c r="J177" s="4" t="s">
        <v>846</v>
      </c>
      <c r="K177" s="4" t="s">
        <v>847</v>
      </c>
    </row>
    <row r="178" customFormat="false" ht="35.05" hidden="false" customHeight="false" outlineLevel="0" collapsed="false">
      <c r="A178" s="4" t="n">
        <v>174</v>
      </c>
      <c r="B178" s="4" t="s">
        <v>777</v>
      </c>
      <c r="C178" s="4" t="s">
        <v>848</v>
      </c>
      <c r="D178" s="5" t="s">
        <v>849</v>
      </c>
      <c r="E178" s="4" t="n">
        <v>3</v>
      </c>
      <c r="F178" s="4" t="n">
        <v>3</v>
      </c>
      <c r="G178" s="4" t="s">
        <v>850</v>
      </c>
      <c r="H178" s="4" t="s">
        <v>781</v>
      </c>
      <c r="I178" s="11" t="s">
        <v>782</v>
      </c>
      <c r="J178" s="4" t="s">
        <v>851</v>
      </c>
      <c r="K178" s="4" t="s">
        <v>852</v>
      </c>
    </row>
    <row r="179" customFormat="false" ht="35.05" hidden="false" customHeight="false" outlineLevel="0" collapsed="false">
      <c r="A179" s="4" t="n">
        <v>175</v>
      </c>
      <c r="B179" s="4" t="s">
        <v>777</v>
      </c>
      <c r="C179" s="4" t="s">
        <v>853</v>
      </c>
      <c r="D179" s="5" t="s">
        <v>854</v>
      </c>
      <c r="E179" s="4" t="n">
        <v>7</v>
      </c>
      <c r="F179" s="4" t="n">
        <v>6</v>
      </c>
      <c r="G179" s="4" t="s">
        <v>855</v>
      </c>
      <c r="H179" s="4" t="s">
        <v>781</v>
      </c>
      <c r="I179" s="6" t="s">
        <v>18</v>
      </c>
      <c r="J179" s="4" t="s">
        <v>856</v>
      </c>
      <c r="K179" s="4" t="s">
        <v>857</v>
      </c>
    </row>
    <row r="180" customFormat="false" ht="35.05" hidden="false" customHeight="false" outlineLevel="0" collapsed="false">
      <c r="A180" s="4" t="n">
        <v>176</v>
      </c>
      <c r="B180" s="4" t="s">
        <v>777</v>
      </c>
      <c r="C180" s="4" t="s">
        <v>858</v>
      </c>
      <c r="D180" s="5" t="s">
        <v>859</v>
      </c>
      <c r="E180" s="4" t="n">
        <v>15</v>
      </c>
      <c r="F180" s="4" t="n">
        <v>6</v>
      </c>
      <c r="G180" s="4" t="s">
        <v>860</v>
      </c>
      <c r="H180" s="4" t="s">
        <v>781</v>
      </c>
      <c r="I180" s="6" t="s">
        <v>18</v>
      </c>
      <c r="J180" s="4" t="s">
        <v>861</v>
      </c>
      <c r="K180" s="4" t="s">
        <v>862</v>
      </c>
    </row>
    <row r="181" customFormat="false" ht="35.05" hidden="false" customHeight="false" outlineLevel="0" collapsed="false">
      <c r="A181" s="4" t="n">
        <v>177</v>
      </c>
      <c r="B181" s="4" t="s">
        <v>777</v>
      </c>
      <c r="C181" s="4" t="s">
        <v>863</v>
      </c>
      <c r="D181" s="5" t="s">
        <v>864</v>
      </c>
      <c r="E181" s="4" t="n">
        <v>5</v>
      </c>
      <c r="F181" s="4" t="n">
        <v>3</v>
      </c>
      <c r="G181" s="4" t="s">
        <v>865</v>
      </c>
      <c r="H181" s="4" t="s">
        <v>781</v>
      </c>
      <c r="I181" s="9" t="s">
        <v>154</v>
      </c>
      <c r="J181" s="4" t="s">
        <v>866</v>
      </c>
      <c r="K181" s="4" t="s">
        <v>867</v>
      </c>
    </row>
    <row r="182" customFormat="false" ht="23.85" hidden="false" customHeight="false" outlineLevel="0" collapsed="false">
      <c r="A182" s="4" t="n">
        <v>178</v>
      </c>
      <c r="B182" s="4" t="s">
        <v>777</v>
      </c>
      <c r="C182" s="4" t="s">
        <v>868</v>
      </c>
      <c r="D182" s="5" t="s">
        <v>869</v>
      </c>
      <c r="E182" s="4" t="n">
        <v>14</v>
      </c>
      <c r="F182" s="4" t="n">
        <v>5</v>
      </c>
      <c r="G182" s="4" t="s">
        <v>870</v>
      </c>
      <c r="H182" s="4" t="s">
        <v>781</v>
      </c>
      <c r="I182" s="6" t="s">
        <v>18</v>
      </c>
      <c r="J182" s="4" t="s">
        <v>871</v>
      </c>
      <c r="K182" s="4" t="s">
        <v>872</v>
      </c>
    </row>
    <row r="183" customFormat="false" ht="23.85" hidden="false" customHeight="false" outlineLevel="0" collapsed="false">
      <c r="A183" s="4" t="n">
        <v>179</v>
      </c>
      <c r="B183" s="4" t="s">
        <v>777</v>
      </c>
      <c r="C183" s="4" t="s">
        <v>873</v>
      </c>
      <c r="D183" s="5" t="s">
        <v>874</v>
      </c>
      <c r="E183" s="4" t="n">
        <v>4</v>
      </c>
      <c r="F183" s="4" t="n">
        <v>8</v>
      </c>
      <c r="G183" s="4" t="s">
        <v>875</v>
      </c>
      <c r="H183" s="4" t="s">
        <v>781</v>
      </c>
      <c r="I183" s="10" t="s">
        <v>182</v>
      </c>
      <c r="J183" s="4" t="s">
        <v>876</v>
      </c>
      <c r="K183" s="4" t="s">
        <v>877</v>
      </c>
    </row>
    <row r="184" customFormat="false" ht="46.25" hidden="false" customHeight="false" outlineLevel="0" collapsed="false">
      <c r="A184" s="4" t="n">
        <v>180</v>
      </c>
      <c r="B184" s="4" t="s">
        <v>777</v>
      </c>
      <c r="C184" s="4" t="s">
        <v>878</v>
      </c>
      <c r="D184" s="5" t="s">
        <v>879</v>
      </c>
      <c r="E184" s="4" t="n">
        <v>13</v>
      </c>
      <c r="F184" s="4" t="n">
        <v>4</v>
      </c>
      <c r="G184" s="4" t="s">
        <v>880</v>
      </c>
      <c r="H184" s="4" t="s">
        <v>781</v>
      </c>
      <c r="I184" s="10" t="s">
        <v>182</v>
      </c>
      <c r="J184" s="4" t="s">
        <v>881</v>
      </c>
      <c r="K184" s="4" t="s">
        <v>882</v>
      </c>
    </row>
    <row r="185" customFormat="false" ht="46.25" hidden="false" customHeight="false" outlineLevel="0" collapsed="false">
      <c r="A185" s="4" t="n">
        <v>181</v>
      </c>
      <c r="B185" s="4" t="s">
        <v>777</v>
      </c>
      <c r="C185" s="4" t="s">
        <v>883</v>
      </c>
      <c r="D185" s="5" t="s">
        <v>884</v>
      </c>
      <c r="E185" s="4" t="n">
        <v>5</v>
      </c>
      <c r="F185" s="4" t="n">
        <v>5</v>
      </c>
      <c r="G185" s="4" t="s">
        <v>880</v>
      </c>
      <c r="H185" s="4" t="s">
        <v>781</v>
      </c>
      <c r="I185" s="10" t="s">
        <v>182</v>
      </c>
      <c r="J185" s="4" t="s">
        <v>885</v>
      </c>
      <c r="K185" s="4" t="s">
        <v>886</v>
      </c>
    </row>
    <row r="186" customFormat="false" ht="46.25" hidden="false" customHeight="false" outlineLevel="0" collapsed="false">
      <c r="A186" s="4" t="n">
        <v>182</v>
      </c>
      <c r="B186" s="4" t="s">
        <v>777</v>
      </c>
      <c r="C186" s="4" t="s">
        <v>887</v>
      </c>
      <c r="D186" s="5" t="s">
        <v>888</v>
      </c>
      <c r="E186" s="4" t="n">
        <v>13</v>
      </c>
      <c r="F186" s="4" t="n">
        <v>4</v>
      </c>
      <c r="G186" s="4" t="s">
        <v>889</v>
      </c>
      <c r="H186" s="4" t="s">
        <v>781</v>
      </c>
      <c r="I186" s="10" t="s">
        <v>182</v>
      </c>
      <c r="J186" s="4" t="s">
        <v>890</v>
      </c>
      <c r="K186" s="4" t="s">
        <v>891</v>
      </c>
    </row>
    <row r="187" customFormat="false" ht="46.25" hidden="false" customHeight="false" outlineLevel="0" collapsed="false">
      <c r="A187" s="4" t="n">
        <v>183</v>
      </c>
      <c r="B187" s="4" t="s">
        <v>777</v>
      </c>
      <c r="C187" s="4" t="s">
        <v>892</v>
      </c>
      <c r="D187" s="5" t="s">
        <v>893</v>
      </c>
      <c r="E187" s="4" t="n">
        <v>5</v>
      </c>
      <c r="F187" s="4" t="n">
        <v>4</v>
      </c>
      <c r="G187" s="4" t="s">
        <v>889</v>
      </c>
      <c r="H187" s="4" t="s">
        <v>781</v>
      </c>
      <c r="I187" s="10" t="s">
        <v>182</v>
      </c>
      <c r="J187" s="4" t="s">
        <v>894</v>
      </c>
      <c r="K187" s="4" t="s">
        <v>886</v>
      </c>
    </row>
    <row r="188" customFormat="false" ht="46.25" hidden="false" customHeight="false" outlineLevel="0" collapsed="false">
      <c r="A188" s="4" t="n">
        <v>184</v>
      </c>
      <c r="B188" s="4" t="s">
        <v>777</v>
      </c>
      <c r="C188" s="4" t="s">
        <v>895</v>
      </c>
      <c r="D188" s="5" t="s">
        <v>896</v>
      </c>
      <c r="E188" s="4" t="n">
        <v>15</v>
      </c>
      <c r="F188" s="4" t="n">
        <v>4</v>
      </c>
      <c r="G188" s="4" t="s">
        <v>897</v>
      </c>
      <c r="H188" s="4" t="s">
        <v>781</v>
      </c>
      <c r="I188" s="10" t="s">
        <v>182</v>
      </c>
      <c r="J188" s="4" t="s">
        <v>898</v>
      </c>
      <c r="K188" s="4" t="s">
        <v>899</v>
      </c>
    </row>
    <row r="189" customFormat="false" ht="46.25" hidden="false" customHeight="false" outlineLevel="0" collapsed="false">
      <c r="A189" s="4" t="n">
        <v>185</v>
      </c>
      <c r="B189" s="4" t="s">
        <v>777</v>
      </c>
      <c r="C189" s="4" t="s">
        <v>900</v>
      </c>
      <c r="D189" s="5" t="s">
        <v>901</v>
      </c>
      <c r="E189" s="4" t="n">
        <v>3</v>
      </c>
      <c r="F189" s="4" t="n">
        <v>4</v>
      </c>
      <c r="G189" s="4" t="s">
        <v>897</v>
      </c>
      <c r="H189" s="4" t="s">
        <v>781</v>
      </c>
      <c r="I189" s="10" t="s">
        <v>182</v>
      </c>
      <c r="J189" s="4" t="s">
        <v>902</v>
      </c>
      <c r="K189" s="4" t="s">
        <v>886</v>
      </c>
    </row>
    <row r="190" customFormat="false" ht="46.25" hidden="false" customHeight="false" outlineLevel="0" collapsed="false">
      <c r="A190" s="4" t="n">
        <v>186</v>
      </c>
      <c r="B190" s="4" t="s">
        <v>777</v>
      </c>
      <c r="C190" s="4" t="s">
        <v>903</v>
      </c>
      <c r="D190" s="5" t="s">
        <v>904</v>
      </c>
      <c r="E190" s="4" t="n">
        <v>5</v>
      </c>
      <c r="F190" s="4" t="n">
        <v>4</v>
      </c>
      <c r="G190" s="4" t="s">
        <v>897</v>
      </c>
      <c r="H190" s="4" t="s">
        <v>781</v>
      </c>
      <c r="I190" s="10" t="s">
        <v>182</v>
      </c>
      <c r="J190" s="4" t="s">
        <v>905</v>
      </c>
      <c r="K190" s="4" t="s">
        <v>906</v>
      </c>
    </row>
    <row r="191" customFormat="false" ht="23.85" hidden="false" customHeight="false" outlineLevel="0" collapsed="false">
      <c r="A191" s="4" t="n">
        <v>187</v>
      </c>
      <c r="B191" s="4" t="s">
        <v>777</v>
      </c>
      <c r="C191" s="4" t="s">
        <v>907</v>
      </c>
      <c r="D191" s="5" t="s">
        <v>908</v>
      </c>
      <c r="E191" s="4" t="n">
        <v>9</v>
      </c>
      <c r="F191" s="4" t="n">
        <v>3</v>
      </c>
      <c r="G191" s="4" t="s">
        <v>909</v>
      </c>
      <c r="H191" s="4" t="s">
        <v>781</v>
      </c>
      <c r="I191" s="8" t="s">
        <v>52</v>
      </c>
      <c r="J191" s="4" t="s">
        <v>910</v>
      </c>
      <c r="K191" s="4" t="s">
        <v>911</v>
      </c>
    </row>
    <row r="192" customFormat="false" ht="23.85" hidden="false" customHeight="false" outlineLevel="0" collapsed="false">
      <c r="A192" s="4" t="n">
        <v>188</v>
      </c>
      <c r="B192" s="4" t="s">
        <v>912</v>
      </c>
      <c r="C192" s="4" t="s">
        <v>913</v>
      </c>
      <c r="D192" s="5" t="s">
        <v>914</v>
      </c>
      <c r="E192" s="4" t="n">
        <v>5</v>
      </c>
      <c r="F192" s="4" t="n">
        <v>3</v>
      </c>
      <c r="G192" s="4" t="s">
        <v>915</v>
      </c>
      <c r="H192" s="4" t="s">
        <v>916</v>
      </c>
      <c r="I192" s="8" t="s">
        <v>52</v>
      </c>
      <c r="J192" s="4" t="s">
        <v>917</v>
      </c>
      <c r="K192" s="4" t="s">
        <v>918</v>
      </c>
    </row>
    <row r="193" customFormat="false" ht="23.85" hidden="false" customHeight="false" outlineLevel="0" collapsed="false">
      <c r="A193" s="4" t="n">
        <v>189</v>
      </c>
      <c r="B193" s="4" t="s">
        <v>912</v>
      </c>
      <c r="C193" s="4" t="s">
        <v>919</v>
      </c>
      <c r="D193" s="5" t="s">
        <v>920</v>
      </c>
      <c r="E193" s="4" t="n">
        <v>6</v>
      </c>
      <c r="F193" s="4" t="n">
        <v>8</v>
      </c>
      <c r="G193" s="4" t="s">
        <v>921</v>
      </c>
      <c r="H193" s="4" t="s">
        <v>916</v>
      </c>
      <c r="I193" s="6" t="s">
        <v>18</v>
      </c>
      <c r="J193" s="4" t="s">
        <v>917</v>
      </c>
      <c r="K193" s="4" t="s">
        <v>918</v>
      </c>
    </row>
    <row r="194" customFormat="false" ht="23.85" hidden="false" customHeight="false" outlineLevel="0" collapsed="false">
      <c r="A194" s="4" t="n">
        <v>190</v>
      </c>
      <c r="B194" s="4" t="s">
        <v>912</v>
      </c>
      <c r="C194" s="4" t="s">
        <v>922</v>
      </c>
      <c r="D194" s="5" t="s">
        <v>923</v>
      </c>
      <c r="E194" s="4" t="n">
        <v>4</v>
      </c>
      <c r="F194" s="4" t="n">
        <v>5</v>
      </c>
      <c r="G194" s="4" t="s">
        <v>924</v>
      </c>
      <c r="H194" s="4" t="s">
        <v>916</v>
      </c>
      <c r="I194" s="7" t="s">
        <v>23</v>
      </c>
      <c r="J194" s="4" t="s">
        <v>917</v>
      </c>
      <c r="K194" s="4" t="s">
        <v>918</v>
      </c>
    </row>
    <row r="195" customFormat="false" ht="23.85" hidden="false" customHeight="false" outlineLevel="0" collapsed="false">
      <c r="A195" s="4" t="n">
        <v>191</v>
      </c>
      <c r="B195" s="4" t="s">
        <v>912</v>
      </c>
      <c r="C195" s="4" t="s">
        <v>925</v>
      </c>
      <c r="D195" s="5" t="s">
        <v>926</v>
      </c>
      <c r="E195" s="4" t="n">
        <v>4</v>
      </c>
      <c r="F195" s="4" t="n">
        <v>4</v>
      </c>
      <c r="G195" s="4" t="s">
        <v>927</v>
      </c>
      <c r="H195" s="4" t="s">
        <v>916</v>
      </c>
      <c r="I195" s="7" t="s">
        <v>23</v>
      </c>
      <c r="J195" s="4" t="s">
        <v>917</v>
      </c>
      <c r="K195" s="4" t="s">
        <v>918</v>
      </c>
    </row>
    <row r="196" customFormat="false" ht="23.85" hidden="false" customHeight="false" outlineLevel="0" collapsed="false">
      <c r="A196" s="4" t="n">
        <v>192</v>
      </c>
      <c r="B196" s="4" t="s">
        <v>912</v>
      </c>
      <c r="C196" s="4" t="s">
        <v>928</v>
      </c>
      <c r="D196" s="5" t="s">
        <v>929</v>
      </c>
      <c r="E196" s="4" t="n">
        <v>8</v>
      </c>
      <c r="F196" s="4" t="n">
        <v>3</v>
      </c>
      <c r="G196" s="4" t="s">
        <v>930</v>
      </c>
      <c r="H196" s="4" t="s">
        <v>916</v>
      </c>
      <c r="I196" s="7" t="s">
        <v>23</v>
      </c>
      <c r="J196" s="4" t="s">
        <v>917</v>
      </c>
      <c r="K196" s="4" t="s">
        <v>918</v>
      </c>
    </row>
    <row r="197" customFormat="false" ht="23.85" hidden="false" customHeight="false" outlineLevel="0" collapsed="false">
      <c r="A197" s="4" t="n">
        <v>193</v>
      </c>
      <c r="B197" s="4" t="s">
        <v>912</v>
      </c>
      <c r="C197" s="4" t="s">
        <v>931</v>
      </c>
      <c r="D197" s="5" t="s">
        <v>932</v>
      </c>
      <c r="E197" s="4" t="n">
        <v>3</v>
      </c>
      <c r="F197" s="4" t="n">
        <v>2</v>
      </c>
      <c r="G197" s="4" t="s">
        <v>933</v>
      </c>
      <c r="H197" s="4" t="s">
        <v>916</v>
      </c>
      <c r="I197" s="7" t="s">
        <v>23</v>
      </c>
      <c r="J197" s="4" t="s">
        <v>934</v>
      </c>
      <c r="K197" s="4" t="s">
        <v>918</v>
      </c>
    </row>
    <row r="198" customFormat="false" ht="23.85" hidden="false" customHeight="false" outlineLevel="0" collapsed="false">
      <c r="A198" s="4" t="n">
        <v>194</v>
      </c>
      <c r="B198" s="4" t="s">
        <v>912</v>
      </c>
      <c r="C198" s="4" t="s">
        <v>935</v>
      </c>
      <c r="D198" s="5" t="s">
        <v>936</v>
      </c>
      <c r="E198" s="4" t="n">
        <v>4</v>
      </c>
      <c r="F198" s="4" t="n">
        <v>5</v>
      </c>
      <c r="G198" s="4" t="s">
        <v>937</v>
      </c>
      <c r="H198" s="4" t="s">
        <v>916</v>
      </c>
      <c r="I198" s="9" t="s">
        <v>154</v>
      </c>
      <c r="J198" s="4" t="s">
        <v>934</v>
      </c>
      <c r="K198" s="4" t="s">
        <v>918</v>
      </c>
    </row>
    <row r="199" customFormat="false" ht="23.85" hidden="false" customHeight="false" outlineLevel="0" collapsed="false">
      <c r="A199" s="4" t="n">
        <v>195</v>
      </c>
      <c r="B199" s="4" t="s">
        <v>912</v>
      </c>
      <c r="C199" s="4" t="s">
        <v>938</v>
      </c>
      <c r="D199" s="5" t="s">
        <v>939</v>
      </c>
      <c r="E199" s="4" t="n">
        <v>6</v>
      </c>
      <c r="F199" s="4" t="n">
        <v>2</v>
      </c>
      <c r="G199" s="4" t="s">
        <v>940</v>
      </c>
      <c r="H199" s="4" t="s">
        <v>916</v>
      </c>
      <c r="I199" s="9" t="s">
        <v>154</v>
      </c>
      <c r="J199" s="4" t="s">
        <v>934</v>
      </c>
      <c r="K199" s="4" t="s">
        <v>918</v>
      </c>
    </row>
    <row r="200" customFormat="false" ht="23.85" hidden="false" customHeight="false" outlineLevel="0" collapsed="false">
      <c r="A200" s="4" t="n">
        <v>196</v>
      </c>
      <c r="B200" s="4" t="s">
        <v>912</v>
      </c>
      <c r="C200" s="4" t="s">
        <v>941</v>
      </c>
      <c r="D200" s="5" t="s">
        <v>942</v>
      </c>
      <c r="E200" s="4" t="n">
        <v>4</v>
      </c>
      <c r="F200" s="4" t="n">
        <v>2</v>
      </c>
      <c r="G200" s="4" t="s">
        <v>943</v>
      </c>
      <c r="H200" s="4" t="s">
        <v>916</v>
      </c>
      <c r="I200" s="9" t="s">
        <v>154</v>
      </c>
      <c r="J200" s="4" t="s">
        <v>934</v>
      </c>
      <c r="K200" s="4" t="s">
        <v>918</v>
      </c>
    </row>
    <row r="201" customFormat="false" ht="23.85" hidden="false" customHeight="false" outlineLevel="0" collapsed="false">
      <c r="A201" s="4" t="n">
        <v>197</v>
      </c>
      <c r="B201" s="4" t="s">
        <v>912</v>
      </c>
      <c r="C201" s="4" t="s">
        <v>944</v>
      </c>
      <c r="D201" s="5" t="s">
        <v>945</v>
      </c>
      <c r="E201" s="4" t="n">
        <v>7</v>
      </c>
      <c r="F201" s="4" t="n">
        <v>3</v>
      </c>
      <c r="G201" s="4" t="s">
        <v>946</v>
      </c>
      <c r="H201" s="4" t="s">
        <v>916</v>
      </c>
      <c r="I201" s="7" t="s">
        <v>23</v>
      </c>
      <c r="J201" s="4" t="s">
        <v>934</v>
      </c>
      <c r="K201" s="4" t="s">
        <v>918</v>
      </c>
    </row>
    <row r="202" customFormat="false" ht="23.85" hidden="false" customHeight="false" outlineLevel="0" collapsed="false">
      <c r="A202" s="4" t="n">
        <v>198</v>
      </c>
      <c r="B202" s="4" t="s">
        <v>912</v>
      </c>
      <c r="C202" s="4" t="s">
        <v>947</v>
      </c>
      <c r="D202" s="5" t="s">
        <v>948</v>
      </c>
      <c r="E202" s="4" t="n">
        <v>9</v>
      </c>
      <c r="F202" s="4" t="n">
        <v>3</v>
      </c>
      <c r="G202" s="4" t="s">
        <v>946</v>
      </c>
      <c r="H202" s="4" t="s">
        <v>916</v>
      </c>
      <c r="I202" s="7" t="s">
        <v>23</v>
      </c>
      <c r="J202" s="4" t="s">
        <v>934</v>
      </c>
      <c r="K202" s="4" t="s">
        <v>918</v>
      </c>
    </row>
    <row r="203" customFormat="false" ht="23.85" hidden="false" customHeight="false" outlineLevel="0" collapsed="false">
      <c r="A203" s="4" t="n">
        <v>199</v>
      </c>
      <c r="B203" s="4" t="s">
        <v>912</v>
      </c>
      <c r="C203" s="4" t="s">
        <v>949</v>
      </c>
      <c r="D203" s="5" t="s">
        <v>950</v>
      </c>
      <c r="E203" s="4" t="n">
        <v>5</v>
      </c>
      <c r="F203" s="4" t="n">
        <v>3</v>
      </c>
      <c r="G203" s="4" t="s">
        <v>946</v>
      </c>
      <c r="H203" s="4" t="s">
        <v>916</v>
      </c>
      <c r="I203" s="8" t="s">
        <v>52</v>
      </c>
      <c r="J203" s="4" t="s">
        <v>934</v>
      </c>
      <c r="K203" s="4" t="s">
        <v>918</v>
      </c>
    </row>
    <row r="204" customFormat="false" ht="23.85" hidden="false" customHeight="false" outlineLevel="0" collapsed="false">
      <c r="A204" s="4" t="n">
        <v>200</v>
      </c>
      <c r="B204" s="4" t="s">
        <v>912</v>
      </c>
      <c r="C204" s="4" t="s">
        <v>951</v>
      </c>
      <c r="D204" s="5" t="s">
        <v>952</v>
      </c>
      <c r="E204" s="4" t="n">
        <v>5</v>
      </c>
      <c r="F204" s="4" t="n">
        <v>2</v>
      </c>
      <c r="G204" s="4" t="s">
        <v>953</v>
      </c>
      <c r="H204" s="4" t="s">
        <v>916</v>
      </c>
      <c r="I204" s="7" t="s">
        <v>23</v>
      </c>
      <c r="J204" s="4" t="s">
        <v>954</v>
      </c>
      <c r="K204" s="4" t="s">
        <v>918</v>
      </c>
    </row>
    <row r="205" customFormat="false" ht="23.85" hidden="false" customHeight="false" outlineLevel="0" collapsed="false">
      <c r="A205" s="4" t="n">
        <v>201</v>
      </c>
      <c r="B205" s="4" t="s">
        <v>912</v>
      </c>
      <c r="C205" s="4" t="s">
        <v>955</v>
      </c>
      <c r="D205" s="5" t="s">
        <v>956</v>
      </c>
      <c r="E205" s="4" t="n">
        <v>6</v>
      </c>
      <c r="F205" s="4" t="n">
        <v>4</v>
      </c>
      <c r="G205" s="4" t="s">
        <v>957</v>
      </c>
      <c r="H205" s="4" t="s">
        <v>916</v>
      </c>
      <c r="I205" s="7" t="s">
        <v>23</v>
      </c>
      <c r="J205" s="4" t="s">
        <v>954</v>
      </c>
      <c r="K205" s="4" t="s">
        <v>918</v>
      </c>
    </row>
    <row r="206" customFormat="false" ht="23.85" hidden="false" customHeight="false" outlineLevel="0" collapsed="false">
      <c r="A206" s="4" t="n">
        <v>202</v>
      </c>
      <c r="B206" s="4" t="s">
        <v>912</v>
      </c>
      <c r="C206" s="4" t="s">
        <v>958</v>
      </c>
      <c r="D206" s="5" t="s">
        <v>959</v>
      </c>
      <c r="E206" s="4" t="n">
        <v>5</v>
      </c>
      <c r="F206" s="4" t="n">
        <v>5</v>
      </c>
      <c r="G206" s="4" t="s">
        <v>960</v>
      </c>
      <c r="H206" s="4" t="s">
        <v>916</v>
      </c>
      <c r="I206" s="7" t="s">
        <v>23</v>
      </c>
      <c r="J206" s="4" t="s">
        <v>954</v>
      </c>
      <c r="K206" s="4" t="s">
        <v>918</v>
      </c>
    </row>
    <row r="207" customFormat="false" ht="23.85" hidden="false" customHeight="false" outlineLevel="0" collapsed="false">
      <c r="A207" s="4" t="n">
        <v>203</v>
      </c>
      <c r="B207" s="4" t="s">
        <v>912</v>
      </c>
      <c r="C207" s="4" t="s">
        <v>961</v>
      </c>
      <c r="D207" s="5" t="s">
        <v>962</v>
      </c>
      <c r="E207" s="4" t="n">
        <v>3</v>
      </c>
      <c r="F207" s="4" t="n">
        <v>2</v>
      </c>
      <c r="G207" s="4" t="s">
        <v>963</v>
      </c>
      <c r="H207" s="4" t="s">
        <v>916</v>
      </c>
      <c r="I207" s="7" t="s">
        <v>23</v>
      </c>
      <c r="J207" s="4" t="s">
        <v>954</v>
      </c>
      <c r="K207" s="4" t="s">
        <v>918</v>
      </c>
    </row>
    <row r="208" customFormat="false" ht="23.85" hidden="false" customHeight="false" outlineLevel="0" collapsed="false">
      <c r="A208" s="4" t="n">
        <v>204</v>
      </c>
      <c r="B208" s="4" t="s">
        <v>912</v>
      </c>
      <c r="C208" s="4" t="s">
        <v>964</v>
      </c>
      <c r="D208" s="5" t="s">
        <v>965</v>
      </c>
      <c r="E208" s="4" t="n">
        <v>5</v>
      </c>
      <c r="F208" s="4" t="n">
        <v>2</v>
      </c>
      <c r="G208" s="4" t="s">
        <v>966</v>
      </c>
      <c r="H208" s="4" t="s">
        <v>916</v>
      </c>
      <c r="I208" s="7" t="s">
        <v>23</v>
      </c>
      <c r="J208" s="4" t="s">
        <v>954</v>
      </c>
      <c r="K208" s="4" t="s">
        <v>918</v>
      </c>
    </row>
    <row r="209" customFormat="false" ht="23.85" hidden="false" customHeight="false" outlineLevel="0" collapsed="false">
      <c r="A209" s="4" t="n">
        <v>205</v>
      </c>
      <c r="B209" s="4" t="s">
        <v>912</v>
      </c>
      <c r="C209" s="4" t="s">
        <v>967</v>
      </c>
      <c r="D209" s="5" t="s">
        <v>968</v>
      </c>
      <c r="E209" s="4" t="n">
        <v>6</v>
      </c>
      <c r="F209" s="4" t="n">
        <v>2</v>
      </c>
      <c r="G209" s="4" t="s">
        <v>969</v>
      </c>
      <c r="H209" s="4" t="s">
        <v>916</v>
      </c>
      <c r="I209" s="7" t="s">
        <v>23</v>
      </c>
      <c r="J209" s="4" t="s">
        <v>954</v>
      </c>
      <c r="K209" s="4" t="s">
        <v>918</v>
      </c>
    </row>
    <row r="210" customFormat="false" ht="23.85" hidden="false" customHeight="false" outlineLevel="0" collapsed="false">
      <c r="A210" s="4" t="n">
        <v>206</v>
      </c>
      <c r="B210" s="4" t="s">
        <v>912</v>
      </c>
      <c r="C210" s="4" t="s">
        <v>970</v>
      </c>
      <c r="D210" s="5" t="s">
        <v>971</v>
      </c>
      <c r="E210" s="4" t="n">
        <v>7</v>
      </c>
      <c r="F210" s="4" t="n">
        <v>3</v>
      </c>
      <c r="G210" s="4" t="s">
        <v>972</v>
      </c>
      <c r="H210" s="4" t="s">
        <v>916</v>
      </c>
      <c r="I210" s="9" t="s">
        <v>154</v>
      </c>
      <c r="J210" s="4" t="s">
        <v>954</v>
      </c>
      <c r="K210" s="4" t="s">
        <v>918</v>
      </c>
    </row>
    <row r="211" customFormat="false" ht="23.85" hidden="false" customHeight="false" outlineLevel="0" collapsed="false">
      <c r="A211" s="4" t="n">
        <v>207</v>
      </c>
      <c r="B211" s="4" t="s">
        <v>912</v>
      </c>
      <c r="C211" s="4" t="s">
        <v>973</v>
      </c>
      <c r="D211" s="5" t="s">
        <v>974</v>
      </c>
      <c r="E211" s="4" t="n">
        <v>5</v>
      </c>
      <c r="F211" s="4" t="n">
        <v>4</v>
      </c>
      <c r="G211" s="4" t="s">
        <v>957</v>
      </c>
      <c r="H211" s="4" t="s">
        <v>916</v>
      </c>
      <c r="I211" s="8" t="s">
        <v>52</v>
      </c>
      <c r="J211" s="4" t="s">
        <v>954</v>
      </c>
      <c r="K211" s="4" t="s">
        <v>918</v>
      </c>
    </row>
    <row r="212" customFormat="false" ht="23.85" hidden="false" customHeight="false" outlineLevel="0" collapsed="false">
      <c r="A212" s="4" t="n">
        <v>208</v>
      </c>
      <c r="B212" s="4" t="s">
        <v>912</v>
      </c>
      <c r="C212" s="4" t="s">
        <v>975</v>
      </c>
      <c r="D212" s="5" t="s">
        <v>976</v>
      </c>
      <c r="E212" s="4" t="n">
        <v>5</v>
      </c>
      <c r="F212" s="4" t="n">
        <v>2</v>
      </c>
      <c r="G212" s="4" t="s">
        <v>977</v>
      </c>
      <c r="H212" s="4" t="s">
        <v>916</v>
      </c>
      <c r="I212" s="9" t="s">
        <v>154</v>
      </c>
      <c r="J212" s="4" t="s">
        <v>954</v>
      </c>
      <c r="K212" s="4" t="s">
        <v>918</v>
      </c>
    </row>
    <row r="213" customFormat="false" ht="23.85" hidden="false" customHeight="false" outlineLevel="0" collapsed="false">
      <c r="A213" s="4" t="n">
        <v>209</v>
      </c>
      <c r="B213" s="4" t="s">
        <v>912</v>
      </c>
      <c r="C213" s="4" t="s">
        <v>978</v>
      </c>
      <c r="D213" s="5" t="s">
        <v>979</v>
      </c>
      <c r="E213" s="4" t="n">
        <v>4</v>
      </c>
      <c r="F213" s="4" t="n">
        <v>2</v>
      </c>
      <c r="G213" s="4" t="s">
        <v>980</v>
      </c>
      <c r="H213" s="4" t="s">
        <v>916</v>
      </c>
      <c r="I213" s="7" t="s">
        <v>23</v>
      </c>
      <c r="J213" s="4" t="s">
        <v>981</v>
      </c>
      <c r="K213" s="4" t="s">
        <v>918</v>
      </c>
    </row>
    <row r="214" customFormat="false" ht="23.85" hidden="false" customHeight="false" outlineLevel="0" collapsed="false">
      <c r="A214" s="4" t="n">
        <v>210</v>
      </c>
      <c r="B214" s="4" t="s">
        <v>912</v>
      </c>
      <c r="C214" s="4" t="s">
        <v>982</v>
      </c>
      <c r="D214" s="5" t="s">
        <v>983</v>
      </c>
      <c r="E214" s="4" t="n">
        <v>4</v>
      </c>
      <c r="F214" s="4" t="n">
        <v>3</v>
      </c>
      <c r="G214" s="4" t="s">
        <v>984</v>
      </c>
      <c r="H214" s="4" t="s">
        <v>916</v>
      </c>
      <c r="I214" s="7" t="s">
        <v>23</v>
      </c>
      <c r="J214" s="4" t="s">
        <v>981</v>
      </c>
      <c r="K214" s="4" t="s">
        <v>918</v>
      </c>
    </row>
    <row r="215" customFormat="false" ht="23.85" hidden="false" customHeight="false" outlineLevel="0" collapsed="false">
      <c r="A215" s="4" t="n">
        <v>211</v>
      </c>
      <c r="B215" s="4" t="s">
        <v>912</v>
      </c>
      <c r="C215" s="4" t="s">
        <v>985</v>
      </c>
      <c r="D215" s="5" t="s">
        <v>986</v>
      </c>
      <c r="E215" s="4" t="n">
        <v>10</v>
      </c>
      <c r="F215" s="4" t="n">
        <v>2</v>
      </c>
      <c r="G215" s="4" t="s">
        <v>987</v>
      </c>
      <c r="H215" s="4" t="s">
        <v>916</v>
      </c>
      <c r="I215" s="7" t="s">
        <v>23</v>
      </c>
      <c r="J215" s="4" t="s">
        <v>981</v>
      </c>
      <c r="K215" s="4" t="s">
        <v>918</v>
      </c>
    </row>
    <row r="216" customFormat="false" ht="23.85" hidden="false" customHeight="false" outlineLevel="0" collapsed="false">
      <c r="A216" s="4" t="n">
        <v>212</v>
      </c>
      <c r="B216" s="4" t="s">
        <v>912</v>
      </c>
      <c r="C216" s="4" t="s">
        <v>988</v>
      </c>
      <c r="D216" s="5" t="s">
        <v>989</v>
      </c>
      <c r="E216" s="4" t="n">
        <v>5</v>
      </c>
      <c r="F216" s="4" t="n">
        <v>2</v>
      </c>
      <c r="G216" s="4" t="s">
        <v>990</v>
      </c>
      <c r="H216" s="4" t="s">
        <v>916</v>
      </c>
      <c r="I216" s="10" t="s">
        <v>182</v>
      </c>
      <c r="J216" s="4" t="s">
        <v>981</v>
      </c>
      <c r="K216" s="4" t="s">
        <v>918</v>
      </c>
    </row>
    <row r="217" customFormat="false" ht="23.85" hidden="false" customHeight="false" outlineLevel="0" collapsed="false">
      <c r="A217" s="4" t="n">
        <v>213</v>
      </c>
      <c r="B217" s="4" t="s">
        <v>912</v>
      </c>
      <c r="C217" s="4" t="s">
        <v>991</v>
      </c>
      <c r="D217" s="5" t="s">
        <v>992</v>
      </c>
      <c r="E217" s="4" t="n">
        <v>3</v>
      </c>
      <c r="F217" s="4" t="n">
        <v>5</v>
      </c>
      <c r="G217" s="4" t="s">
        <v>993</v>
      </c>
      <c r="H217" s="4" t="s">
        <v>916</v>
      </c>
      <c r="I217" s="10" t="s">
        <v>182</v>
      </c>
      <c r="J217" s="4" t="s">
        <v>981</v>
      </c>
      <c r="K217" s="4" t="s">
        <v>918</v>
      </c>
    </row>
    <row r="218" customFormat="false" ht="23.85" hidden="false" customHeight="false" outlineLevel="0" collapsed="false">
      <c r="A218" s="4" t="n">
        <v>214</v>
      </c>
      <c r="B218" s="4" t="s">
        <v>912</v>
      </c>
      <c r="C218" s="4" t="s">
        <v>994</v>
      </c>
      <c r="D218" s="5" t="s">
        <v>995</v>
      </c>
      <c r="E218" s="4" t="n">
        <v>3</v>
      </c>
      <c r="F218" s="4" t="n">
        <v>8</v>
      </c>
      <c r="G218" s="4" t="s">
        <v>996</v>
      </c>
      <c r="H218" s="4" t="s">
        <v>916</v>
      </c>
      <c r="I218" s="10" t="s">
        <v>182</v>
      </c>
      <c r="J218" s="4" t="s">
        <v>981</v>
      </c>
      <c r="K218" s="4" t="s">
        <v>918</v>
      </c>
    </row>
    <row r="219" customFormat="false" ht="23.85" hidden="false" customHeight="false" outlineLevel="0" collapsed="false">
      <c r="A219" s="4" t="n">
        <v>215</v>
      </c>
      <c r="B219" s="4" t="s">
        <v>912</v>
      </c>
      <c r="C219" s="4" t="s">
        <v>997</v>
      </c>
      <c r="D219" s="5" t="s">
        <v>998</v>
      </c>
      <c r="E219" s="4" t="n">
        <v>3</v>
      </c>
      <c r="F219" s="4" t="n">
        <v>3</v>
      </c>
      <c r="G219" s="4" t="s">
        <v>987</v>
      </c>
      <c r="H219" s="4" t="s">
        <v>916</v>
      </c>
      <c r="I219" s="8" t="s">
        <v>52</v>
      </c>
      <c r="J219" s="4" t="s">
        <v>981</v>
      </c>
      <c r="K219" s="4" t="s">
        <v>918</v>
      </c>
    </row>
    <row r="220" customFormat="false" ht="23.85" hidden="false" customHeight="false" outlineLevel="0" collapsed="false">
      <c r="A220" s="4" t="n">
        <v>216</v>
      </c>
      <c r="B220" s="4" t="s">
        <v>912</v>
      </c>
      <c r="C220" s="4" t="s">
        <v>999</v>
      </c>
      <c r="D220" s="5" t="s">
        <v>1000</v>
      </c>
      <c r="E220" s="4" t="n">
        <v>8</v>
      </c>
      <c r="F220" s="4" t="n">
        <v>2</v>
      </c>
      <c r="G220" s="4" t="s">
        <v>1001</v>
      </c>
      <c r="H220" s="4" t="s">
        <v>916</v>
      </c>
      <c r="I220" s="10" t="s">
        <v>182</v>
      </c>
      <c r="J220" s="4" t="s">
        <v>1002</v>
      </c>
      <c r="K220" s="4" t="s">
        <v>918</v>
      </c>
    </row>
    <row r="221" customFormat="false" ht="23.85" hidden="false" customHeight="false" outlineLevel="0" collapsed="false">
      <c r="A221" s="4" t="n">
        <v>217</v>
      </c>
      <c r="B221" s="4" t="s">
        <v>912</v>
      </c>
      <c r="C221" s="4" t="s">
        <v>1003</v>
      </c>
      <c r="D221" s="5" t="s">
        <v>1004</v>
      </c>
      <c r="E221" s="4" t="n">
        <v>24</v>
      </c>
      <c r="F221" s="4" t="n">
        <v>3</v>
      </c>
      <c r="G221" s="4" t="s">
        <v>1005</v>
      </c>
      <c r="H221" s="4" t="s">
        <v>916</v>
      </c>
      <c r="I221" s="10" t="s">
        <v>182</v>
      </c>
      <c r="J221" s="4" t="s">
        <v>1002</v>
      </c>
      <c r="K221" s="4" t="s">
        <v>918</v>
      </c>
    </row>
    <row r="222" customFormat="false" ht="23.85" hidden="false" customHeight="false" outlineLevel="0" collapsed="false">
      <c r="A222" s="4" t="n">
        <v>218</v>
      </c>
      <c r="B222" s="4" t="s">
        <v>912</v>
      </c>
      <c r="C222" s="4" t="s">
        <v>1006</v>
      </c>
      <c r="D222" s="5" t="s">
        <v>1007</v>
      </c>
      <c r="E222" s="4" t="n">
        <v>6</v>
      </c>
      <c r="F222" s="4" t="n">
        <v>2</v>
      </c>
      <c r="G222" s="4" t="s">
        <v>1008</v>
      </c>
      <c r="H222" s="4" t="s">
        <v>916</v>
      </c>
      <c r="I222" s="7" t="s">
        <v>23</v>
      </c>
      <c r="J222" s="4" t="s">
        <v>1002</v>
      </c>
      <c r="K222" s="4" t="s">
        <v>918</v>
      </c>
    </row>
    <row r="223" customFormat="false" ht="23.85" hidden="false" customHeight="false" outlineLevel="0" collapsed="false">
      <c r="A223" s="4" t="n">
        <v>219</v>
      </c>
      <c r="B223" s="4" t="s">
        <v>912</v>
      </c>
      <c r="C223" s="4" t="s">
        <v>1009</v>
      </c>
      <c r="D223" s="5" t="s">
        <v>1010</v>
      </c>
      <c r="E223" s="4" t="n">
        <v>6</v>
      </c>
      <c r="F223" s="4" t="n">
        <v>2</v>
      </c>
      <c r="G223" s="4" t="s">
        <v>1011</v>
      </c>
      <c r="H223" s="4" t="s">
        <v>916</v>
      </c>
      <c r="I223" s="7" t="s">
        <v>23</v>
      </c>
      <c r="J223" s="4" t="s">
        <v>1002</v>
      </c>
      <c r="K223" s="4" t="s">
        <v>918</v>
      </c>
    </row>
    <row r="224" customFormat="false" ht="23.85" hidden="false" customHeight="false" outlineLevel="0" collapsed="false">
      <c r="A224" s="4" t="n">
        <v>220</v>
      </c>
      <c r="B224" s="4" t="s">
        <v>912</v>
      </c>
      <c r="C224" s="4" t="s">
        <v>1012</v>
      </c>
      <c r="D224" s="5" t="s">
        <v>1013</v>
      </c>
      <c r="E224" s="4" t="n">
        <v>2</v>
      </c>
      <c r="F224" s="4" t="n">
        <v>3</v>
      </c>
      <c r="G224" s="4" t="s">
        <v>1014</v>
      </c>
      <c r="H224" s="4" t="s">
        <v>916</v>
      </c>
      <c r="I224" s="7" t="s">
        <v>23</v>
      </c>
      <c r="J224" s="4" t="s">
        <v>1002</v>
      </c>
      <c r="K224" s="4" t="s">
        <v>918</v>
      </c>
    </row>
    <row r="225" customFormat="false" ht="23.85" hidden="false" customHeight="false" outlineLevel="0" collapsed="false">
      <c r="A225" s="4" t="n">
        <v>221</v>
      </c>
      <c r="B225" s="4" t="s">
        <v>912</v>
      </c>
      <c r="C225" s="4" t="s">
        <v>1015</v>
      </c>
      <c r="D225" s="5" t="s">
        <v>1016</v>
      </c>
      <c r="E225" s="4" t="n">
        <v>4</v>
      </c>
      <c r="F225" s="4" t="n">
        <v>2</v>
      </c>
      <c r="G225" s="4" t="s">
        <v>1017</v>
      </c>
      <c r="H225" s="4" t="s">
        <v>916</v>
      </c>
      <c r="I225" s="10" t="s">
        <v>182</v>
      </c>
      <c r="J225" s="4" t="s">
        <v>1002</v>
      </c>
      <c r="K225" s="4" t="s">
        <v>918</v>
      </c>
    </row>
    <row r="226" customFormat="false" ht="23.85" hidden="false" customHeight="false" outlineLevel="0" collapsed="false">
      <c r="A226" s="4" t="n">
        <v>222</v>
      </c>
      <c r="B226" s="4" t="s">
        <v>912</v>
      </c>
      <c r="C226" s="4" t="s">
        <v>1018</v>
      </c>
      <c r="D226" s="5" t="s">
        <v>1019</v>
      </c>
      <c r="E226" s="4" t="n">
        <v>5</v>
      </c>
      <c r="F226" s="4" t="n">
        <v>2</v>
      </c>
      <c r="G226" s="4" t="s">
        <v>1020</v>
      </c>
      <c r="H226" s="4" t="s">
        <v>916</v>
      </c>
      <c r="I226" s="8" t="s">
        <v>52</v>
      </c>
      <c r="J226" s="4" t="s">
        <v>1002</v>
      </c>
      <c r="K226" s="4" t="s">
        <v>918</v>
      </c>
    </row>
    <row r="227" customFormat="false" ht="23.85" hidden="false" customHeight="false" outlineLevel="0" collapsed="false">
      <c r="A227" s="4" t="n">
        <v>223</v>
      </c>
      <c r="B227" s="4" t="s">
        <v>912</v>
      </c>
      <c r="C227" s="4" t="s">
        <v>1021</v>
      </c>
      <c r="D227" s="5" t="s">
        <v>1022</v>
      </c>
      <c r="E227" s="4" t="n">
        <v>12</v>
      </c>
      <c r="F227" s="4" t="n">
        <v>2</v>
      </c>
      <c r="G227" s="4" t="s">
        <v>1023</v>
      </c>
      <c r="H227" s="4" t="s">
        <v>916</v>
      </c>
      <c r="I227" s="10" t="s">
        <v>182</v>
      </c>
      <c r="J227" s="4" t="s">
        <v>1024</v>
      </c>
      <c r="K227" s="4" t="s">
        <v>918</v>
      </c>
    </row>
    <row r="228" customFormat="false" ht="23.85" hidden="false" customHeight="false" outlineLevel="0" collapsed="false">
      <c r="A228" s="4" t="n">
        <v>224</v>
      </c>
      <c r="B228" s="4" t="s">
        <v>912</v>
      </c>
      <c r="C228" s="4" t="s">
        <v>1025</v>
      </c>
      <c r="D228" s="5" t="s">
        <v>1026</v>
      </c>
      <c r="E228" s="4" t="n">
        <v>5</v>
      </c>
      <c r="F228" s="4" t="n">
        <v>3</v>
      </c>
      <c r="G228" s="4" t="s">
        <v>1027</v>
      </c>
      <c r="H228" s="4" t="s">
        <v>916</v>
      </c>
      <c r="I228" s="10" t="s">
        <v>182</v>
      </c>
      <c r="J228" s="4" t="s">
        <v>1024</v>
      </c>
      <c r="K228" s="4" t="s">
        <v>918</v>
      </c>
    </row>
    <row r="229" customFormat="false" ht="23.85" hidden="false" customHeight="false" outlineLevel="0" collapsed="false">
      <c r="A229" s="4" t="n">
        <v>225</v>
      </c>
      <c r="B229" s="4" t="s">
        <v>912</v>
      </c>
      <c r="C229" s="4" t="s">
        <v>1028</v>
      </c>
      <c r="D229" s="5" t="s">
        <v>1029</v>
      </c>
      <c r="E229" s="4" t="n">
        <v>6</v>
      </c>
      <c r="F229" s="4" t="n">
        <v>2</v>
      </c>
      <c r="G229" s="4" t="s">
        <v>1030</v>
      </c>
      <c r="H229" s="4" t="s">
        <v>916</v>
      </c>
      <c r="I229" s="10" t="s">
        <v>182</v>
      </c>
      <c r="J229" s="4" t="s">
        <v>1024</v>
      </c>
      <c r="K229" s="4" t="s">
        <v>918</v>
      </c>
    </row>
    <row r="230" customFormat="false" ht="23.85" hidden="false" customHeight="false" outlineLevel="0" collapsed="false">
      <c r="A230" s="4" t="n">
        <v>226</v>
      </c>
      <c r="B230" s="4" t="s">
        <v>912</v>
      </c>
      <c r="C230" s="4" t="s">
        <v>1031</v>
      </c>
      <c r="D230" s="5" t="s">
        <v>1032</v>
      </c>
      <c r="E230" s="4" t="n">
        <v>6</v>
      </c>
      <c r="F230" s="4" t="n">
        <v>3</v>
      </c>
      <c r="G230" s="4" t="s">
        <v>1033</v>
      </c>
      <c r="H230" s="4" t="s">
        <v>916</v>
      </c>
      <c r="I230" s="8" t="s">
        <v>52</v>
      </c>
      <c r="J230" s="4" t="s">
        <v>1024</v>
      </c>
      <c r="K230" s="4" t="s">
        <v>918</v>
      </c>
    </row>
    <row r="231" customFormat="false" ht="23.85" hidden="false" customHeight="false" outlineLevel="0" collapsed="false">
      <c r="A231" s="4" t="n">
        <v>227</v>
      </c>
      <c r="B231" s="4" t="s">
        <v>912</v>
      </c>
      <c r="C231" s="4" t="s">
        <v>1034</v>
      </c>
      <c r="D231" s="5" t="s">
        <v>1035</v>
      </c>
      <c r="E231" s="4" t="n">
        <v>4</v>
      </c>
      <c r="F231" s="4" t="n">
        <v>5</v>
      </c>
      <c r="G231" s="4" t="s">
        <v>1036</v>
      </c>
      <c r="H231" s="4" t="s">
        <v>916</v>
      </c>
      <c r="I231" s="10" t="s">
        <v>182</v>
      </c>
      <c r="J231" s="4" t="s">
        <v>1024</v>
      </c>
      <c r="K231" s="4" t="s">
        <v>918</v>
      </c>
    </row>
    <row r="232" customFormat="false" ht="23.85" hidden="false" customHeight="false" outlineLevel="0" collapsed="false">
      <c r="A232" s="4" t="n">
        <v>228</v>
      </c>
      <c r="B232" s="4" t="s">
        <v>912</v>
      </c>
      <c r="C232" s="4" t="s">
        <v>1037</v>
      </c>
      <c r="D232" s="5" t="s">
        <v>1038</v>
      </c>
      <c r="E232" s="4" t="n">
        <v>5</v>
      </c>
      <c r="F232" s="4" t="n">
        <v>4</v>
      </c>
      <c r="G232" s="4" t="s">
        <v>1039</v>
      </c>
      <c r="H232" s="4" t="s">
        <v>916</v>
      </c>
      <c r="I232" s="8" t="s">
        <v>52</v>
      </c>
      <c r="J232" s="4" t="s">
        <v>1024</v>
      </c>
      <c r="K232" s="4" t="s">
        <v>918</v>
      </c>
    </row>
    <row r="233" customFormat="false" ht="23.85" hidden="false" customHeight="false" outlineLevel="0" collapsed="false">
      <c r="A233" s="4" t="n">
        <v>229</v>
      </c>
      <c r="B233" s="4" t="s">
        <v>912</v>
      </c>
      <c r="C233" s="4" t="s">
        <v>1040</v>
      </c>
      <c r="D233" s="5" t="s">
        <v>1041</v>
      </c>
      <c r="E233" s="4" t="n">
        <v>9</v>
      </c>
      <c r="F233" s="4" t="n">
        <v>2</v>
      </c>
      <c r="G233" s="4" t="s">
        <v>1023</v>
      </c>
      <c r="H233" s="4" t="s">
        <v>916</v>
      </c>
      <c r="I233" s="10" t="s">
        <v>182</v>
      </c>
      <c r="J233" s="4" t="s">
        <v>1024</v>
      </c>
      <c r="K233" s="4" t="s">
        <v>918</v>
      </c>
    </row>
    <row r="234" customFormat="false" ht="23.85" hidden="false" customHeight="false" outlineLevel="0" collapsed="false">
      <c r="A234" s="4" t="n">
        <v>230</v>
      </c>
      <c r="B234" s="4" t="s">
        <v>912</v>
      </c>
      <c r="C234" s="4" t="s">
        <v>1042</v>
      </c>
      <c r="D234" s="5" t="s">
        <v>1043</v>
      </c>
      <c r="E234" s="4" t="n">
        <v>12</v>
      </c>
      <c r="F234" s="4" t="n">
        <v>2</v>
      </c>
      <c r="G234" s="4" t="s">
        <v>1044</v>
      </c>
      <c r="H234" s="4" t="s">
        <v>916</v>
      </c>
      <c r="I234" s="7" t="s">
        <v>23</v>
      </c>
      <c r="J234" s="4" t="s">
        <v>1045</v>
      </c>
      <c r="K234" s="4" t="s">
        <v>918</v>
      </c>
    </row>
    <row r="235" customFormat="false" ht="23.85" hidden="false" customHeight="false" outlineLevel="0" collapsed="false">
      <c r="A235" s="4" t="n">
        <v>231</v>
      </c>
      <c r="B235" s="4" t="s">
        <v>912</v>
      </c>
      <c r="C235" s="4" t="s">
        <v>1046</v>
      </c>
      <c r="D235" s="5" t="s">
        <v>1047</v>
      </c>
      <c r="E235" s="4" t="n">
        <v>3</v>
      </c>
      <c r="F235" s="4" t="n">
        <v>8</v>
      </c>
      <c r="G235" s="4" t="s">
        <v>1048</v>
      </c>
      <c r="H235" s="4" t="s">
        <v>916</v>
      </c>
      <c r="I235" s="10" t="s">
        <v>182</v>
      </c>
      <c r="J235" s="4" t="s">
        <v>1045</v>
      </c>
      <c r="K235" s="4" t="s">
        <v>918</v>
      </c>
    </row>
    <row r="236" customFormat="false" ht="23.85" hidden="false" customHeight="false" outlineLevel="0" collapsed="false">
      <c r="A236" s="4" t="n">
        <v>232</v>
      </c>
      <c r="B236" s="4" t="s">
        <v>912</v>
      </c>
      <c r="C236" s="4" t="s">
        <v>1049</v>
      </c>
      <c r="D236" s="5" t="s">
        <v>1050</v>
      </c>
      <c r="E236" s="4" t="n">
        <v>12</v>
      </c>
      <c r="F236" s="4" t="n">
        <v>4</v>
      </c>
      <c r="G236" s="4" t="s">
        <v>1048</v>
      </c>
      <c r="H236" s="4" t="s">
        <v>916</v>
      </c>
      <c r="I236" s="10" t="s">
        <v>182</v>
      </c>
      <c r="J236" s="4" t="s">
        <v>1045</v>
      </c>
      <c r="K236" s="4" t="s">
        <v>918</v>
      </c>
    </row>
    <row r="237" customFormat="false" ht="23.85" hidden="false" customHeight="false" outlineLevel="0" collapsed="false">
      <c r="A237" s="4" t="n">
        <v>233</v>
      </c>
      <c r="B237" s="4" t="s">
        <v>912</v>
      </c>
      <c r="C237" s="4" t="s">
        <v>1051</v>
      </c>
      <c r="D237" s="5" t="s">
        <v>1052</v>
      </c>
      <c r="E237" s="4" t="n">
        <v>12</v>
      </c>
      <c r="F237" s="4" t="n">
        <v>4</v>
      </c>
      <c r="G237" s="4" t="s">
        <v>1048</v>
      </c>
      <c r="H237" s="4" t="s">
        <v>916</v>
      </c>
      <c r="I237" s="10" t="s">
        <v>182</v>
      </c>
      <c r="J237" s="4" t="s">
        <v>1045</v>
      </c>
      <c r="K237" s="4" t="s">
        <v>918</v>
      </c>
    </row>
    <row r="238" customFormat="false" ht="23.85" hidden="false" customHeight="false" outlineLevel="0" collapsed="false">
      <c r="A238" s="4" t="n">
        <v>234</v>
      </c>
      <c r="B238" s="4" t="s">
        <v>912</v>
      </c>
      <c r="C238" s="4" t="s">
        <v>1053</v>
      </c>
      <c r="D238" s="5" t="s">
        <v>1054</v>
      </c>
      <c r="E238" s="4" t="n">
        <v>13</v>
      </c>
      <c r="F238" s="4" t="n">
        <v>4</v>
      </c>
      <c r="G238" s="4" t="s">
        <v>1048</v>
      </c>
      <c r="H238" s="4" t="s">
        <v>916</v>
      </c>
      <c r="I238" s="10" t="s">
        <v>182</v>
      </c>
      <c r="J238" s="4" t="s">
        <v>1045</v>
      </c>
      <c r="K238" s="4" t="s">
        <v>918</v>
      </c>
    </row>
    <row r="239" customFormat="false" ht="23.85" hidden="false" customHeight="false" outlineLevel="0" collapsed="false">
      <c r="A239" s="4" t="n">
        <v>235</v>
      </c>
      <c r="B239" s="4" t="s">
        <v>912</v>
      </c>
      <c r="C239" s="4" t="s">
        <v>1055</v>
      </c>
      <c r="D239" s="5" t="s">
        <v>1056</v>
      </c>
      <c r="E239" s="4" t="n">
        <v>9</v>
      </c>
      <c r="F239" s="4" t="n">
        <v>2</v>
      </c>
      <c r="G239" s="4" t="s">
        <v>1048</v>
      </c>
      <c r="H239" s="4" t="s">
        <v>916</v>
      </c>
      <c r="I239" s="10" t="s">
        <v>182</v>
      </c>
      <c r="J239" s="4" t="s">
        <v>1045</v>
      </c>
      <c r="K239" s="4" t="s">
        <v>918</v>
      </c>
    </row>
    <row r="240" customFormat="false" ht="23.85" hidden="false" customHeight="false" outlineLevel="0" collapsed="false">
      <c r="A240" s="4" t="n">
        <v>236</v>
      </c>
      <c r="B240" s="4" t="s">
        <v>912</v>
      </c>
      <c r="C240" s="4" t="s">
        <v>1057</v>
      </c>
      <c r="D240" s="5" t="s">
        <v>1058</v>
      </c>
      <c r="E240" s="4" t="n">
        <v>5</v>
      </c>
      <c r="F240" s="4" t="n">
        <v>3</v>
      </c>
      <c r="G240" s="4" t="s">
        <v>1048</v>
      </c>
      <c r="H240" s="4" t="s">
        <v>916</v>
      </c>
      <c r="I240" s="10" t="s">
        <v>182</v>
      </c>
      <c r="J240" s="4" t="s">
        <v>1045</v>
      </c>
      <c r="K240" s="4" t="s">
        <v>918</v>
      </c>
    </row>
    <row r="241" customFormat="false" ht="23.85" hidden="false" customHeight="false" outlineLevel="0" collapsed="false">
      <c r="A241" s="4" t="n">
        <v>237</v>
      </c>
      <c r="B241" s="4" t="s">
        <v>912</v>
      </c>
      <c r="C241" s="4" t="s">
        <v>1059</v>
      </c>
      <c r="D241" s="5" t="s">
        <v>1060</v>
      </c>
      <c r="E241" s="4" t="n">
        <v>6</v>
      </c>
      <c r="F241" s="4" t="n">
        <v>2</v>
      </c>
      <c r="G241" s="4" t="s">
        <v>1061</v>
      </c>
      <c r="H241" s="4" t="s">
        <v>916</v>
      </c>
      <c r="I241" s="7" t="s">
        <v>23</v>
      </c>
      <c r="J241" s="4" t="s">
        <v>1045</v>
      </c>
      <c r="K241" s="4" t="s">
        <v>918</v>
      </c>
    </row>
    <row r="242" customFormat="false" ht="23.85" hidden="false" customHeight="false" outlineLevel="0" collapsed="false">
      <c r="A242" s="4" t="n">
        <v>238</v>
      </c>
      <c r="B242" s="4" t="s">
        <v>912</v>
      </c>
      <c r="C242" s="4" t="s">
        <v>1062</v>
      </c>
      <c r="D242" s="5" t="s">
        <v>1063</v>
      </c>
      <c r="E242" s="4" t="n">
        <v>5</v>
      </c>
      <c r="F242" s="4" t="n">
        <v>4</v>
      </c>
      <c r="G242" s="4" t="s">
        <v>1048</v>
      </c>
      <c r="H242" s="4" t="s">
        <v>916</v>
      </c>
      <c r="I242" s="10" t="s">
        <v>182</v>
      </c>
      <c r="J242" s="4" t="s">
        <v>1045</v>
      </c>
      <c r="K242" s="4" t="s">
        <v>918</v>
      </c>
    </row>
    <row r="243" customFormat="false" ht="23.85" hidden="false" customHeight="false" outlineLevel="0" collapsed="false">
      <c r="A243" s="4" t="n">
        <v>239</v>
      </c>
      <c r="B243" s="4" t="s">
        <v>912</v>
      </c>
      <c r="C243" s="4" t="s">
        <v>1064</v>
      </c>
      <c r="D243" s="5" t="s">
        <v>1065</v>
      </c>
      <c r="E243" s="4" t="n">
        <v>4</v>
      </c>
      <c r="F243" s="4" t="n">
        <v>4</v>
      </c>
      <c r="G243" s="4" t="s">
        <v>1066</v>
      </c>
      <c r="H243" s="4" t="s">
        <v>916</v>
      </c>
      <c r="I243" s="7" t="s">
        <v>23</v>
      </c>
      <c r="J243" s="4" t="s">
        <v>1045</v>
      </c>
      <c r="K243" s="4" t="s">
        <v>918</v>
      </c>
    </row>
    <row r="244" customFormat="false" ht="23.85" hidden="false" customHeight="false" outlineLevel="0" collapsed="false">
      <c r="A244" s="4" t="n">
        <v>240</v>
      </c>
      <c r="B244" s="4" t="s">
        <v>912</v>
      </c>
      <c r="C244" s="4" t="s">
        <v>1067</v>
      </c>
      <c r="D244" s="5" t="s">
        <v>1068</v>
      </c>
      <c r="E244" s="4" t="n">
        <v>5</v>
      </c>
      <c r="F244" s="4" t="n">
        <v>3</v>
      </c>
      <c r="G244" s="4" t="s">
        <v>1069</v>
      </c>
      <c r="H244" s="4" t="s">
        <v>916</v>
      </c>
      <c r="I244" s="7" t="s">
        <v>23</v>
      </c>
      <c r="J244" s="4" t="s">
        <v>1045</v>
      </c>
      <c r="K244" s="4" t="s">
        <v>918</v>
      </c>
    </row>
    <row r="245" customFormat="false" ht="23.85" hidden="false" customHeight="false" outlineLevel="0" collapsed="false">
      <c r="A245" s="4" t="n">
        <v>241</v>
      </c>
      <c r="B245" s="4" t="s">
        <v>912</v>
      </c>
      <c r="C245" s="4" t="s">
        <v>1070</v>
      </c>
      <c r="D245" s="5" t="s">
        <v>1071</v>
      </c>
      <c r="E245" s="4" t="n">
        <v>10</v>
      </c>
      <c r="F245" s="4" t="n">
        <v>2</v>
      </c>
      <c r="G245" s="4" t="s">
        <v>1072</v>
      </c>
      <c r="H245" s="4" t="s">
        <v>916</v>
      </c>
      <c r="I245" s="10" t="s">
        <v>182</v>
      </c>
      <c r="J245" s="4" t="s">
        <v>1045</v>
      </c>
      <c r="K245" s="4" t="s">
        <v>918</v>
      </c>
    </row>
    <row r="246" customFormat="false" ht="23.85" hidden="false" customHeight="false" outlineLevel="0" collapsed="false">
      <c r="A246" s="4" t="n">
        <v>242</v>
      </c>
      <c r="B246" s="4" t="s">
        <v>912</v>
      </c>
      <c r="C246" s="4" t="s">
        <v>1073</v>
      </c>
      <c r="D246" s="5" t="s">
        <v>1074</v>
      </c>
      <c r="E246" s="4" t="n">
        <v>4</v>
      </c>
      <c r="F246" s="4" t="n">
        <v>2</v>
      </c>
      <c r="G246" s="4" t="s">
        <v>1075</v>
      </c>
      <c r="H246" s="4" t="s">
        <v>916</v>
      </c>
      <c r="I246" s="10" t="s">
        <v>182</v>
      </c>
      <c r="J246" s="4" t="s">
        <v>1076</v>
      </c>
      <c r="K246" s="4" t="s">
        <v>918</v>
      </c>
    </row>
    <row r="247" customFormat="false" ht="23.85" hidden="false" customHeight="false" outlineLevel="0" collapsed="false">
      <c r="A247" s="4" t="n">
        <v>243</v>
      </c>
      <c r="B247" s="4" t="s">
        <v>912</v>
      </c>
      <c r="C247" s="4" t="s">
        <v>1077</v>
      </c>
      <c r="D247" s="5" t="s">
        <v>1078</v>
      </c>
      <c r="E247" s="4" t="n">
        <v>10</v>
      </c>
      <c r="F247" s="4" t="n">
        <v>2</v>
      </c>
      <c r="G247" s="4" t="s">
        <v>1079</v>
      </c>
      <c r="H247" s="4" t="s">
        <v>916</v>
      </c>
      <c r="I247" s="7" t="s">
        <v>23</v>
      </c>
      <c r="J247" s="4" t="s">
        <v>1076</v>
      </c>
      <c r="K247" s="4" t="s">
        <v>918</v>
      </c>
    </row>
    <row r="248" customFormat="false" ht="23.85" hidden="false" customHeight="false" outlineLevel="0" collapsed="false">
      <c r="A248" s="4" t="n">
        <v>244</v>
      </c>
      <c r="B248" s="4" t="s">
        <v>912</v>
      </c>
      <c r="C248" s="4" t="s">
        <v>1080</v>
      </c>
      <c r="D248" s="5" t="s">
        <v>1081</v>
      </c>
      <c r="E248" s="4" t="n">
        <v>10</v>
      </c>
      <c r="F248" s="4" t="n">
        <v>2</v>
      </c>
      <c r="G248" s="4" t="s">
        <v>1075</v>
      </c>
      <c r="H248" s="4" t="s">
        <v>916</v>
      </c>
      <c r="I248" s="10" t="s">
        <v>182</v>
      </c>
      <c r="J248" s="4" t="s">
        <v>1076</v>
      </c>
      <c r="K248" s="4" t="s">
        <v>918</v>
      </c>
    </row>
    <row r="249" customFormat="false" ht="23.85" hidden="false" customHeight="false" outlineLevel="0" collapsed="false">
      <c r="A249" s="4" t="n">
        <v>245</v>
      </c>
      <c r="B249" s="4" t="s">
        <v>912</v>
      </c>
      <c r="C249" s="4" t="s">
        <v>1082</v>
      </c>
      <c r="D249" s="5" t="s">
        <v>1083</v>
      </c>
      <c r="E249" s="4" t="n">
        <v>12</v>
      </c>
      <c r="F249" s="4" t="n">
        <v>4</v>
      </c>
      <c r="G249" s="4" t="s">
        <v>1084</v>
      </c>
      <c r="H249" s="4" t="s">
        <v>916</v>
      </c>
      <c r="I249" s="8" t="s">
        <v>52</v>
      </c>
      <c r="J249" s="4" t="s">
        <v>1076</v>
      </c>
      <c r="K249" s="4" t="s">
        <v>918</v>
      </c>
    </row>
    <row r="250" customFormat="false" ht="23.85" hidden="false" customHeight="false" outlineLevel="0" collapsed="false">
      <c r="A250" s="4" t="n">
        <v>246</v>
      </c>
      <c r="B250" s="4" t="s">
        <v>912</v>
      </c>
      <c r="C250" s="4" t="s">
        <v>1085</v>
      </c>
      <c r="D250" s="5" t="s">
        <v>1086</v>
      </c>
      <c r="E250" s="4" t="n">
        <v>5</v>
      </c>
      <c r="F250" s="4" t="n">
        <v>3</v>
      </c>
      <c r="G250" s="4" t="s">
        <v>1087</v>
      </c>
      <c r="H250" s="4" t="s">
        <v>916</v>
      </c>
      <c r="I250" s="8" t="s">
        <v>52</v>
      </c>
      <c r="J250" s="4" t="s">
        <v>1076</v>
      </c>
      <c r="K250" s="4" t="s">
        <v>918</v>
      </c>
    </row>
    <row r="251" customFormat="false" ht="23.85" hidden="false" customHeight="false" outlineLevel="0" collapsed="false">
      <c r="A251" s="4" t="n">
        <v>247</v>
      </c>
      <c r="B251" s="4" t="s">
        <v>912</v>
      </c>
      <c r="C251" s="4" t="s">
        <v>1088</v>
      </c>
      <c r="D251" s="5" t="s">
        <v>1089</v>
      </c>
      <c r="E251" s="4" t="n">
        <v>6</v>
      </c>
      <c r="F251" s="4" t="n">
        <v>3</v>
      </c>
      <c r="G251" s="4" t="s">
        <v>1090</v>
      </c>
      <c r="H251" s="4" t="s">
        <v>916</v>
      </c>
      <c r="I251" s="7" t="s">
        <v>23</v>
      </c>
      <c r="J251" s="4" t="s">
        <v>1076</v>
      </c>
      <c r="K251" s="4" t="s">
        <v>918</v>
      </c>
    </row>
    <row r="252" customFormat="false" ht="23.85" hidden="false" customHeight="false" outlineLevel="0" collapsed="false">
      <c r="A252" s="4" t="n">
        <v>248</v>
      </c>
      <c r="B252" s="4" t="s">
        <v>912</v>
      </c>
      <c r="C252" s="4" t="s">
        <v>1091</v>
      </c>
      <c r="D252" s="5" t="s">
        <v>1092</v>
      </c>
      <c r="E252" s="4" t="n">
        <v>5</v>
      </c>
      <c r="F252" s="4" t="n">
        <v>2</v>
      </c>
      <c r="G252" s="4" t="s">
        <v>1093</v>
      </c>
      <c r="H252" s="4" t="s">
        <v>916</v>
      </c>
      <c r="I252" s="7" t="s">
        <v>23</v>
      </c>
      <c r="J252" s="4" t="s">
        <v>1076</v>
      </c>
      <c r="K252" s="4" t="s">
        <v>918</v>
      </c>
    </row>
    <row r="253" customFormat="false" ht="23.85" hidden="false" customHeight="false" outlineLevel="0" collapsed="false">
      <c r="A253" s="4" t="n">
        <v>249</v>
      </c>
      <c r="B253" s="4" t="s">
        <v>912</v>
      </c>
      <c r="C253" s="4" t="s">
        <v>1094</v>
      </c>
      <c r="D253" s="5" t="s">
        <v>1095</v>
      </c>
      <c r="E253" s="4" t="n">
        <v>5</v>
      </c>
      <c r="F253" s="4" t="n">
        <v>2</v>
      </c>
      <c r="G253" s="4" t="s">
        <v>1096</v>
      </c>
      <c r="H253" s="4" t="s">
        <v>916</v>
      </c>
      <c r="I253" s="7" t="s">
        <v>23</v>
      </c>
      <c r="J253" s="4" t="s">
        <v>1076</v>
      </c>
      <c r="K253" s="4" t="s">
        <v>918</v>
      </c>
    </row>
    <row r="254" customFormat="false" ht="23.85" hidden="false" customHeight="false" outlineLevel="0" collapsed="false">
      <c r="A254" s="4" t="n">
        <v>250</v>
      </c>
      <c r="B254" s="4" t="s">
        <v>912</v>
      </c>
      <c r="C254" s="4" t="s">
        <v>1097</v>
      </c>
      <c r="D254" s="5" t="s">
        <v>1098</v>
      </c>
      <c r="E254" s="4" t="n">
        <v>15</v>
      </c>
      <c r="F254" s="4" t="n">
        <v>9</v>
      </c>
      <c r="G254" s="4" t="s">
        <v>1099</v>
      </c>
      <c r="H254" s="4" t="s">
        <v>916</v>
      </c>
      <c r="I254" s="7" t="s">
        <v>23</v>
      </c>
      <c r="J254" s="4" t="s">
        <v>1100</v>
      </c>
      <c r="K254" s="4" t="s">
        <v>918</v>
      </c>
    </row>
    <row r="255" customFormat="false" ht="23.85" hidden="false" customHeight="false" outlineLevel="0" collapsed="false">
      <c r="A255" s="4" t="n">
        <v>251</v>
      </c>
      <c r="B255" s="4" t="s">
        <v>912</v>
      </c>
      <c r="C255" s="4" t="s">
        <v>1101</v>
      </c>
      <c r="D255" s="5" t="s">
        <v>1102</v>
      </c>
      <c r="E255" s="4" t="n">
        <v>12</v>
      </c>
      <c r="F255" s="4" t="n">
        <v>10</v>
      </c>
      <c r="G255" s="4" t="s">
        <v>1103</v>
      </c>
      <c r="H255" s="4" t="s">
        <v>916</v>
      </c>
      <c r="I255" s="8" t="s">
        <v>52</v>
      </c>
      <c r="J255" s="4" t="s">
        <v>1100</v>
      </c>
      <c r="K255" s="4" t="s">
        <v>918</v>
      </c>
    </row>
    <row r="256" customFormat="false" ht="23.85" hidden="false" customHeight="false" outlineLevel="0" collapsed="false">
      <c r="A256" s="4" t="n">
        <v>252</v>
      </c>
      <c r="B256" s="4" t="s">
        <v>912</v>
      </c>
      <c r="C256" s="4" t="s">
        <v>1104</v>
      </c>
      <c r="D256" s="5" t="s">
        <v>1105</v>
      </c>
      <c r="E256" s="4" t="n">
        <v>13</v>
      </c>
      <c r="F256" s="4" t="n">
        <v>4</v>
      </c>
      <c r="G256" s="4" t="s">
        <v>1106</v>
      </c>
      <c r="H256" s="4" t="s">
        <v>916</v>
      </c>
      <c r="I256" s="7" t="s">
        <v>23</v>
      </c>
      <c r="J256" s="4" t="s">
        <v>1100</v>
      </c>
      <c r="K256" s="4" t="s">
        <v>918</v>
      </c>
    </row>
    <row r="257" customFormat="false" ht="23.85" hidden="false" customHeight="false" outlineLevel="0" collapsed="false">
      <c r="A257" s="4" t="n">
        <v>253</v>
      </c>
      <c r="B257" s="4" t="s">
        <v>912</v>
      </c>
      <c r="C257" s="4" t="s">
        <v>1107</v>
      </c>
      <c r="D257" s="5" t="s">
        <v>1108</v>
      </c>
      <c r="E257" s="4" t="n">
        <v>8</v>
      </c>
      <c r="F257" s="4" t="n">
        <v>2</v>
      </c>
      <c r="G257" s="4" t="s">
        <v>1109</v>
      </c>
      <c r="H257" s="4" t="s">
        <v>916</v>
      </c>
      <c r="I257" s="7" t="s">
        <v>23</v>
      </c>
      <c r="J257" s="4" t="s">
        <v>1100</v>
      </c>
      <c r="K257" s="4" t="s">
        <v>918</v>
      </c>
    </row>
    <row r="258" customFormat="false" ht="23.85" hidden="false" customHeight="false" outlineLevel="0" collapsed="false">
      <c r="A258" s="4" t="n">
        <v>254</v>
      </c>
      <c r="B258" s="4" t="s">
        <v>912</v>
      </c>
      <c r="C258" s="4" t="s">
        <v>1110</v>
      </c>
      <c r="D258" s="5" t="s">
        <v>1111</v>
      </c>
      <c r="E258" s="4" t="n">
        <v>6</v>
      </c>
      <c r="F258" s="4" t="n">
        <v>2</v>
      </c>
      <c r="G258" s="4" t="s">
        <v>1112</v>
      </c>
      <c r="H258" s="4" t="s">
        <v>916</v>
      </c>
      <c r="I258" s="7" t="s">
        <v>23</v>
      </c>
      <c r="J258" s="4" t="s">
        <v>1100</v>
      </c>
      <c r="K258" s="4" t="s">
        <v>918</v>
      </c>
    </row>
    <row r="259" customFormat="false" ht="23.85" hidden="false" customHeight="false" outlineLevel="0" collapsed="false">
      <c r="A259" s="4" t="n">
        <v>255</v>
      </c>
      <c r="B259" s="4" t="s">
        <v>1113</v>
      </c>
      <c r="C259" s="4" t="s">
        <v>1114</v>
      </c>
      <c r="D259" s="5" t="s">
        <v>1115</v>
      </c>
      <c r="E259" s="4" t="n">
        <v>13</v>
      </c>
      <c r="F259" s="4" t="n">
        <v>4</v>
      </c>
      <c r="G259" s="4" t="s">
        <v>1116</v>
      </c>
      <c r="H259" s="4" t="s">
        <v>1117</v>
      </c>
      <c r="I259" s="6" t="s">
        <v>18</v>
      </c>
      <c r="J259" s="4" t="s">
        <v>1118</v>
      </c>
      <c r="K259" s="4" t="s">
        <v>1119</v>
      </c>
    </row>
    <row r="260" customFormat="false" ht="23.85" hidden="false" customHeight="false" outlineLevel="0" collapsed="false">
      <c r="A260" s="4" t="n">
        <v>256</v>
      </c>
      <c r="B260" s="4" t="s">
        <v>1113</v>
      </c>
      <c r="C260" s="4" t="s">
        <v>1120</v>
      </c>
      <c r="D260" s="5" t="s">
        <v>1121</v>
      </c>
      <c r="E260" s="4" t="n">
        <v>6</v>
      </c>
      <c r="F260" s="4" t="n">
        <v>12</v>
      </c>
      <c r="G260" s="4" t="s">
        <v>1116</v>
      </c>
      <c r="H260" s="4" t="s">
        <v>1117</v>
      </c>
      <c r="I260" s="6" t="s">
        <v>18</v>
      </c>
      <c r="J260" s="4" t="s">
        <v>1122</v>
      </c>
      <c r="K260" s="4" t="s">
        <v>1123</v>
      </c>
    </row>
    <row r="261" customFormat="false" ht="23.85" hidden="false" customHeight="false" outlineLevel="0" collapsed="false">
      <c r="A261" s="4" t="n">
        <v>257</v>
      </c>
      <c r="B261" s="4" t="s">
        <v>1113</v>
      </c>
      <c r="C261" s="4" t="s">
        <v>1124</v>
      </c>
      <c r="D261" s="5" t="s">
        <v>1125</v>
      </c>
      <c r="E261" s="4" t="n">
        <v>3</v>
      </c>
      <c r="F261" s="4" t="n">
        <v>9</v>
      </c>
      <c r="G261" s="4" t="s">
        <v>1126</v>
      </c>
      <c r="H261" s="4" t="s">
        <v>1117</v>
      </c>
      <c r="I261" s="6" t="s">
        <v>18</v>
      </c>
      <c r="J261" s="4" t="s">
        <v>1122</v>
      </c>
      <c r="K261" s="4" t="s">
        <v>1123</v>
      </c>
    </row>
    <row r="262" customFormat="false" ht="23.85" hidden="false" customHeight="false" outlineLevel="0" collapsed="false">
      <c r="A262" s="4" t="n">
        <v>258</v>
      </c>
      <c r="B262" s="4" t="s">
        <v>1113</v>
      </c>
      <c r="C262" s="4" t="s">
        <v>1127</v>
      </c>
      <c r="D262" s="5" t="s">
        <v>1128</v>
      </c>
      <c r="E262" s="4" t="n">
        <v>6</v>
      </c>
      <c r="F262" s="4" t="n">
        <v>5</v>
      </c>
      <c r="G262" s="4" t="s">
        <v>1106</v>
      </c>
      <c r="H262" s="4" t="s">
        <v>1117</v>
      </c>
      <c r="I262" s="7" t="s">
        <v>23</v>
      </c>
      <c r="J262" s="4" t="s">
        <v>1129</v>
      </c>
      <c r="K262" s="4" t="s">
        <v>1130</v>
      </c>
    </row>
    <row r="263" customFormat="false" ht="23.85" hidden="false" customHeight="false" outlineLevel="0" collapsed="false">
      <c r="A263" s="4" t="n">
        <v>259</v>
      </c>
      <c r="B263" s="4" t="s">
        <v>1131</v>
      </c>
      <c r="C263" s="4" t="s">
        <v>1132</v>
      </c>
      <c r="D263" s="5" t="s">
        <v>1133</v>
      </c>
      <c r="E263" s="4" t="n">
        <v>42</v>
      </c>
      <c r="F263" s="4" t="n">
        <v>3</v>
      </c>
      <c r="G263" s="4" t="s">
        <v>1134</v>
      </c>
      <c r="H263" s="4" t="s">
        <v>1135</v>
      </c>
      <c r="I263" s="6" t="s">
        <v>18</v>
      </c>
      <c r="J263" s="4" t="s">
        <v>1136</v>
      </c>
      <c r="K263" s="4" t="s">
        <v>1137</v>
      </c>
    </row>
    <row r="265" customFormat="false" ht="15" hidden="false" customHeight="false" outlineLevel="0" collapsed="false">
      <c r="A265" s="12" t="s">
        <v>1138</v>
      </c>
    </row>
    <row r="266" customFormat="false" ht="15" hidden="false" customHeight="false" outlineLevel="0" collapsed="false">
      <c r="B266" s="13" t="s">
        <v>13</v>
      </c>
      <c r="C266" s="13" t="n">
        <f aca="false">COUNTIF($B$5:$B$263,B266)</f>
        <v>7</v>
      </c>
    </row>
    <row r="267" customFormat="false" ht="15" hidden="false" customHeight="false" outlineLevel="0" collapsed="false">
      <c r="B267" s="13" t="s">
        <v>47</v>
      </c>
      <c r="C267" s="13" t="n">
        <f aca="false">COUNTIF($B$5:$B$263,B267)</f>
        <v>9</v>
      </c>
    </row>
    <row r="268" customFormat="false" ht="15" hidden="false" customHeight="false" outlineLevel="0" collapsed="false">
      <c r="B268" s="13" t="s">
        <v>95</v>
      </c>
      <c r="C268" s="13" t="n">
        <f aca="false">COUNTIF($B$5:$B$263,B268)</f>
        <v>15</v>
      </c>
    </row>
    <row r="269" customFormat="false" ht="15" hidden="false" customHeight="false" outlineLevel="0" collapsed="false">
      <c r="B269" s="13" t="s">
        <v>172</v>
      </c>
      <c r="C269" s="13" t="n">
        <f aca="false">COUNTIF($B$5:$B$263,B269)</f>
        <v>8</v>
      </c>
    </row>
    <row r="270" customFormat="false" ht="15" hidden="false" customHeight="false" outlineLevel="0" collapsed="false">
      <c r="B270" s="13" t="s">
        <v>215</v>
      </c>
      <c r="C270" s="13" t="n">
        <f aca="false">COUNTIF($B$5:$B$263,B270)</f>
        <v>8</v>
      </c>
    </row>
    <row r="271" customFormat="false" ht="15" hidden="false" customHeight="false" outlineLevel="0" collapsed="false">
      <c r="B271" s="13" t="s">
        <v>257</v>
      </c>
      <c r="C271" s="13" t="n">
        <f aca="false">COUNTIF($B$5:$B$263,B271)</f>
        <v>22</v>
      </c>
    </row>
    <row r="272" customFormat="false" ht="15" hidden="false" customHeight="false" outlineLevel="0" collapsed="false">
      <c r="B272" s="13" t="s">
        <v>369</v>
      </c>
      <c r="C272" s="13" t="n">
        <f aca="false">COUNTIF($B$5:$B$263,B272)</f>
        <v>24</v>
      </c>
    </row>
    <row r="273" customFormat="false" ht="15" hidden="false" customHeight="false" outlineLevel="0" collapsed="false">
      <c r="B273" s="13" t="s">
        <v>482</v>
      </c>
      <c r="C273" s="13" t="n">
        <f aca="false">COUNTIF($B$5:$B$263,B273)</f>
        <v>12</v>
      </c>
    </row>
    <row r="274" customFormat="false" ht="15" hidden="false" customHeight="false" outlineLevel="0" collapsed="false">
      <c r="B274" s="13" t="s">
        <v>544</v>
      </c>
      <c r="C274" s="13" t="n">
        <f aca="false">COUNTIF($B$5:$B$263,B274)</f>
        <v>4</v>
      </c>
    </row>
    <row r="275" customFormat="false" ht="15" hidden="false" customHeight="false" outlineLevel="0" collapsed="false">
      <c r="B275" s="13" t="s">
        <v>566</v>
      </c>
      <c r="C275" s="13" t="n">
        <f aca="false">COUNTIF($B$5:$B$263,B275)</f>
        <v>22</v>
      </c>
    </row>
    <row r="276" customFormat="false" ht="15" hidden="false" customHeight="false" outlineLevel="0" collapsed="false">
      <c r="B276" s="13" t="s">
        <v>648</v>
      </c>
      <c r="C276" s="13" t="n">
        <f aca="false">COUNTIF($B$5:$B$263,B276)</f>
        <v>28</v>
      </c>
    </row>
    <row r="277" customFormat="false" ht="15" hidden="false" customHeight="false" outlineLevel="0" collapsed="false">
      <c r="B277" s="13" t="s">
        <v>777</v>
      </c>
      <c r="C277" s="13" t="n">
        <f aca="false">COUNTIF($B$5:$B$263,B277)</f>
        <v>28</v>
      </c>
    </row>
    <row r="278" customFormat="false" ht="15" hidden="false" customHeight="false" outlineLevel="0" collapsed="false">
      <c r="B278" s="13" t="s">
        <v>912</v>
      </c>
      <c r="C278" s="13" t="n">
        <f aca="false">COUNTIF($B$5:$B$263,B278)</f>
        <v>67</v>
      </c>
    </row>
    <row r="279" customFormat="false" ht="15" hidden="false" customHeight="false" outlineLevel="0" collapsed="false">
      <c r="B279" s="13" t="s">
        <v>1113</v>
      </c>
      <c r="C279" s="13" t="n">
        <f aca="false">COUNTIF($B$5:$B$263,B279)</f>
        <v>4</v>
      </c>
    </row>
    <row r="280" customFormat="false" ht="15" hidden="false" customHeight="false" outlineLevel="0" collapsed="false">
      <c r="B280" s="13" t="s">
        <v>1131</v>
      </c>
      <c r="C280" s="13" t="n">
        <f aca="false">COUNTIF($B$5:$B$263,B280)</f>
        <v>1</v>
      </c>
    </row>
    <row r="281" customFormat="false" ht="15" hidden="false" customHeight="false" outlineLevel="0" collapsed="false">
      <c r="B281" s="12" t="s">
        <v>1139</v>
      </c>
      <c r="C281" s="12" t="n">
        <f aca="false">SUM(C266:C280)</f>
        <v>259</v>
      </c>
    </row>
  </sheetData>
  <autoFilter ref="A4:K263"/>
  <mergeCells count="1">
    <mergeCell ref="A2:K2"/>
  </mergeCells>
  <hyperlinks>
    <hyperlink ref="D5" r:id="rId1" location="'R1'!A4" display="Data-centre types by ownership and business model"/>
    <hyperlink ref="D6" r:id="rId2" location="'R1'!A18" display="Uptime Tiers: redundancy, availability and downtime"/>
    <hyperlink ref="D7" r:id="rId3" location="'R1'!A30" display="Cooling approaches: density, efficiency and water"/>
    <hyperlink ref="D8" r:id="rId4" location="'R1'!A43" display="Global market share and installed capacity by type (2024–2026)"/>
    <hyperlink ref="D9" r:id="rId5" location="'R1'!A62" display="India vs global capacity"/>
    <hyperlink ref="D10" r:id="rId6" location="'R1'!A78" display="Key Indian hubs (Cushman &amp; Wakefield, H1 2026)"/>
    <hyperlink ref="D11" r:id="rId7" location="'R1'!A95" display="State policies: key terms"/>
    <hyperlink ref="D12" r:id="rId8" location="'R2'!A4" display="Electricity split by subsystem and facility class"/>
    <hyperlink ref="D13" r:id="rId9" location="'R2'!A17" display="Server power split: conventional CPU vs AI accelerated"/>
    <hyperlink ref="D14" r:id="rId10" location="'R2'!A31" display="Efficiency metrics: PUE, WUE, CUE and ERE"/>
    <hyperlink ref="D15" r:id="rId11" location="'R2'!A43" display="Water per AI query: a contested range"/>
    <hyperlink ref="D16" r:id="rId12" location="'R2'!A56" display="US data-centre electricity (LBNL 2024)"/>
    <hyperlink ref="D17" r:id="rId13" location="'R2'!A69" display="Energy per workload"/>
    <hyperlink ref="D18" r:id="rId14" location="'R2'!A83" display="Master comparison: AI vs conventional data centres"/>
    <hyperlink ref="D19" r:id="rId15" location="'R2'!A106" display="Compute hardware and power"/>
    <hyperlink ref="D20" r:id="rId16" location="'R2'!A122" display="Training vs inference data centres"/>
    <hyperlink ref="D21" r:id="rId17" location="'R3'!A4" display="Accelerator power trend per GPU"/>
    <hyperlink ref="D22" r:id="rId18" location="'R3'!A19" display="Heat transfer properties of cooling fluids"/>
    <hyperlink ref="D23" r:id="rId19" location="'R3'!A33" display="ASHRAE air-cooled classes (IT inlet air)"/>
    <hyperlink ref="D24" r:id="rId20" location="'R3'!A47" display="ASHRAE liquid-cooling W classes"/>
    <hyperlink ref="D25" r:id="rId21" location="'R3'!A62" display="Key cooling metrics"/>
    <hyperlink ref="D26" r:id="rId22" location="'R3'!A78" display="Chiller types"/>
    <hyperlink ref="D27" r:id="rId23" location="'R3'!A92" display="Liquid cooling comparison"/>
    <hyperlink ref="D28" r:id="rId24" location="'R3'!A110" display="Natural and alternative cooling"/>
    <hyperlink ref="D29" r:id="rId25" location="'R3'!A124" display="Liquid-cooling market size and forecasts"/>
    <hyperlink ref="D30" r:id="rId26" location="'R3'!A138" display="Cooling vendor landscape and consolidation"/>
    <hyperlink ref="D31" r:id="rId27" location="'R3'!A154" display="Water–energy trade-off by heat-rejection type"/>
    <hyperlink ref="D32" r:id="rId28" location="'R3'!A170" display="Cooling capex by approach (indicative)"/>
    <hyperlink ref="D33" r:id="rId29" location="'R3'!A183" display="Indian city climates and free-cooling outlook"/>
    <hyperlink ref="D34" r:id="rId30" location="'R3'!A198" display="Indian operators: liquid-cooling deployments"/>
    <hyperlink ref="D35" r:id="rId31" location="'R3'!A213" display="Recommended cooling for India by use case"/>
    <hyperlink ref="D36" r:id="rId32" location="'R4'!A4" display="Assumptions for the three Bengaluru cases"/>
    <hyperlink ref="D37" r:id="rId33" location="'R4'!A20" display="Power calculations by case"/>
    <hyperlink ref="D38" r:id="rId34" location="'R4'!A43" display="On-site water by case"/>
    <hyperlink ref="D39" r:id="rId35" location="'R4'!A58" display="Indirect water embedded in grid electricity"/>
    <hyperlink ref="D40" r:id="rId36" location="'R4'!A70" display="Comparison with other Bengaluru and Karnataka water users"/>
    <hyperlink ref="D41" r:id="rId37" location="'R4'!A96" display="Where Bengaluru data centres get water today"/>
    <hyperlink ref="D42" r:id="rId38" location="'R4'!A109" display="Scenarios: added IT capacity vs water (75% utilisation)"/>
    <hyperlink ref="D43" r:id="rId39" location="'R4'!A122" display="Phased roadmap for Karnataka"/>
    <hyperlink ref="D44" r:id="rId40" location="'R5'!A4" display="Lifecycle carbon intensity by technology"/>
    <hyperlink ref="D45" r:id="rId41" location="'R5'!A22" display="Water withdrawal vs consumption by generation source"/>
    <hyperlink ref="D46" r:id="rId42" location="'R5'!A43" display="Country grid carbon intensity"/>
    <hyperlink ref="D47" r:id="rId43" location="'R5'!A59" display="India emission-factor types: average vs marginal"/>
    <hyperlink ref="D48" r:id="rId44" location="'R5'!A72" display="Hyperscaler Scope 2: location-based vs market-based"/>
    <hyperlink ref="D49" r:id="rId45" location="'R5'!A83" display="Grid-average water intensity"/>
    <hyperlink ref="D50" r:id="rId46" location="'R5'!A97" display="Worked matrix: carbon and water per TWh by scenario"/>
    <hyperlink ref="D51" r:id="rId47" location="'R5'!A118" display="Five-factor scorecard"/>
    <hyperlink ref="D52" r:id="rId48" location="'R6'!A4" display="Withdrawal vs consumption: definitions by framework"/>
    <hyperlink ref="D53" r:id="rId49" location="'R6'!A16" display="Cooling water by system"/>
    <hyperlink ref="D54" r:id="rId50" location="'R6'!A30" display="Non-cooling water uses (50 MW campus)"/>
    <hyperlink ref="D55" r:id="rId51" location="'R6'!A46" display="Freshwater vs recycled water sources (Bengaluru)"/>
    <hyperlink ref="D56" r:id="rId52" location="'R6'!A59" display="Daily and annual water demand by capacity and cooling"/>
    <hyperlink ref="D57" r:id="rId53" location="'R6'!A72" display="Water balance: 50 MW evaporative facility at different CoC"/>
    <hyperlink ref="D58" r:id="rId54" location="'R6'!A93" display="Water balance: 100 MW AI facility (DLC + adiabatic)"/>
    <hyperlink ref="D59" r:id="rId55" location="'R6'!A111" display="Water measurement and accounting standards"/>
    <hyperlink ref="D60" r:id="rId56" location="'R6'!A128" display="Water per MW of IT capacity"/>
    <hyperlink ref="D61" r:id="rId57" location="'R6'!A142" display="Water per GPU-hour"/>
    <hyperlink ref="D62" r:id="rId58" location="'R6'!A154" display="Water per inference and training"/>
    <hyperlink ref="D63" r:id="rId59" location="'R6'!A168" display="Which water metric for which audience"/>
    <hyperlink ref="D64" r:id="rId60" location="'R6'!A181" display="Bengaluru scenarios compared (S1–S4)"/>
    <hyperlink ref="D65" r:id="rId61" location="'R6'!A199" display="Bengaluru sector water-use estimates"/>
    <hyperlink ref="D66" r:id="rId62" location="'R6'!A213" display="Equivalence metrics (S2, 50 MW evaporative)"/>
    <hyperlink ref="D67" r:id="rId63" location="'R6'!A229" display="Water-stress frameworks"/>
    <hyperlink ref="D68" r:id="rId64" location="'R6'!A242" display="Proposed materiality thresholds"/>
    <hyperlink ref="D69" r:id="rId65" location="'R6'!A255" display="Scarcity-weighted footprint by scenario (50 MW)"/>
    <hyperlink ref="D70" r:id="rId66" location="'R6'!A270" display="Water impact scorecard"/>
    <hyperlink ref="D71" r:id="rId67" location="'R6'!A286" display="Hyperscaler water reporting: practices and gaps"/>
    <hyperlink ref="D72" r:id="rId68" location="'R6'!A298" display="Minimum water disclosure framework"/>
    <hyperlink ref="D73" r:id="rId69" location="'R6'!A314" display="Suggested water thresholds"/>
    <hyperlink ref="D74" r:id="rId70" location="'R7'!A4" display="Construction cost index by market (Turner &amp; Townsend)"/>
    <hyperlink ref="D75" r:id="rId71" location="'R7'!A25" display="Land prices in Indian data-centre hubs"/>
    <hyperlink ref="D76" r:id="rId72" location="'R7'!A42" display="Servers, storage and GPU prices"/>
    <hyperlink ref="D77" r:id="rId73" location="'R7'!A58" display="Soft costs, interest during construction and contingency"/>
    <hyperlink ref="D78" r:id="rId74" location="'R7'!A69" display="Capex breakdown: 20 MW Tier III colocation"/>
    <hyperlink ref="D79" r:id="rId75" location="'R7'!A91" display="Capex breakdown: 50 MW hyperscale build-to-suit"/>
    <hyperlink ref="D80" r:id="rId76" location="'R7'!A113" display="Capex breakdown: 100 MW AI campus incl. GPUs"/>
    <hyperlink ref="D81" r:id="rId77" location="'R7'!A136" display="State HT/EHT tariffs for data centres (FY2025–26)"/>
    <hyperlink ref="D82" r:id="rId78" location="'R7'!A150" display="Annual electricity cost by tariff and case"/>
    <hyperlink ref="D83" r:id="rId79" location="'R7'!A164" display="Water bill by case"/>
    <hyperlink ref="D84" r:id="rId80" location="'R7'!A176" display="Indian salary markers"/>
    <hyperlink ref="D85" r:id="rId81" location="'R7'!A189" display="Opex: Case A, 20 MW colocation"/>
    <hyperlink ref="D86" r:id="rId82" location="'R7'!A210" display="Opex: Case B, 50 MW hyperscale"/>
    <hyperlink ref="D87" r:id="rId83" location="'R7'!A231" display="Opex: Case C, 100 MW AI campus"/>
    <hyperlink ref="D88" r:id="rId84" location="'R7'!A252" display="Colocation pricing in India"/>
    <hyperlink ref="D89" r:id="rId85" location="'R7'!A267" display="Per-MW economics by case"/>
    <hyperlink ref="D90" r:id="rId86" location="'R7'!A286" display="Valuations (EV/MW and EV/EBITDA)"/>
    <hyperlink ref="D91" r:id="rId87" location="'R7'!A298" display="Cost per rack by density"/>
    <hyperlink ref="D92" r:id="rId88" location="'R7'!A311" display="Levelised cost of data-centre capacity (LCOD)"/>
    <hyperlink ref="D93" r:id="rId89" location="'R7'!A324" display="Cost per GPU-hour by utilisation"/>
    <hyperlink ref="D94" r:id="rId90" location="'R7'!A337" display="GPU-hour market prices and break-even utilisation"/>
    <hyperlink ref="D95" r:id="rId91" location="'R7'!A355" display="Sensitivity analysis"/>
    <hyperlink ref="D96" r:id="rId92" location="'R7'!A370" display="India vs US vs Singapore"/>
    <hyperlink ref="D97" r:id="rId93" location="'R7'!A386" display="Colocation vs hyperscale vs AI neocloud"/>
    <hyperlink ref="D98" r:id="rId94" location="'R8'!A4" display="Twelve dimensions of a green data centre"/>
    <hyperlink ref="D99" r:id="rId95" location="'R8'!A24" display="Green vs greenwashing: a quick test"/>
    <hyperlink ref="D100" r:id="rId96" location="'R8'!A37" display="Core green metrics and formulas"/>
    <hyperlink ref="D101" r:id="rId97" location="'R8'!A54" display="Certifications compared"/>
    <hyperlink ref="D102" r:id="rId98" location="'R8'!A70" display="Indian standards and policy instruments"/>
    <hyperlink ref="D103" r:id="rId99" location="'R8'!A87" display="Design levers with quantified savings"/>
    <hyperlink ref="D104" r:id="rId100" location="'R8'!A113" display="Renewable procurement options in India"/>
    <hyperlink ref="D105" r:id="rId101" location="'R8'!A131" display="Indian operator green snapshot"/>
    <hyperlink ref="D106" r:id="rId102" location="'R8'!A147" display="Global benchmarks: Google, Microsoft and others"/>
    <hyperlink ref="D107" r:id="rId103" location="'R8'!A158" display="Green upgrade worked example: assumptions"/>
    <hyperlink ref="D108" r:id="rId104" location="'R8'!A178" display="Marginal abatement cost by package"/>
    <hyperlink ref="D109" r:id="rId105" location="'R8'!A191" display="Green data-centre maturity model (India-calibrated)"/>
    <hyperlink ref="D110" r:id="rId106" location="'R9'!A4" display="Central framework instruments"/>
    <hyperlink ref="D111" r:id="rId107" location="'R9'!A24" display="Telangana named projects"/>
    <hyperlink ref="D112" r:id="rId108" location="'R9'!A38" display="Master comparison of state policies"/>
    <hyperlink ref="D113" r:id="rId109" location="'R9'!A59" display="State attractiveness index"/>
    <hyperlink ref="D114" r:id="rId110" location="'R10'!A4" display="Market context: capacity by city, H1 2026"/>
    <hyperlink ref="D115" r:id="rId111" location="'R10'!A20" display="Effective tariff by state at 80% load factor"/>
    <hyperlink ref="D116" r:id="rId112" location="'R10'!A38" display="Factor weights by use case"/>
    <hyperlink ref="D117" r:id="rId113" location="'R10'!A56" display="Inter-hub distances and latency"/>
    <hyperlink ref="D118" r:id="rId114" location="'R10'!A71" display="Latency table: great-circle km to four hubs and mean RTT"/>
    <hyperlink ref="D119" r:id="rId115" location="'R10'!A116" display="State shortlist: Maharashtra"/>
    <hyperlink ref="D120" r:id="rId116" location="'R10'!A129" display="State shortlist: Tamil Nadu"/>
    <hyperlink ref="D121" r:id="rId117" location="'R10'!A142" display="State shortlist: Karnataka"/>
    <hyperlink ref="D122" r:id="rId118" location="'R10'!A155" display="State shortlist: Telangana"/>
    <hyperlink ref="D123" r:id="rId119" location="'R10'!A167" display="State shortlist: Andhra Pradesh"/>
    <hyperlink ref="D124" r:id="rId120" location="'R10'!A180" display="State shortlist: Uttar Pradesh"/>
    <hyperlink ref="D125" r:id="rId121" location="'R10'!A194" display="State shortlist: Haryana"/>
    <hyperlink ref="D126" r:id="rId122" location="'R10'!A205" display="State shortlist: Delhi"/>
    <hyperlink ref="D127" r:id="rId123" location="'R10'!A215" display="State shortlist: Gujarat"/>
    <hyperlink ref="D128" r:id="rId124" location="'R10'!A228" display="State shortlist: West Bengal"/>
    <hyperlink ref="D129" r:id="rId125" location="'R10'!A240" display="State shortlist: Kerala"/>
    <hyperlink ref="D130" r:id="rId126" location="'R10'!A251" display="State shortlist: Odisha"/>
    <hyperlink ref="D131" r:id="rId127" location="'R10'!A262" display="State shortlist: Rajasthan"/>
    <hyperlink ref="D132" r:id="rId128" location="'R10'!A273" display="State shortlist: Madhya Pradesh"/>
    <hyperlink ref="D133" r:id="rId129" location="'R10'!A284" display="Secondary states shortlist"/>
    <hyperlink ref="D134" r:id="rId130" location="'R10'!A300" display="National master table (default weights)"/>
    <hyperlink ref="D135" r:id="rId131" location="'R10'!A358" display="Alternate weightings and rank stability"/>
    <hyperlink ref="D136" r:id="rId132" location="'R11'!A4" display="Historical capacity series"/>
    <hyperlink ref="D137" r:id="rId133" location="'R11'!A22" display="CAGR model: forward scenarios from 1,611 MW"/>
    <hyperlink ref="D138" r:id="rId134" location="'R11'!A34" display="Logistic model parameters"/>
    <hyperlink ref="D139" r:id="rId135" location="'R11'!A46" display="Logistic model output (MW)"/>
    <hyperlink ref="D140" r:id="rId136" location="'R11'!A65" display="Forecast conversion evidence (backtest)"/>
    <hyperlink ref="D141" r:id="rId137" location="'R11'!A80" display="Pipeline conversion parameters"/>
    <hyperlink ref="D142" r:id="rId138" location="'R11'!A92" display="Pipeline-conversion path to 2030 (MW)"/>
    <hyperlink ref="D143" r:id="rId139" location="'R11'!A104" display="Integrated capacity path 2026–2035 (MW IT)"/>
    <hyperlink ref="D144" r:id="rId140" location="'R11'!A116" display="Published forecasts compared"/>
    <hyperlink ref="D145" r:id="rId141" location="'R11'!A138" display="Electricity, base case: MW, utilisation, PUE, TWh and share"/>
    <hyperlink ref="D146" r:id="rId142" location="'R11'!A157" display="Electricity scenarios"/>
    <hyperlink ref="D147" r:id="rId143" location="'R11'!A169" display="State-level electricity shares, base case"/>
    <hyperlink ref="D148" r:id="rId144" location="'R11'!A184" display="Grid emission factor history (CEA)"/>
    <hyperlink ref="D149" r:id="rId145" location="'R11'!A198" display="Emission-factor paths"/>
    <hyperlink ref="D150" r:id="rId146" location="'R11'!A210" display="Emissions, base case"/>
    <hyperlink ref="D151" r:id="rId147" location="'R11'!A229" display="Build-cost data points"/>
    <hyperlink ref="D152" r:id="rId148" location="'R11'!A246" display="Build-cost path (₹ crore/MW)"/>
    <hyperlink ref="D153" r:id="rId149" location="'R11'!A258" display="Cumulative facility capex, base case"/>
    <hyperlink ref="D154" r:id="rId150" location="'R11'!A277" display="India H100 commercial rates"/>
    <hyperlink ref="D155" r:id="rId151" location="'R11'!A290" display="GPU-hour price path (₹)"/>
    <hyperlink ref="D156" r:id="rId152" location="'R11'!A303" display="Dry/liquid share, WUE mix and national water"/>
    <hyperlink ref="D157" r:id="rId153" location="'R11'!A322" display="City water demand and supply"/>
    <hyperlink ref="D158" r:id="rId154" location="'R11'!A339" display="Pipeline shares by city"/>
    <hyperlink ref="D159" r:id="rId155" location="'R11'!A355" display="Illustrative city scores for allocation"/>
    <hyperlink ref="D160" r:id="rId156" location="'R11'!A372" display="City capacity forecast"/>
    <hyperlink ref="D161" r:id="rId157" location="'R11'!A391" display="Driver-based 2030 forecasts"/>
    <hyperlink ref="D162" r:id="rId158" location="'R11'!A404" display="Integrated base-case table 2026–2035"/>
    <hyperlink ref="D163" r:id="rId159" location="'R11'!A422" display="Calculator parameters and Monte Carlo distributions"/>
    <hyperlink ref="D164" r:id="rId160" location="'R12'!A4" display="Water definitions and metrics"/>
    <hyperlink ref="D165" r:id="rId161" location="'R12'!A21" display="Cooling-tower water components and physics"/>
    <hyperlink ref="D166" r:id="rId162" location="'R12'!A44" display="Published WUE and water values"/>
    <hyperlink ref="D167" r:id="rId163" location="'R12'!A72" display="Water per AI query"/>
    <hyperlink ref="D168" r:id="rId164" location="'R12'!A85" display="Water intensity of electricity generation"/>
    <hyperlink ref="D169" r:id="rId165" location="'R12'!A106" display="Indian grid-average water intensity, FY25"/>
    <hyperlink ref="D170" r:id="rId166" location="'R12'!A122" display="State grid water proxies"/>
    <hyperlink ref="D171" r:id="rId167" location="'R12'!A137" display="Source WUE by case"/>
    <hyperlink ref="D172" r:id="rId168" location="'R12'!A150" display="Embedded water (scope 3)"/>
    <hyperlink ref="D173" r:id="rId169" location="'R12'!A162" display="Water and energy by cooling technology (India)"/>
    <hyperlink ref="D174" r:id="rId170" location="'R12'!A185" display="Wet-mode hours and design wet-bulb by city"/>
    <hyperlink ref="D175" r:id="rId171" location="'R12'!A202" display="Peak water factors"/>
    <hyperlink ref="D176" r:id="rId172" location="'R12'!A214" display="IT load profile archetypes"/>
    <hyperlink ref="D177" r:id="rId173" location="'R12'!A227" display="Hot-day hourly profile: 50 MW Hyderabad, adiabatic"/>
    <hyperlink ref="D178" r:id="rId174" location="'R12'!A249" display="Tariff time-of-day structures"/>
    <hyperlink ref="D179" r:id="rId175" location="'R12'!A260" display="DISCOM HT/EHT tariffs, FY2025-26"/>
    <hyperlink ref="D180" r:id="rId176" location="'R12'!A275" display="Open access and procurement options"/>
    <hyperlink ref="D181" r:id="rId177" location="'R12'!A298" display="Supply voltage by facility size"/>
    <hyperlink ref="D182" r:id="rId178" location="'R12'!A311" display="Typical energy parameter values"/>
    <hyperlink ref="D183" r:id="rId179" location="'R12'!A333" display="Scale snapshot by archetype"/>
    <hyperlink ref="D184" r:id="rId180" location="'R12'!A345" display="Example A: 20 MW Mumbai colo, step by step"/>
    <hyperlink ref="D185" r:id="rId181" location="'R12'!A366" display="Example A: landed electricity cost by option"/>
    <hyperlink ref="D186" r:id="rId182" location="'R12'!A380" display="Example B: 50 MW Hyderabad hyperscale, step by step"/>
    <hyperlink ref="D187" r:id="rId183" location="'R12'!A401" display="Example B: landed electricity cost by option"/>
    <hyperlink ref="D188" r:id="rId184" location="'R12'!A415" display="Example C: 100 MW Bengaluru AI campus, step by step"/>
    <hyperlink ref="D189" r:id="rId185" location="'R12'!A438" display="Example C: landed electricity cost by option"/>
    <hyperlink ref="D190" r:id="rId186" location="'R12'!A450" display="Bottom line across the three examples"/>
    <hyperlink ref="D191" r:id="rId187" location="'R12'!A463" display="Data gaps and how to close them"/>
    <hyperlink ref="D192" r:id="rId188" location="'Atlas%20R1-R9'!A4" display="Report 1: Five ways to classify a data centre"/>
    <hyperlink ref="D193" r:id="rId189" location="'Atlas%20R1-R9'!A17" display="Report 1: Six data-centre business models"/>
    <hyperlink ref="D194" r:id="rId190" location="'Atlas%20R1-R9'!A31" display="Report 1: Uptime Tier levels"/>
    <hyperlink ref="D195" r:id="rId191" location="'Atlas%20R1-R9'!A43" display="Report 1: Share of global data-centre capacity by owner type (%)"/>
    <hyperlink ref="D196" r:id="rId192" location="'Atlas%20R1-R9'!A55" display="Report 1: India capacity by city, H1 2026 (MW IT)"/>
    <hyperlink ref="D197" r:id="rId193" location="'Atlas%20R1-R9'!A72" display="Report 2: Global data-centre electricity (TWh)"/>
    <hyperlink ref="D198" r:id="rId194" location="'Atlas%20R1-R9'!A84" display="Report 2: Share of facility electricity by use and facility class (%)"/>
    <hyperlink ref="D199" r:id="rId195" location="'Atlas%20R1-R9'!A96" display="Report 2: Rack power density by design (kW per rack)"/>
    <hyperlink ref="D200" r:id="rId196" location="'Atlas%20R1-R9'!A110" display="Report 2: Power-chain losses, grid to chip"/>
    <hyperlink ref="D201" r:id="rId197" location="'Atlas%20R1-R9'!A122" display="Report 2: Energy per workload"/>
    <hyperlink ref="D202" r:id="rId198" location="'Atlas%20R1-R9'!A137" display="Report 2: Conventional vs AI data centre"/>
    <hyperlink ref="D203" r:id="rId199" location="'Atlas%20R1-R9'!A154" display="Report 2: Training vs inference sites"/>
    <hyperlink ref="D204" r:id="rId200" location="'Atlas%20R1-R9'!A167" display="Report 3: Heat a cubic metre of fluid carries per degree (kJ/m³·K)"/>
    <hyperlink ref="D205" r:id="rId201" location="'Atlas%20R1-R9'!A180" display="Report 3: Heat-rejection options: water, energy and fit for India"/>
    <hyperlink ref="D206" r:id="rId202" location="'Atlas%20R1-R9'!A194" display="Report 3: Liquid cooling technologies compared"/>
    <hyperlink ref="D207" r:id="rId203" location="'Atlas%20R1-R9'!A207" display="Report 3: Liquid-cooling manufacturer revenue (US$ bn)"/>
    <hyperlink ref="D208" r:id="rId204" location="'Atlas%20R1-R9'!A219" display="Report 3: Cooling-sector acquisitions 2024–26"/>
    <hyperlink ref="D209" r:id="rId205" location="'Atlas%20R1-R9'!A232" display="Report 3: India HFC phase-down schedule (Kigali Amendment)"/>
    <hyperlink ref="D210" r:id="rId206" location="'Atlas%20R1-R9'!A246" display="Report 3: City design temperatures used in the cooling chapter"/>
    <hyperlink ref="D211" r:id="rId207" location="'Atlas%20R1-R9'!A261" display="Report 3: What to use where in India"/>
    <hyperlink ref="D212" r:id="rId208" location="'Atlas%20R1-R9'!A274" display="Report 3: Practical rack-density ceiling by cooling method (kW)"/>
    <hyperlink ref="D213" r:id="rId209" location="'Atlas%20R1-R9'!A287" display="Report 4: Bengaluru's water sources"/>
    <hyperlink ref="D214" r:id="rId210" location="'Atlas%20R1-R9'!A299" display="Report 4: Grid connection by contract demand (Karnataka)"/>
    <hyperlink ref="D215" r:id="rId211" location="'Atlas%20R1-R9'!A311" display="Report 4: Water use compared with other users (MLD)"/>
    <hyperlink ref="D216" r:id="rId212" location="'Atlas%20R1-R9'!A329" display="Report 4: Bengaluru data centres' water use today: estimates (MLD)"/>
    <hyperlink ref="D217" r:id="rId213" location="'Atlas%20R1-R9'!A342" display="Report 4: Scaling to Karnataka's 1 GW target: on-site water by cooling choice (MLD)"/>
    <hyperlink ref="D218" r:id="rId214" location="'Atlas%20R1-R9'!A353" display="Report 4: Bengaluru campus central cases"/>
    <hyperlink ref="D219" r:id="rId215" location="'Atlas%20R1-R9'!A365" display="Report 4: Recommended Karnataka roadmap"/>
    <hyperlink ref="D220" r:id="rId216" location="'Atlas%20R1-R9'!A376" display="Report 5: Carbon of 1 TWh of data-centre load, by supply (Mt CO₂)"/>
    <hyperlink ref="D221" r:id="rId217" location="'Atlas%20R1-R9'!A392" display="Report 5: Karnataka illustrative hourly grid intensity, dry season (gCO₂/kWh)"/>
    <hyperlink ref="D222" r:id="rId218" location="'Atlas%20R1-R9'!A424" display="Report 5: Lifecycle carbon by source (gCO₂e/kWh)"/>
    <hyperlink ref="D223" r:id="rId219" location="'Atlas%20R1-R9'!A439" display="Report 5: Water consumed by generation source (L/MWh)"/>
    <hyperlink ref="D224" r:id="rId220" location="'Atlas%20R1-R9'!A453" display="Report 5: Microsoft Scope 2 emissions (Mt CO₂e)"/>
    <hyperlink ref="D225" r:id="rId221" location="'Atlas%20R1-R9'!A463" display="Report 5: Carbon per IT-kWh, worked (CUE = PUE × grid factor)"/>
    <hyperlink ref="D226" r:id="rId222" location="'Atlas%20R1-R9'!A475" display="Report 5: Five-factor scorecard weights"/>
    <hyperlink ref="D227" r:id="rId223" location="'Atlas%20R1-R9'!A488" display="Report 6: Monthly withdrawal, 50 MW evaporative site (MLD)"/>
    <hyperlink ref="D228" r:id="rId224" location="'Atlas%20R1-R9'!A508" display="Report 6: Scarcity-weighted water footprint, 50 MW (Mm³-eq/yr)"/>
    <hyperlink ref="D229" r:id="rId225" location="'Atlas%20R1-R9'!A521" display="Report 6: Water per AI prompt, by boundary (mL)"/>
    <hyperlink ref="D230" r:id="rId226" location="'Atlas%20R1-R9'!A535" display="Report 6: Impact scorecard"/>
    <hyperlink ref="D231" r:id="rId227" location="'Atlas%20R1-R9'!A549" display="Report 6: Bengaluru scenarios: site and source water"/>
    <hyperlink ref="D232" r:id="rId228" location="'Atlas%20R1-R9'!A561" display="Report 6: Suggested water thresholds"/>
    <hyperlink ref="D233" r:id="rId229" location="'Atlas%20R1-R9'!A574" display="Report 6: Cooling-tower water balance, 50 MW (default CoC 5)"/>
    <hyperlink ref="D234" r:id="rId230" location="'Atlas%20R1-R9'!A591" display="Report 7: Data-centre construction cost by market (US$/W)"/>
    <hyperlink ref="D235" r:id="rId231" location="'Atlas%20R1-R9'!A611" display="Report 7: Capex per MW by category, three cases (₹ crore/MW)"/>
    <hyperlink ref="D236" r:id="rId232" location="'Atlas%20R1-R9'!A622" display="Report 7: Capex line by line: A · 20 MW Tier III colo"/>
    <hyperlink ref="D237" r:id="rId233" location="'Atlas%20R1-R9'!A643" display="Report 7: Capex line by line: B · 50 MW hyperscale BTS"/>
    <hyperlink ref="D238" r:id="rId234" location="'Atlas%20R1-R9'!A664" display="Report 7: Capex line by line: C · 100 MW AI campus"/>
    <hyperlink ref="D239" r:id="rId235" location="'Atlas%20R1-R9'!A686" display="Report 7: Colocation opex, Case A (₹ crore a year)"/>
    <hyperlink ref="D240" r:id="rId236" location="'Atlas%20R1-R9'!A703" display="Report 7: What moves the colo LCOD (₹ per IT-kWh; base 29.7)"/>
    <hyperlink ref="D241" r:id="rId237" location="'Atlas%20R1-R9'!A716" display="Report 7: GPU-hour market prices, H100-class (Oct 2026)"/>
    <hyperlink ref="D242" r:id="rId238" location="'Atlas%20R1-R9'!A730" display="Report 7: Returns by business model"/>
    <hyperlink ref="D243" r:id="rId239" location="'Atlas%20R1-R9'!A743" display="Report 7: India vs US vs Singapore"/>
    <hyperlink ref="D244" r:id="rId240" location="'Atlas%20R1-R9'!A755" display="Report 7: Land and power by hub"/>
    <hyperlink ref="D245" r:id="rId241" location="'Atlas%20R1-R9'!A768" display="Report 7: GPU cost model inputs"/>
    <hyperlink ref="D246" r:id="rId242" location="'Atlas%20R1-R9'!A786" display="Report 8: Abatement cost by measure, 20 MW Bengaluru colo (₹/tCO₂)"/>
    <hyperlink ref="D247" r:id="rId243" location="'Atlas%20R1-R9'!A799" display="Report 8: PUE thresholds around the world"/>
    <hyperlink ref="D248" r:id="rId244" location="'Atlas%20R1-R9'!A817" display="Report 8: Green upgrade case, 20 MW Bengaluru colo"/>
    <hyperlink ref="D249" r:id="rId245" location="'Atlas%20R1-R9'!A835" display="Report 8: Twelve dimensions of a green data centre"/>
    <hyperlink ref="D250" r:id="rId246" location="'Atlas%20R1-R9'!A855" display="Report 8: Spotting greenwashing"/>
    <hyperlink ref="D251" r:id="rId247" location="'Atlas%20R1-R9'!A868" display="Report 8: Buying clean power in India"/>
    <hyperlink ref="D252" r:id="rId248" location="'Atlas%20R1-R9'!A882" display="Report 8: Green rules elsewhere"/>
    <hyperlink ref="D253" r:id="rId249" location="'Atlas%20R1-R9'!A895" display="Report 8: Indian operators' green disclosures"/>
    <hyperlink ref="D254" r:id="rId250" location="'Atlas%20R1-R9'!A908" display="Report 9: State data-centre policy register"/>
    <hyperlink ref="D255" r:id="rId251" location="'Atlas%20R1-R9'!A931" display="Report 9: State attractiveness factor scores (0–10) and index"/>
    <hyperlink ref="D256" r:id="rId252" location="'Atlas%20R1-R9'!A951" display="Report 9: Policy validity periods"/>
    <hyperlink ref="D257" r:id="rId253" location="'Atlas%20R1-R9'!A973" display="Report 9: Electricity-duty holiday by state (years)"/>
    <hyperlink ref="D258" r:id="rId254" location="'Atlas%20R1-R9'!A989" display="Report 9: The central framework"/>
    <hyperlink ref="D259" r:id="rId255" location="'Simulator'!A4" display="Simulator assumptions and evidence"/>
    <hyperlink ref="D260" r:id="rId256" location="'Simulator'!A25" display="Simulator city parameters"/>
    <hyperlink ref="D261" r:id="rId257" location="'Simulator'!A39" display="Simulator workload parameters"/>
    <hyperlink ref="D262" r:id="rId258" location="'Simulator'!A50" display="State incentives modelled in the simulator"/>
    <hyperlink ref="D263" r:id="rId259" location="'Key%20numbers'!A4" display="Key numbers cheat sheet"/>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6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70"/>
    <col collapsed="false" customWidth="true" hidden="false" outlineLevel="0" max="3" min="3" style="0" width="60"/>
    <col collapsed="false" customWidth="true" hidden="false" outlineLevel="0" max="8" min="4" style="0" width="16"/>
  </cols>
  <sheetData>
    <row r="1" customFormat="false" ht="17.35" hidden="false" customHeight="false" outlineLevel="0" collapsed="false">
      <c r="A1" s="1" t="s">
        <v>1140</v>
      </c>
    </row>
    <row r="2" customFormat="false" ht="15" hidden="false" customHeight="false" outlineLevel="0" collapsed="false">
      <c r="A2" s="14" t="s">
        <v>1141</v>
      </c>
    </row>
    <row r="4" customFormat="false" ht="15" hidden="false" customHeight="false" outlineLevel="0" collapsed="false">
      <c r="A4" s="15" t="s">
        <v>10</v>
      </c>
    </row>
    <row r="5" customFormat="false" ht="15" hidden="false" customHeight="false" outlineLevel="0" collapsed="false">
      <c r="A5" s="3" t="s">
        <v>1142</v>
      </c>
      <c r="B5" s="3" t="s">
        <v>1143</v>
      </c>
      <c r="C5" s="3" t="s">
        <v>1144</v>
      </c>
    </row>
    <row r="6" customFormat="false" ht="23.85" hidden="false" customHeight="false" outlineLevel="0" collapsed="false">
      <c r="A6" s="11" t="s">
        <v>782</v>
      </c>
      <c r="B6" s="4" t="s">
        <v>1145</v>
      </c>
      <c r="C6" s="4" t="s">
        <v>1146</v>
      </c>
    </row>
    <row r="7" customFormat="false" ht="23.85" hidden="false" customHeight="false" outlineLevel="0" collapsed="false">
      <c r="A7" s="7" t="s">
        <v>23</v>
      </c>
      <c r="B7" s="4" t="s">
        <v>1147</v>
      </c>
      <c r="C7" s="4" t="s">
        <v>1148</v>
      </c>
    </row>
    <row r="8" customFormat="false" ht="23.85" hidden="false" customHeight="false" outlineLevel="0" collapsed="false">
      <c r="A8" s="6" t="s">
        <v>18</v>
      </c>
      <c r="B8" s="4" t="s">
        <v>1149</v>
      </c>
      <c r="C8" s="4" t="s">
        <v>1150</v>
      </c>
    </row>
    <row r="9" customFormat="false" ht="23.85" hidden="false" customHeight="false" outlineLevel="0" collapsed="false">
      <c r="A9" s="9" t="s">
        <v>154</v>
      </c>
      <c r="B9" s="4" t="s">
        <v>1151</v>
      </c>
      <c r="C9" s="4" t="s">
        <v>1152</v>
      </c>
    </row>
    <row r="10" customFormat="false" ht="23.85" hidden="false" customHeight="false" outlineLevel="0" collapsed="false">
      <c r="A10" s="8" t="s">
        <v>52</v>
      </c>
      <c r="B10" s="4" t="s">
        <v>1153</v>
      </c>
      <c r="C10" s="4" t="s">
        <v>1154</v>
      </c>
    </row>
    <row r="11" customFormat="false" ht="23.85" hidden="false" customHeight="false" outlineLevel="0" collapsed="false">
      <c r="A11" s="10" t="s">
        <v>182</v>
      </c>
      <c r="B11" s="4" t="s">
        <v>1155</v>
      </c>
      <c r="C11" s="4" t="s">
        <v>1156</v>
      </c>
    </row>
    <row r="13" customFormat="false" ht="15" hidden="false" customHeight="false" outlineLevel="0" collapsed="false">
      <c r="A13" s="15" t="s">
        <v>1157</v>
      </c>
    </row>
    <row r="14" customFormat="false" ht="45" hidden="false" customHeight="true" outlineLevel="0" collapsed="false">
      <c r="A14" s="16" t="s">
        <v>3</v>
      </c>
      <c r="B14" s="16" t="s">
        <v>782</v>
      </c>
      <c r="C14" s="16" t="s">
        <v>23</v>
      </c>
      <c r="D14" s="16" t="s">
        <v>18</v>
      </c>
      <c r="E14" s="16" t="s">
        <v>154</v>
      </c>
      <c r="F14" s="16" t="s">
        <v>52</v>
      </c>
      <c r="G14" s="16" t="s">
        <v>182</v>
      </c>
      <c r="H14" s="16" t="s">
        <v>1139</v>
      </c>
    </row>
    <row r="15" customFormat="false" ht="15" hidden="false" customHeight="false" outlineLevel="0" collapsed="false">
      <c r="A15" s="13" t="s">
        <v>13</v>
      </c>
      <c r="B15" s="13" t="n">
        <f aca="false">COUNTIFS(Index!$B$5:$B$263,$A15,Index!$I$5:$I$263,B$14)</f>
        <v>0</v>
      </c>
      <c r="C15" s="13" t="n">
        <f aca="false">COUNTIFS(Index!$B$5:$B$263,$A15,Index!$I$5:$I$263,C$14)</f>
        <v>5</v>
      </c>
      <c r="D15" s="13" t="n">
        <f aca="false">COUNTIFS(Index!$B$5:$B$263,$A15,Index!$I$5:$I$263,D$14)</f>
        <v>2</v>
      </c>
      <c r="E15" s="13" t="n">
        <f aca="false">COUNTIFS(Index!$B$5:$B$263,$A15,Index!$I$5:$I$263,E$14)</f>
        <v>0</v>
      </c>
      <c r="F15" s="13" t="n">
        <f aca="false">COUNTIFS(Index!$B$5:$B$263,$A15,Index!$I$5:$I$263,F$14)</f>
        <v>0</v>
      </c>
      <c r="G15" s="13" t="n">
        <f aca="false">COUNTIFS(Index!$B$5:$B$263,$A15,Index!$I$5:$I$263,G$14)</f>
        <v>0</v>
      </c>
      <c r="H15" s="12" t="n">
        <f aca="false">SUM(B15:G15)</f>
        <v>7</v>
      </c>
    </row>
    <row r="16" customFormat="false" ht="15" hidden="false" customHeight="false" outlineLevel="0" collapsed="false">
      <c r="A16" s="13" t="s">
        <v>47</v>
      </c>
      <c r="B16" s="13" t="n">
        <f aca="false">COUNTIFS(Index!$B$5:$B$263,$A16,Index!$I$5:$I$263,B$14)</f>
        <v>0</v>
      </c>
      <c r="C16" s="13" t="n">
        <f aca="false">COUNTIFS(Index!$B$5:$B$263,$A16,Index!$I$5:$I$263,C$14)</f>
        <v>4</v>
      </c>
      <c r="D16" s="13" t="n">
        <f aca="false">COUNTIFS(Index!$B$5:$B$263,$A16,Index!$I$5:$I$263,D$14)</f>
        <v>2</v>
      </c>
      <c r="E16" s="13" t="n">
        <f aca="false">COUNTIFS(Index!$B$5:$B$263,$A16,Index!$I$5:$I$263,E$14)</f>
        <v>0</v>
      </c>
      <c r="F16" s="13" t="n">
        <f aca="false">COUNTIFS(Index!$B$5:$B$263,$A16,Index!$I$5:$I$263,F$14)</f>
        <v>3</v>
      </c>
      <c r="G16" s="13" t="n">
        <f aca="false">COUNTIFS(Index!$B$5:$B$263,$A16,Index!$I$5:$I$263,G$14)</f>
        <v>0</v>
      </c>
      <c r="H16" s="12" t="n">
        <f aca="false">SUM(B16:G16)</f>
        <v>9</v>
      </c>
    </row>
    <row r="17" customFormat="false" ht="15" hidden="false" customHeight="false" outlineLevel="0" collapsed="false">
      <c r="A17" s="13" t="s">
        <v>95</v>
      </c>
      <c r="B17" s="13" t="n">
        <f aca="false">COUNTIFS(Index!$B$5:$B$263,$A17,Index!$I$5:$I$263,B$14)</f>
        <v>0</v>
      </c>
      <c r="C17" s="13" t="n">
        <f aca="false">COUNTIFS(Index!$B$5:$B$263,$A17,Index!$I$5:$I$263,C$14)</f>
        <v>6</v>
      </c>
      <c r="D17" s="13" t="n">
        <f aca="false">COUNTIFS(Index!$B$5:$B$263,$A17,Index!$I$5:$I$263,D$14)</f>
        <v>6</v>
      </c>
      <c r="E17" s="13" t="n">
        <f aca="false">COUNTIFS(Index!$B$5:$B$263,$A17,Index!$I$5:$I$263,E$14)</f>
        <v>2</v>
      </c>
      <c r="F17" s="13" t="n">
        <f aca="false">COUNTIFS(Index!$B$5:$B$263,$A17,Index!$I$5:$I$263,F$14)</f>
        <v>1</v>
      </c>
      <c r="G17" s="13" t="n">
        <f aca="false">COUNTIFS(Index!$B$5:$B$263,$A17,Index!$I$5:$I$263,G$14)</f>
        <v>0</v>
      </c>
      <c r="H17" s="12" t="n">
        <f aca="false">SUM(B17:G17)</f>
        <v>15</v>
      </c>
    </row>
    <row r="18" customFormat="false" ht="15" hidden="false" customHeight="false" outlineLevel="0" collapsed="false">
      <c r="A18" s="13" t="s">
        <v>172</v>
      </c>
      <c r="B18" s="13" t="n">
        <f aca="false">COUNTIFS(Index!$B$5:$B$263,$A18,Index!$I$5:$I$263,B$14)</f>
        <v>0</v>
      </c>
      <c r="C18" s="13" t="n">
        <f aca="false">COUNTIFS(Index!$B$5:$B$263,$A18,Index!$I$5:$I$263,C$14)</f>
        <v>1</v>
      </c>
      <c r="D18" s="13" t="n">
        <f aca="false">COUNTIFS(Index!$B$5:$B$263,$A18,Index!$I$5:$I$263,D$14)</f>
        <v>1</v>
      </c>
      <c r="E18" s="13" t="n">
        <f aca="false">COUNTIFS(Index!$B$5:$B$263,$A18,Index!$I$5:$I$263,E$14)</f>
        <v>1</v>
      </c>
      <c r="F18" s="13" t="n">
        <f aca="false">COUNTIFS(Index!$B$5:$B$263,$A18,Index!$I$5:$I$263,F$14)</f>
        <v>1</v>
      </c>
      <c r="G18" s="13" t="n">
        <f aca="false">COUNTIFS(Index!$B$5:$B$263,$A18,Index!$I$5:$I$263,G$14)</f>
        <v>4</v>
      </c>
      <c r="H18" s="12" t="n">
        <f aca="false">SUM(B18:G18)</f>
        <v>8</v>
      </c>
    </row>
    <row r="19" customFormat="false" ht="15" hidden="false" customHeight="false" outlineLevel="0" collapsed="false">
      <c r="A19" s="13" t="s">
        <v>215</v>
      </c>
      <c r="B19" s="13" t="n">
        <f aca="false">COUNTIFS(Index!$B$5:$B$263,$A19,Index!$I$5:$I$263,B$14)</f>
        <v>0</v>
      </c>
      <c r="C19" s="13" t="n">
        <f aca="false">COUNTIFS(Index!$B$5:$B$263,$A19,Index!$I$5:$I$263,C$14)</f>
        <v>2</v>
      </c>
      <c r="D19" s="13" t="n">
        <f aca="false">COUNTIFS(Index!$B$5:$B$263,$A19,Index!$I$5:$I$263,D$14)</f>
        <v>4</v>
      </c>
      <c r="E19" s="13" t="n">
        <f aca="false">COUNTIFS(Index!$B$5:$B$263,$A19,Index!$I$5:$I$263,E$14)</f>
        <v>0</v>
      </c>
      <c r="F19" s="13" t="n">
        <f aca="false">COUNTIFS(Index!$B$5:$B$263,$A19,Index!$I$5:$I$263,F$14)</f>
        <v>1</v>
      </c>
      <c r="G19" s="13" t="n">
        <f aca="false">COUNTIFS(Index!$B$5:$B$263,$A19,Index!$I$5:$I$263,G$14)</f>
        <v>1</v>
      </c>
      <c r="H19" s="12" t="n">
        <f aca="false">SUM(B19:G19)</f>
        <v>8</v>
      </c>
    </row>
    <row r="20" customFormat="false" ht="15" hidden="false" customHeight="false" outlineLevel="0" collapsed="false">
      <c r="A20" s="13" t="s">
        <v>257</v>
      </c>
      <c r="B20" s="13" t="n">
        <f aca="false">COUNTIFS(Index!$B$5:$B$263,$A20,Index!$I$5:$I$263,B$14)</f>
        <v>0</v>
      </c>
      <c r="C20" s="13" t="n">
        <f aca="false">COUNTIFS(Index!$B$5:$B$263,$A20,Index!$I$5:$I$263,C$14)</f>
        <v>5</v>
      </c>
      <c r="D20" s="13" t="n">
        <f aca="false">COUNTIFS(Index!$B$5:$B$263,$A20,Index!$I$5:$I$263,D$14)</f>
        <v>3</v>
      </c>
      <c r="E20" s="13" t="n">
        <f aca="false">COUNTIFS(Index!$B$5:$B$263,$A20,Index!$I$5:$I$263,E$14)</f>
        <v>1</v>
      </c>
      <c r="F20" s="13" t="n">
        <f aca="false">COUNTIFS(Index!$B$5:$B$263,$A20,Index!$I$5:$I$263,F$14)</f>
        <v>5</v>
      </c>
      <c r="G20" s="13" t="n">
        <f aca="false">COUNTIFS(Index!$B$5:$B$263,$A20,Index!$I$5:$I$263,G$14)</f>
        <v>8</v>
      </c>
      <c r="H20" s="12" t="n">
        <f aca="false">SUM(B20:G20)</f>
        <v>22</v>
      </c>
    </row>
    <row r="21" customFormat="false" ht="15" hidden="false" customHeight="false" outlineLevel="0" collapsed="false">
      <c r="A21" s="13" t="s">
        <v>369</v>
      </c>
      <c r="B21" s="13" t="n">
        <f aca="false">COUNTIFS(Index!$B$5:$B$263,$A21,Index!$I$5:$I$263,B$14)</f>
        <v>0</v>
      </c>
      <c r="C21" s="13" t="n">
        <f aca="false">COUNTIFS(Index!$B$5:$B$263,$A21,Index!$I$5:$I$263,C$14)</f>
        <v>6</v>
      </c>
      <c r="D21" s="13" t="n">
        <f aca="false">COUNTIFS(Index!$B$5:$B$263,$A21,Index!$I$5:$I$263,D$14)</f>
        <v>3</v>
      </c>
      <c r="E21" s="13" t="n">
        <f aca="false">COUNTIFS(Index!$B$5:$B$263,$A21,Index!$I$5:$I$263,E$14)</f>
        <v>1</v>
      </c>
      <c r="F21" s="13" t="n">
        <f aca="false">COUNTIFS(Index!$B$5:$B$263,$A21,Index!$I$5:$I$263,F$14)</f>
        <v>0</v>
      </c>
      <c r="G21" s="13" t="n">
        <f aca="false">COUNTIFS(Index!$B$5:$B$263,$A21,Index!$I$5:$I$263,G$14)</f>
        <v>14</v>
      </c>
      <c r="H21" s="12" t="n">
        <f aca="false">SUM(B21:G21)</f>
        <v>24</v>
      </c>
    </row>
    <row r="22" customFormat="false" ht="15" hidden="false" customHeight="false" outlineLevel="0" collapsed="false">
      <c r="A22" s="13" t="s">
        <v>482</v>
      </c>
      <c r="B22" s="13" t="n">
        <f aca="false">COUNTIFS(Index!$B$5:$B$263,$A22,Index!$I$5:$I$263,B$14)</f>
        <v>0</v>
      </c>
      <c r="C22" s="13" t="n">
        <f aca="false">COUNTIFS(Index!$B$5:$B$263,$A22,Index!$I$5:$I$263,C$14)</f>
        <v>5</v>
      </c>
      <c r="D22" s="13" t="n">
        <f aca="false">COUNTIFS(Index!$B$5:$B$263,$A22,Index!$I$5:$I$263,D$14)</f>
        <v>1</v>
      </c>
      <c r="E22" s="13" t="n">
        <f aca="false">COUNTIFS(Index!$B$5:$B$263,$A22,Index!$I$5:$I$263,E$14)</f>
        <v>2</v>
      </c>
      <c r="F22" s="13" t="n">
        <f aca="false">COUNTIFS(Index!$B$5:$B$263,$A22,Index!$I$5:$I$263,F$14)</f>
        <v>3</v>
      </c>
      <c r="G22" s="13" t="n">
        <f aca="false">COUNTIFS(Index!$B$5:$B$263,$A22,Index!$I$5:$I$263,G$14)</f>
        <v>1</v>
      </c>
      <c r="H22" s="12" t="n">
        <f aca="false">SUM(B22:G22)</f>
        <v>12</v>
      </c>
    </row>
    <row r="23" customFormat="false" ht="15" hidden="false" customHeight="false" outlineLevel="0" collapsed="false">
      <c r="A23" s="13" t="s">
        <v>544</v>
      </c>
      <c r="B23" s="13" t="n">
        <f aca="false">COUNTIFS(Index!$B$5:$B$263,$A23,Index!$I$5:$I$263,B$14)</f>
        <v>0</v>
      </c>
      <c r="C23" s="13" t="n">
        <f aca="false">COUNTIFS(Index!$B$5:$B$263,$A23,Index!$I$5:$I$263,C$14)</f>
        <v>3</v>
      </c>
      <c r="D23" s="13" t="n">
        <f aca="false">COUNTIFS(Index!$B$5:$B$263,$A23,Index!$I$5:$I$263,D$14)</f>
        <v>0</v>
      </c>
      <c r="E23" s="13" t="n">
        <f aca="false">COUNTIFS(Index!$B$5:$B$263,$A23,Index!$I$5:$I$263,E$14)</f>
        <v>0</v>
      </c>
      <c r="F23" s="13" t="n">
        <f aca="false">COUNTIFS(Index!$B$5:$B$263,$A23,Index!$I$5:$I$263,F$14)</f>
        <v>1</v>
      </c>
      <c r="G23" s="13" t="n">
        <f aca="false">COUNTIFS(Index!$B$5:$B$263,$A23,Index!$I$5:$I$263,G$14)</f>
        <v>0</v>
      </c>
      <c r="H23" s="12" t="n">
        <f aca="false">SUM(B23:G23)</f>
        <v>4</v>
      </c>
    </row>
    <row r="24" customFormat="false" ht="15" hidden="false" customHeight="false" outlineLevel="0" collapsed="false">
      <c r="A24" s="13" t="s">
        <v>566</v>
      </c>
      <c r="B24" s="13" t="n">
        <f aca="false">COUNTIFS(Index!$B$5:$B$263,$A24,Index!$I$5:$I$263,B$14)</f>
        <v>0</v>
      </c>
      <c r="C24" s="13" t="n">
        <f aca="false">COUNTIFS(Index!$B$5:$B$263,$A24,Index!$I$5:$I$263,C$14)</f>
        <v>1</v>
      </c>
      <c r="D24" s="13" t="n">
        <f aca="false">COUNTIFS(Index!$B$5:$B$263,$A24,Index!$I$5:$I$263,D$14)</f>
        <v>16</v>
      </c>
      <c r="E24" s="13" t="n">
        <f aca="false">COUNTIFS(Index!$B$5:$B$263,$A24,Index!$I$5:$I$263,E$14)</f>
        <v>0</v>
      </c>
      <c r="F24" s="13" t="n">
        <f aca="false">COUNTIFS(Index!$B$5:$B$263,$A24,Index!$I$5:$I$263,F$14)</f>
        <v>1</v>
      </c>
      <c r="G24" s="13" t="n">
        <f aca="false">COUNTIFS(Index!$B$5:$B$263,$A24,Index!$I$5:$I$263,G$14)</f>
        <v>4</v>
      </c>
      <c r="H24" s="12" t="n">
        <f aca="false">SUM(B24:G24)</f>
        <v>22</v>
      </c>
    </row>
    <row r="25" customFormat="false" ht="15" hidden="false" customHeight="false" outlineLevel="0" collapsed="false">
      <c r="A25" s="13" t="s">
        <v>648</v>
      </c>
      <c r="B25" s="13" t="n">
        <f aca="false">COUNTIFS(Index!$B$5:$B$263,$A25,Index!$I$5:$I$263,B$14)</f>
        <v>0</v>
      </c>
      <c r="C25" s="13" t="n">
        <f aca="false">COUNTIFS(Index!$B$5:$B$263,$A25,Index!$I$5:$I$263,C$14)</f>
        <v>5</v>
      </c>
      <c r="D25" s="13" t="n">
        <f aca="false">COUNTIFS(Index!$B$5:$B$263,$A25,Index!$I$5:$I$263,D$14)</f>
        <v>3</v>
      </c>
      <c r="E25" s="13" t="n">
        <f aca="false">COUNTIFS(Index!$B$5:$B$263,$A25,Index!$I$5:$I$263,E$14)</f>
        <v>5</v>
      </c>
      <c r="F25" s="13" t="n">
        <f aca="false">COUNTIFS(Index!$B$5:$B$263,$A25,Index!$I$5:$I$263,F$14)</f>
        <v>1</v>
      </c>
      <c r="G25" s="13" t="n">
        <f aca="false">COUNTIFS(Index!$B$5:$B$263,$A25,Index!$I$5:$I$263,G$14)</f>
        <v>14</v>
      </c>
      <c r="H25" s="12" t="n">
        <f aca="false">SUM(B25:G25)</f>
        <v>28</v>
      </c>
    </row>
    <row r="26" customFormat="false" ht="15" hidden="false" customHeight="false" outlineLevel="0" collapsed="false">
      <c r="A26" s="13" t="s">
        <v>777</v>
      </c>
      <c r="B26" s="13" t="n">
        <f aca="false">COUNTIFS(Index!$B$5:$B$263,$A26,Index!$I$5:$I$263,B$14)</f>
        <v>4</v>
      </c>
      <c r="C26" s="13" t="n">
        <f aca="false">COUNTIFS(Index!$B$5:$B$263,$A26,Index!$I$5:$I$263,C$14)</f>
        <v>0</v>
      </c>
      <c r="D26" s="13" t="n">
        <f aca="false">COUNTIFS(Index!$B$5:$B$263,$A26,Index!$I$5:$I$263,D$14)</f>
        <v>6</v>
      </c>
      <c r="E26" s="13" t="n">
        <f aca="false">COUNTIFS(Index!$B$5:$B$263,$A26,Index!$I$5:$I$263,E$14)</f>
        <v>5</v>
      </c>
      <c r="F26" s="13" t="n">
        <f aca="false">COUNTIFS(Index!$B$5:$B$263,$A26,Index!$I$5:$I$263,F$14)</f>
        <v>1</v>
      </c>
      <c r="G26" s="13" t="n">
        <f aca="false">COUNTIFS(Index!$B$5:$B$263,$A26,Index!$I$5:$I$263,G$14)</f>
        <v>12</v>
      </c>
      <c r="H26" s="12" t="n">
        <f aca="false">SUM(B26:G26)</f>
        <v>28</v>
      </c>
    </row>
    <row r="27" customFormat="false" ht="15" hidden="false" customHeight="false" outlineLevel="0" collapsed="false">
      <c r="A27" s="13" t="s">
        <v>912</v>
      </c>
      <c r="B27" s="13" t="n">
        <f aca="false">COUNTIFS(Index!$B$5:$B$263,$A27,Index!$I$5:$I$263,B$14)</f>
        <v>0</v>
      </c>
      <c r="C27" s="13" t="n">
        <f aca="false">COUNTIFS(Index!$B$5:$B$263,$A27,Index!$I$5:$I$263,C$14)</f>
        <v>30</v>
      </c>
      <c r="D27" s="13" t="n">
        <f aca="false">COUNTIFS(Index!$B$5:$B$263,$A27,Index!$I$5:$I$263,D$14)</f>
        <v>1</v>
      </c>
      <c r="E27" s="13" t="n">
        <f aca="false">COUNTIFS(Index!$B$5:$B$263,$A27,Index!$I$5:$I$263,E$14)</f>
        <v>5</v>
      </c>
      <c r="F27" s="13" t="n">
        <f aca="false">COUNTIFS(Index!$B$5:$B$263,$A27,Index!$I$5:$I$263,F$14)</f>
        <v>10</v>
      </c>
      <c r="G27" s="13" t="n">
        <f aca="false">COUNTIFS(Index!$B$5:$B$263,$A27,Index!$I$5:$I$263,G$14)</f>
        <v>21</v>
      </c>
      <c r="H27" s="12" t="n">
        <f aca="false">SUM(B27:G27)</f>
        <v>67</v>
      </c>
    </row>
    <row r="28" customFormat="false" ht="15" hidden="false" customHeight="false" outlineLevel="0" collapsed="false">
      <c r="A28" s="13" t="s">
        <v>1113</v>
      </c>
      <c r="B28" s="13" t="n">
        <f aca="false">COUNTIFS(Index!$B$5:$B$263,$A28,Index!$I$5:$I$263,B$14)</f>
        <v>0</v>
      </c>
      <c r="C28" s="13" t="n">
        <f aca="false">COUNTIFS(Index!$B$5:$B$263,$A28,Index!$I$5:$I$263,C$14)</f>
        <v>1</v>
      </c>
      <c r="D28" s="13" t="n">
        <f aca="false">COUNTIFS(Index!$B$5:$B$263,$A28,Index!$I$5:$I$263,D$14)</f>
        <v>3</v>
      </c>
      <c r="E28" s="13" t="n">
        <f aca="false">COUNTIFS(Index!$B$5:$B$263,$A28,Index!$I$5:$I$263,E$14)</f>
        <v>0</v>
      </c>
      <c r="F28" s="13" t="n">
        <f aca="false">COUNTIFS(Index!$B$5:$B$263,$A28,Index!$I$5:$I$263,F$14)</f>
        <v>0</v>
      </c>
      <c r="G28" s="13" t="n">
        <f aca="false">COUNTIFS(Index!$B$5:$B$263,$A28,Index!$I$5:$I$263,G$14)</f>
        <v>0</v>
      </c>
      <c r="H28" s="12" t="n">
        <f aca="false">SUM(B28:G28)</f>
        <v>4</v>
      </c>
    </row>
    <row r="29" customFormat="false" ht="15" hidden="false" customHeight="false" outlineLevel="0" collapsed="false">
      <c r="A29" s="13" t="s">
        <v>1131</v>
      </c>
      <c r="B29" s="13" t="n">
        <f aca="false">COUNTIFS(Index!$B$5:$B$263,$A29,Index!$I$5:$I$263,B$14)</f>
        <v>0</v>
      </c>
      <c r="C29" s="13" t="n">
        <f aca="false">COUNTIFS(Index!$B$5:$B$263,$A29,Index!$I$5:$I$263,C$14)</f>
        <v>0</v>
      </c>
      <c r="D29" s="13" t="n">
        <f aca="false">COUNTIFS(Index!$B$5:$B$263,$A29,Index!$I$5:$I$263,D$14)</f>
        <v>1</v>
      </c>
      <c r="E29" s="13" t="n">
        <f aca="false">COUNTIFS(Index!$B$5:$B$263,$A29,Index!$I$5:$I$263,E$14)</f>
        <v>0</v>
      </c>
      <c r="F29" s="13" t="n">
        <f aca="false">COUNTIFS(Index!$B$5:$B$263,$A29,Index!$I$5:$I$263,F$14)</f>
        <v>0</v>
      </c>
      <c r="G29" s="13" t="n">
        <f aca="false">COUNTIFS(Index!$B$5:$B$263,$A29,Index!$I$5:$I$263,G$14)</f>
        <v>0</v>
      </c>
      <c r="H29" s="12" t="n">
        <f aca="false">SUM(B29:G29)</f>
        <v>1</v>
      </c>
    </row>
    <row r="30" customFormat="false" ht="15" hidden="false" customHeight="false" outlineLevel="0" collapsed="false">
      <c r="A30" s="12" t="s">
        <v>1139</v>
      </c>
      <c r="B30" s="12" t="n">
        <f aca="false">SUM(B15:B29)</f>
        <v>4</v>
      </c>
      <c r="C30" s="12" t="n">
        <f aca="false">SUM(C15:C29)</f>
        <v>74</v>
      </c>
      <c r="D30" s="12" t="n">
        <f aca="false">SUM(D15:D29)</f>
        <v>52</v>
      </c>
      <c r="E30" s="12" t="n">
        <f aca="false">SUM(E15:E29)</f>
        <v>22</v>
      </c>
      <c r="F30" s="12" t="n">
        <f aca="false">SUM(F15:F29)</f>
        <v>28</v>
      </c>
      <c r="G30" s="12" t="n">
        <f aca="false">SUM(G15:G29)</f>
        <v>79</v>
      </c>
      <c r="H30" s="12" t="n">
        <f aca="false">SUM(H15:H29)</f>
        <v>259</v>
      </c>
    </row>
    <row r="32" customFormat="false" ht="15" hidden="false" customHeight="false" outlineLevel="0" collapsed="false">
      <c r="A32" s="15" t="s">
        <v>1158</v>
      </c>
    </row>
    <row r="33" customFormat="false" ht="15" hidden="false" customHeight="false" outlineLevel="0" collapsed="false">
      <c r="A33" s="3" t="s">
        <v>3</v>
      </c>
      <c r="B33" s="3" t="s">
        <v>1159</v>
      </c>
      <c r="C33" s="3" t="s">
        <v>1160</v>
      </c>
    </row>
    <row r="34" customFormat="false" ht="15" hidden="false" customHeight="false" outlineLevel="0" collapsed="false">
      <c r="A34" s="4" t="s">
        <v>1161</v>
      </c>
      <c r="B34" s="4" t="s">
        <v>1162</v>
      </c>
      <c r="C34" s="4" t="s">
        <v>1163</v>
      </c>
    </row>
    <row r="35" customFormat="false" ht="23.85" hidden="false" customHeight="false" outlineLevel="0" collapsed="false">
      <c r="A35" s="4" t="s">
        <v>47</v>
      </c>
      <c r="B35" s="4" t="s">
        <v>1164</v>
      </c>
      <c r="C35" s="4" t="s">
        <v>1165</v>
      </c>
    </row>
    <row r="36" customFormat="false" ht="23.85" hidden="false" customHeight="false" outlineLevel="0" collapsed="false">
      <c r="A36" s="4" t="s">
        <v>95</v>
      </c>
      <c r="B36" s="4" t="s">
        <v>1166</v>
      </c>
      <c r="C36" s="4" t="s">
        <v>1167</v>
      </c>
    </row>
    <row r="37" customFormat="false" ht="15" hidden="false" customHeight="false" outlineLevel="0" collapsed="false">
      <c r="A37" s="4" t="s">
        <v>1168</v>
      </c>
      <c r="B37" s="4" t="s">
        <v>1169</v>
      </c>
      <c r="C37" s="4" t="s">
        <v>1170</v>
      </c>
    </row>
    <row r="38" customFormat="false" ht="23.85" hidden="false" customHeight="false" outlineLevel="0" collapsed="false">
      <c r="A38" s="4" t="s">
        <v>215</v>
      </c>
      <c r="B38" s="4" t="s">
        <v>1171</v>
      </c>
      <c r="C38" s="4" t="s">
        <v>1172</v>
      </c>
    </row>
    <row r="39" customFormat="false" ht="23.85" hidden="false" customHeight="false" outlineLevel="0" collapsed="false">
      <c r="A39" s="4" t="s">
        <v>257</v>
      </c>
      <c r="B39" s="4" t="s">
        <v>1173</v>
      </c>
      <c r="C39" s="4" t="s">
        <v>1174</v>
      </c>
    </row>
    <row r="40" customFormat="false" ht="23.85" hidden="false" customHeight="false" outlineLevel="0" collapsed="false">
      <c r="A40" s="4" t="s">
        <v>369</v>
      </c>
      <c r="B40" s="4" t="s">
        <v>1175</v>
      </c>
      <c r="C40" s="4" t="s">
        <v>1176</v>
      </c>
    </row>
    <row r="41" customFormat="false" ht="23.85" hidden="false" customHeight="false" outlineLevel="0" collapsed="false">
      <c r="A41" s="4" t="s">
        <v>1177</v>
      </c>
      <c r="B41" s="4" t="s">
        <v>1178</v>
      </c>
      <c r="C41" s="4" t="s">
        <v>1179</v>
      </c>
    </row>
    <row r="42" customFormat="false" ht="23.85" hidden="false" customHeight="false" outlineLevel="0" collapsed="false">
      <c r="A42" s="4" t="s">
        <v>544</v>
      </c>
      <c r="B42" s="4" t="s">
        <v>1180</v>
      </c>
      <c r="C42" s="4" t="s">
        <v>1181</v>
      </c>
    </row>
    <row r="43" customFormat="false" ht="23.85" hidden="false" customHeight="false" outlineLevel="0" collapsed="false">
      <c r="A43" s="4" t="s">
        <v>566</v>
      </c>
      <c r="B43" s="4" t="s">
        <v>1182</v>
      </c>
      <c r="C43" s="4" t="s">
        <v>1183</v>
      </c>
    </row>
    <row r="44" customFormat="false" ht="23.85" hidden="false" customHeight="false" outlineLevel="0" collapsed="false">
      <c r="A44" s="4" t="s">
        <v>1184</v>
      </c>
      <c r="B44" s="4" t="s">
        <v>1185</v>
      </c>
      <c r="C44" s="4" t="s">
        <v>1186</v>
      </c>
    </row>
    <row r="45" customFormat="false" ht="23.85" hidden="false" customHeight="false" outlineLevel="0" collapsed="false">
      <c r="A45" s="4" t="s">
        <v>1187</v>
      </c>
      <c r="B45" s="4" t="s">
        <v>1188</v>
      </c>
      <c r="C45" s="4" t="s">
        <v>1189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1.5"/>
    <col collapsed="false" customWidth="true" hidden="false" outlineLevel="0" max="6" min="2" style="0" width="56"/>
    <col collapsed="false" customWidth="true" hidden="false" outlineLevel="0" max="7" min="7" style="0" width="55.1"/>
  </cols>
  <sheetData>
    <row r="1" customFormat="false" ht="17.35" hidden="false" customHeight="false" outlineLevel="0" collapsed="false">
      <c r="A1" s="1" t="s">
        <v>13</v>
      </c>
    </row>
    <row r="2" customFormat="false" ht="15" hidden="false" customHeight="false" outlineLevel="0" collapsed="false">
      <c r="A2" s="14" t="s">
        <v>1190</v>
      </c>
    </row>
    <row r="4" customFormat="false" ht="15" hidden="false" customHeight="false" outlineLevel="0" collapsed="false">
      <c r="A4" s="17" t="s">
        <v>1191</v>
      </c>
      <c r="B4" s="18"/>
      <c r="C4" s="18"/>
      <c r="D4" s="18"/>
      <c r="E4" s="18"/>
      <c r="F4" s="18"/>
      <c r="G4" s="18"/>
    </row>
    <row r="5" customFormat="false" ht="15" hidden="false" customHeight="false" outlineLevel="0" collapsed="false">
      <c r="A5" s="19" t="s">
        <v>1192</v>
      </c>
    </row>
    <row r="6" customFormat="false" ht="15" hidden="false" customHeight="false" outlineLevel="0" collapsed="false">
      <c r="A6" s="20" t="s">
        <v>1193</v>
      </c>
    </row>
    <row r="7" customFormat="false" ht="15" hidden="false" customHeight="false" outlineLevel="0" collapsed="false">
      <c r="A7" s="21" t="s">
        <v>1194</v>
      </c>
    </row>
    <row r="8" customFormat="false" ht="15" hidden="false" customHeight="false" outlineLevel="0" collapsed="false">
      <c r="A8" s="21" t="s">
        <v>1195</v>
      </c>
    </row>
    <row r="9" customFormat="false" ht="15" hidden="false" customHeight="false" outlineLevel="0" collapsed="false">
      <c r="A9" s="22" t="s">
        <v>1196</v>
      </c>
      <c r="B9" s="22" t="s">
        <v>1197</v>
      </c>
      <c r="C9" s="22" t="s">
        <v>1198</v>
      </c>
      <c r="D9" s="22" t="s">
        <v>1199</v>
      </c>
      <c r="E9" s="22" t="s">
        <v>1200</v>
      </c>
      <c r="F9" s="22" t="s">
        <v>1201</v>
      </c>
      <c r="G9" s="22" t="s">
        <v>1202</v>
      </c>
    </row>
    <row r="10" customFormat="false" ht="23.85" hidden="false" customHeight="false" outlineLevel="0" collapsed="false">
      <c r="A10" s="4" t="s">
        <v>1203</v>
      </c>
      <c r="B10" s="4" t="s">
        <v>1204</v>
      </c>
      <c r="C10" s="4" t="s">
        <v>1205</v>
      </c>
      <c r="D10" s="4" t="s">
        <v>1206</v>
      </c>
      <c r="E10" s="4" t="s">
        <v>1207</v>
      </c>
      <c r="F10" s="4" t="s">
        <v>1208</v>
      </c>
      <c r="G10" s="4" t="s">
        <v>1209</v>
      </c>
    </row>
    <row r="11" customFormat="false" ht="23.85" hidden="false" customHeight="false" outlineLevel="0" collapsed="false">
      <c r="A11" s="4" t="s">
        <v>1210</v>
      </c>
      <c r="B11" s="4" t="s">
        <v>1211</v>
      </c>
      <c r="C11" s="4" t="s">
        <v>1212</v>
      </c>
      <c r="D11" s="4" t="s">
        <v>1213</v>
      </c>
      <c r="E11" s="4" t="s">
        <v>1214</v>
      </c>
      <c r="F11" s="4" t="s">
        <v>1215</v>
      </c>
      <c r="G11" s="4" t="s">
        <v>1216</v>
      </c>
    </row>
    <row r="12" customFormat="false" ht="23.85" hidden="false" customHeight="false" outlineLevel="0" collapsed="false">
      <c r="A12" s="4" t="s">
        <v>1217</v>
      </c>
      <c r="B12" s="4" t="s">
        <v>1218</v>
      </c>
      <c r="C12" s="4" t="s">
        <v>1219</v>
      </c>
      <c r="D12" s="4" t="s">
        <v>1220</v>
      </c>
      <c r="E12" s="4" t="s">
        <v>1221</v>
      </c>
      <c r="F12" s="4" t="s">
        <v>1222</v>
      </c>
      <c r="G12" s="4" t="s">
        <v>1223</v>
      </c>
    </row>
    <row r="13" customFormat="false" ht="23.85" hidden="false" customHeight="false" outlineLevel="0" collapsed="false">
      <c r="A13" s="4" t="s">
        <v>1224</v>
      </c>
      <c r="B13" s="4" t="s">
        <v>1225</v>
      </c>
      <c r="C13" s="4" t="s">
        <v>1226</v>
      </c>
      <c r="D13" s="4" t="s">
        <v>1227</v>
      </c>
      <c r="E13" s="4" t="s">
        <v>1228</v>
      </c>
      <c r="F13" s="4" t="s">
        <v>1229</v>
      </c>
      <c r="G13" s="4" t="s">
        <v>1230</v>
      </c>
    </row>
    <row r="14" customFormat="false" ht="23.85" hidden="false" customHeight="false" outlineLevel="0" collapsed="false">
      <c r="A14" s="4" t="s">
        <v>1231</v>
      </c>
      <c r="B14" s="4" t="s">
        <v>1232</v>
      </c>
      <c r="C14" s="4" t="s">
        <v>1233</v>
      </c>
      <c r="D14" s="4" t="s">
        <v>1234</v>
      </c>
      <c r="E14" s="4" t="s">
        <v>1235</v>
      </c>
      <c r="F14" s="4" t="s">
        <v>1236</v>
      </c>
      <c r="G14" s="4" t="s">
        <v>1237</v>
      </c>
    </row>
    <row r="15" customFormat="false" ht="23.85" hidden="false" customHeight="false" outlineLevel="0" collapsed="false">
      <c r="A15" s="4" t="s">
        <v>1238</v>
      </c>
      <c r="B15" s="4" t="s">
        <v>1239</v>
      </c>
      <c r="C15" s="4" t="s">
        <v>1240</v>
      </c>
      <c r="D15" s="4" t="s">
        <v>1241</v>
      </c>
      <c r="E15" s="4" t="s">
        <v>1242</v>
      </c>
      <c r="F15" s="4" t="s">
        <v>1243</v>
      </c>
      <c r="G15" s="4" t="s">
        <v>1244</v>
      </c>
    </row>
    <row r="18" customFormat="false" ht="15" hidden="false" customHeight="false" outlineLevel="0" collapsed="false">
      <c r="A18" s="17" t="s">
        <v>1245</v>
      </c>
      <c r="B18" s="18"/>
      <c r="C18" s="18"/>
      <c r="D18" s="18"/>
      <c r="E18" s="18"/>
      <c r="F18" s="18"/>
      <c r="G18" s="18"/>
    </row>
    <row r="19" customFormat="false" ht="15" hidden="false" customHeight="false" outlineLevel="0" collapsed="false">
      <c r="A19" s="19" t="s">
        <v>1192</v>
      </c>
    </row>
    <row r="20" customFormat="false" ht="15" hidden="false" customHeight="false" outlineLevel="0" collapsed="false">
      <c r="A20" s="23" t="s">
        <v>1246</v>
      </c>
    </row>
    <row r="21" customFormat="false" ht="15" hidden="false" customHeight="false" outlineLevel="0" collapsed="false">
      <c r="A21" s="21" t="s">
        <v>1247</v>
      </c>
    </row>
    <row r="22" customFormat="false" ht="15" hidden="false" customHeight="false" outlineLevel="0" collapsed="false">
      <c r="A22" s="21" t="s">
        <v>1248</v>
      </c>
    </row>
    <row r="23" customFormat="false" ht="15" hidden="false" customHeight="false" outlineLevel="0" collapsed="false">
      <c r="A23" s="22" t="s">
        <v>1249</v>
      </c>
      <c r="B23" s="22" t="s">
        <v>1250</v>
      </c>
      <c r="C23" s="22" t="s">
        <v>1251</v>
      </c>
      <c r="D23" s="22" t="s">
        <v>1252</v>
      </c>
      <c r="E23" s="22" t="s">
        <v>1253</v>
      </c>
      <c r="F23" s="22" t="s">
        <v>1254</v>
      </c>
      <c r="G23" s="22" t="s">
        <v>1255</v>
      </c>
    </row>
    <row r="24" customFormat="false" ht="15" hidden="false" customHeight="false" outlineLevel="0" collapsed="false">
      <c r="A24" s="4" t="s">
        <v>1256</v>
      </c>
      <c r="B24" s="4" t="s">
        <v>1257</v>
      </c>
      <c r="C24" s="4" t="s">
        <v>1258</v>
      </c>
      <c r="D24" s="4" t="s">
        <v>1258</v>
      </c>
      <c r="E24" s="4" t="s">
        <v>1259</v>
      </c>
      <c r="F24" s="4" t="s">
        <v>1260</v>
      </c>
      <c r="G24" s="4" t="s">
        <v>1261</v>
      </c>
    </row>
    <row r="25" customFormat="false" ht="15" hidden="false" customHeight="false" outlineLevel="0" collapsed="false">
      <c r="A25" s="4" t="s">
        <v>1262</v>
      </c>
      <c r="B25" s="4" t="s">
        <v>1263</v>
      </c>
      <c r="C25" s="4" t="s">
        <v>1258</v>
      </c>
      <c r="D25" s="4" t="s">
        <v>1258</v>
      </c>
      <c r="E25" s="4" t="s">
        <v>1264</v>
      </c>
      <c r="F25" s="4" t="s">
        <v>1265</v>
      </c>
      <c r="G25" s="4" t="s">
        <v>1266</v>
      </c>
    </row>
    <row r="26" customFormat="false" ht="15" hidden="false" customHeight="false" outlineLevel="0" collapsed="false">
      <c r="A26" s="4" t="s">
        <v>1267</v>
      </c>
      <c r="B26" s="4" t="s">
        <v>1268</v>
      </c>
      <c r="C26" s="4" t="s">
        <v>1269</v>
      </c>
      <c r="D26" s="4" t="s">
        <v>1258</v>
      </c>
      <c r="E26" s="4" t="s">
        <v>1270</v>
      </c>
      <c r="F26" s="4" t="s">
        <v>1271</v>
      </c>
      <c r="G26" s="4" t="s">
        <v>1272</v>
      </c>
    </row>
    <row r="27" customFormat="false" ht="15" hidden="false" customHeight="false" outlineLevel="0" collapsed="false">
      <c r="A27" s="4" t="s">
        <v>1273</v>
      </c>
      <c r="B27" s="4" t="s">
        <v>1274</v>
      </c>
      <c r="C27" s="4" t="s">
        <v>1269</v>
      </c>
      <c r="D27" s="4" t="s">
        <v>1269</v>
      </c>
      <c r="E27" s="4" t="s">
        <v>1275</v>
      </c>
      <c r="F27" s="4" t="s">
        <v>1276</v>
      </c>
      <c r="G27" s="4" t="s">
        <v>1277</v>
      </c>
    </row>
    <row r="30" customFormat="false" ht="15" hidden="false" customHeight="false" outlineLevel="0" collapsed="false">
      <c r="A30" s="17" t="s">
        <v>1278</v>
      </c>
      <c r="B30" s="18"/>
      <c r="C30" s="18"/>
      <c r="D30" s="18"/>
      <c r="E30" s="18"/>
      <c r="F30" s="18"/>
    </row>
    <row r="31" customFormat="false" ht="15" hidden="false" customHeight="false" outlineLevel="0" collapsed="false">
      <c r="A31" s="19" t="s">
        <v>1192</v>
      </c>
    </row>
    <row r="32" customFormat="false" ht="15" hidden="false" customHeight="false" outlineLevel="0" collapsed="false">
      <c r="A32" s="20" t="s">
        <v>1193</v>
      </c>
    </row>
    <row r="33" customFormat="false" ht="15" hidden="false" customHeight="false" outlineLevel="0" collapsed="false">
      <c r="A33" s="21" t="s">
        <v>1279</v>
      </c>
    </row>
    <row r="34" customFormat="false" ht="15" hidden="false" customHeight="false" outlineLevel="0" collapsed="false">
      <c r="A34" s="21" t="s">
        <v>1280</v>
      </c>
    </row>
    <row r="35" customFormat="false" ht="15" hidden="false" customHeight="false" outlineLevel="0" collapsed="false">
      <c r="A35" s="22" t="s">
        <v>1281</v>
      </c>
      <c r="B35" s="22" t="s">
        <v>1197</v>
      </c>
      <c r="C35" s="22" t="s">
        <v>1282</v>
      </c>
      <c r="D35" s="22" t="s">
        <v>1283</v>
      </c>
      <c r="E35" s="22" t="s">
        <v>1284</v>
      </c>
      <c r="F35" s="22" t="s">
        <v>1285</v>
      </c>
    </row>
    <row r="36" customFormat="false" ht="23.85" hidden="false" customHeight="false" outlineLevel="0" collapsed="false">
      <c r="A36" s="4" t="s">
        <v>1286</v>
      </c>
      <c r="B36" s="4" t="s">
        <v>1287</v>
      </c>
      <c r="C36" s="4" t="s">
        <v>1288</v>
      </c>
      <c r="D36" s="4" t="s">
        <v>1289</v>
      </c>
      <c r="E36" s="4" t="s">
        <v>1290</v>
      </c>
      <c r="F36" s="4" t="s">
        <v>1291</v>
      </c>
    </row>
    <row r="37" customFormat="false" ht="15" hidden="false" customHeight="false" outlineLevel="0" collapsed="false">
      <c r="A37" s="4" t="s">
        <v>1292</v>
      </c>
      <c r="B37" s="4" t="s">
        <v>1293</v>
      </c>
      <c r="C37" s="4" t="s">
        <v>1294</v>
      </c>
      <c r="D37" s="4" t="s">
        <v>1295</v>
      </c>
      <c r="E37" s="4" t="s">
        <v>1296</v>
      </c>
      <c r="F37" s="4" t="s">
        <v>1297</v>
      </c>
    </row>
    <row r="38" customFormat="false" ht="23.85" hidden="false" customHeight="false" outlineLevel="0" collapsed="false">
      <c r="A38" s="4" t="s">
        <v>1298</v>
      </c>
      <c r="B38" s="4" t="s">
        <v>1299</v>
      </c>
      <c r="C38" s="4" t="s">
        <v>1300</v>
      </c>
      <c r="D38" s="4" t="s">
        <v>1301</v>
      </c>
      <c r="E38" s="4" t="s">
        <v>1302</v>
      </c>
      <c r="F38" s="4" t="s">
        <v>1303</v>
      </c>
    </row>
    <row r="39" customFormat="false" ht="15" hidden="false" customHeight="false" outlineLevel="0" collapsed="false">
      <c r="A39" s="4" t="s">
        <v>1304</v>
      </c>
      <c r="B39" s="4" t="s">
        <v>1305</v>
      </c>
      <c r="C39" s="4" t="s">
        <v>1306</v>
      </c>
      <c r="D39" s="4" t="s">
        <v>1307</v>
      </c>
      <c r="E39" s="4" t="s">
        <v>1308</v>
      </c>
      <c r="F39" s="4" t="s">
        <v>1309</v>
      </c>
    </row>
    <row r="40" customFormat="false" ht="15" hidden="false" customHeight="false" outlineLevel="0" collapsed="false">
      <c r="A40" s="4" t="s">
        <v>1310</v>
      </c>
      <c r="B40" s="4" t="s">
        <v>1311</v>
      </c>
      <c r="C40" s="4" t="s">
        <v>1312</v>
      </c>
      <c r="D40" s="4" t="s">
        <v>1313</v>
      </c>
      <c r="E40" s="4" t="s">
        <v>1308</v>
      </c>
      <c r="F40" s="4" t="s">
        <v>1314</v>
      </c>
    </row>
    <row r="43" customFormat="false" ht="15" hidden="false" customHeight="false" outlineLevel="0" collapsed="false">
      <c r="A43" s="17" t="s">
        <v>1315</v>
      </c>
      <c r="B43" s="18"/>
      <c r="C43" s="18"/>
    </row>
    <row r="44" customFormat="false" ht="15" hidden="false" customHeight="false" outlineLevel="0" collapsed="false">
      <c r="A44" s="19" t="s">
        <v>1192</v>
      </c>
    </row>
    <row r="45" customFormat="false" ht="15" hidden="false" customHeight="false" outlineLevel="0" collapsed="false">
      <c r="A45" s="23" t="s">
        <v>1246</v>
      </c>
    </row>
    <row r="46" customFormat="false" ht="15" hidden="false" customHeight="false" outlineLevel="0" collapsed="false">
      <c r="A46" s="21" t="s">
        <v>1316</v>
      </c>
    </row>
    <row r="47" customFormat="false" ht="15" hidden="false" customHeight="false" outlineLevel="0" collapsed="false">
      <c r="A47" s="21" t="s">
        <v>1317</v>
      </c>
    </row>
    <row r="48" customFormat="false" ht="15" hidden="false" customHeight="false" outlineLevel="0" collapsed="false">
      <c r="A48" s="22" t="s">
        <v>1318</v>
      </c>
      <c r="B48" s="22" t="s">
        <v>1319</v>
      </c>
      <c r="C48" s="22" t="s">
        <v>1320</v>
      </c>
    </row>
    <row r="49" customFormat="false" ht="23.85" hidden="false" customHeight="false" outlineLevel="0" collapsed="false">
      <c r="A49" s="4" t="s">
        <v>1321</v>
      </c>
      <c r="B49" s="4" t="s">
        <v>1322</v>
      </c>
      <c r="C49" s="4" t="s">
        <v>1323</v>
      </c>
    </row>
    <row r="50" customFormat="false" ht="23.85" hidden="false" customHeight="false" outlineLevel="0" collapsed="false">
      <c r="A50" s="4" t="s">
        <v>1324</v>
      </c>
      <c r="B50" s="4" t="s">
        <v>1325</v>
      </c>
      <c r="C50" s="4" t="s">
        <v>1326</v>
      </c>
    </row>
    <row r="51" customFormat="false" ht="15" hidden="false" customHeight="false" outlineLevel="0" collapsed="false">
      <c r="A51" s="4" t="s">
        <v>1327</v>
      </c>
      <c r="B51" s="4" t="s">
        <v>1328</v>
      </c>
      <c r="C51" s="4" t="s">
        <v>1329</v>
      </c>
    </row>
    <row r="52" customFormat="false" ht="23.85" hidden="false" customHeight="false" outlineLevel="0" collapsed="false">
      <c r="A52" s="4" t="s">
        <v>1330</v>
      </c>
      <c r="B52" s="4" t="s">
        <v>1331</v>
      </c>
      <c r="C52" s="4" t="s">
        <v>1329</v>
      </c>
    </row>
    <row r="53" customFormat="false" ht="15" hidden="false" customHeight="false" outlineLevel="0" collapsed="false">
      <c r="A53" s="4" t="s">
        <v>1332</v>
      </c>
      <c r="B53" s="4" t="s">
        <v>1333</v>
      </c>
      <c r="C53" s="4" t="s">
        <v>1329</v>
      </c>
    </row>
    <row r="54" customFormat="false" ht="23.85" hidden="false" customHeight="false" outlineLevel="0" collapsed="false">
      <c r="A54" s="4" t="s">
        <v>1334</v>
      </c>
      <c r="B54" s="4" t="s">
        <v>1335</v>
      </c>
      <c r="C54" s="4" t="s">
        <v>1336</v>
      </c>
    </row>
    <row r="55" customFormat="false" ht="15" hidden="false" customHeight="false" outlineLevel="0" collapsed="false">
      <c r="A55" s="4" t="s">
        <v>1337</v>
      </c>
      <c r="B55" s="4" t="s">
        <v>1338</v>
      </c>
      <c r="C55" s="4" t="s">
        <v>1339</v>
      </c>
    </row>
    <row r="56" customFormat="false" ht="15" hidden="false" customHeight="false" outlineLevel="0" collapsed="false">
      <c r="A56" s="4" t="s">
        <v>1340</v>
      </c>
      <c r="B56" s="4" t="s">
        <v>1341</v>
      </c>
      <c r="C56" s="4" t="s">
        <v>1342</v>
      </c>
    </row>
    <row r="57" customFormat="false" ht="15" hidden="false" customHeight="false" outlineLevel="0" collapsed="false">
      <c r="A57" s="4" t="s">
        <v>1343</v>
      </c>
      <c r="B57" s="4" t="s">
        <v>1344</v>
      </c>
      <c r="C57" s="4" t="s">
        <v>1345</v>
      </c>
    </row>
    <row r="58" customFormat="false" ht="23.85" hidden="false" customHeight="false" outlineLevel="0" collapsed="false">
      <c r="A58" s="4" t="s">
        <v>1346</v>
      </c>
      <c r="B58" s="4" t="s">
        <v>1347</v>
      </c>
      <c r="C58" s="4" t="s">
        <v>1345</v>
      </c>
    </row>
    <row r="59" customFormat="false" ht="15" hidden="false" customHeight="false" outlineLevel="0" collapsed="false">
      <c r="A59" s="4" t="s">
        <v>1348</v>
      </c>
      <c r="B59" s="4" t="s">
        <v>1349</v>
      </c>
      <c r="C59" s="4" t="s">
        <v>1350</v>
      </c>
    </row>
    <row r="62" customFormat="false" ht="15" hidden="false" customHeight="false" outlineLevel="0" collapsed="false">
      <c r="A62" s="17" t="s">
        <v>1351</v>
      </c>
      <c r="B62" s="18"/>
      <c r="C62" s="18"/>
      <c r="D62" s="18"/>
    </row>
    <row r="63" customFormat="false" ht="15" hidden="false" customHeight="false" outlineLevel="0" collapsed="false">
      <c r="A63" s="19" t="s">
        <v>1352</v>
      </c>
    </row>
    <row r="64" customFormat="false" ht="15" hidden="false" customHeight="false" outlineLevel="0" collapsed="false">
      <c r="A64" s="19" t="s">
        <v>1353</v>
      </c>
    </row>
    <row r="65" customFormat="false" ht="15" hidden="false" customHeight="false" outlineLevel="0" collapsed="false">
      <c r="A65" s="23" t="s">
        <v>1246</v>
      </c>
    </row>
    <row r="66" customFormat="false" ht="15" hidden="false" customHeight="false" outlineLevel="0" collapsed="false">
      <c r="A66" s="21" t="s">
        <v>1354</v>
      </c>
    </row>
    <row r="67" customFormat="false" ht="15" hidden="false" customHeight="false" outlineLevel="0" collapsed="false">
      <c r="A67" s="21" t="s">
        <v>1355</v>
      </c>
    </row>
    <row r="68" customFormat="false" ht="15" hidden="false" customHeight="false" outlineLevel="0" collapsed="false">
      <c r="A68" s="22" t="s">
        <v>1318</v>
      </c>
      <c r="B68" s="22" t="s">
        <v>1356</v>
      </c>
      <c r="C68" s="22" t="s">
        <v>1357</v>
      </c>
      <c r="D68" s="22" t="s">
        <v>1320</v>
      </c>
    </row>
    <row r="69" customFormat="false" ht="23.85" hidden="false" customHeight="false" outlineLevel="0" collapsed="false">
      <c r="A69" s="4" t="s">
        <v>1358</v>
      </c>
      <c r="B69" s="4" t="s">
        <v>1359</v>
      </c>
      <c r="C69" s="4" t="s">
        <v>1360</v>
      </c>
      <c r="D69" s="4" t="s">
        <v>1361</v>
      </c>
    </row>
    <row r="70" customFormat="false" ht="23.85" hidden="false" customHeight="false" outlineLevel="0" collapsed="false">
      <c r="A70" s="4" t="s">
        <v>1362</v>
      </c>
      <c r="B70" s="4" t="s">
        <v>1363</v>
      </c>
      <c r="C70" s="4" t="s">
        <v>1364</v>
      </c>
      <c r="D70" s="4" t="s">
        <v>1365</v>
      </c>
    </row>
    <row r="71" customFormat="false" ht="35.05" hidden="false" customHeight="false" outlineLevel="0" collapsed="false">
      <c r="A71" s="4" t="s">
        <v>1366</v>
      </c>
      <c r="B71" s="4" t="s">
        <v>1367</v>
      </c>
      <c r="C71" s="4" t="s">
        <v>1368</v>
      </c>
      <c r="D71" s="4" t="s">
        <v>1369</v>
      </c>
    </row>
    <row r="72" customFormat="false" ht="15" hidden="false" customHeight="false" outlineLevel="0" collapsed="false">
      <c r="A72" s="4" t="s">
        <v>1370</v>
      </c>
      <c r="B72" s="4" t="s">
        <v>1371</v>
      </c>
      <c r="C72" s="4" t="s">
        <v>1372</v>
      </c>
      <c r="D72" s="4" t="s">
        <v>1373</v>
      </c>
    </row>
    <row r="73" customFormat="false" ht="15" hidden="false" customHeight="false" outlineLevel="0" collapsed="false">
      <c r="A73" s="4" t="s">
        <v>1374</v>
      </c>
      <c r="B73" s="4" t="s">
        <v>1375</v>
      </c>
      <c r="C73" s="4" t="s">
        <v>1376</v>
      </c>
      <c r="D73" s="4" t="s">
        <v>1377</v>
      </c>
    </row>
    <row r="74" customFormat="false" ht="15" hidden="false" customHeight="false" outlineLevel="0" collapsed="false">
      <c r="A74" s="4" t="s">
        <v>1378</v>
      </c>
      <c r="B74" s="4" t="s">
        <v>1379</v>
      </c>
      <c r="C74" s="4" t="s">
        <v>1380</v>
      </c>
      <c r="D74" s="4" t="s">
        <v>1381</v>
      </c>
    </row>
    <row r="75" customFormat="false" ht="15" hidden="false" customHeight="false" outlineLevel="0" collapsed="false">
      <c r="A75" s="4" t="s">
        <v>1382</v>
      </c>
      <c r="B75" s="4" t="s">
        <v>1383</v>
      </c>
      <c r="C75" s="4" t="s">
        <v>1384</v>
      </c>
      <c r="D75" s="4" t="s">
        <v>1373</v>
      </c>
    </row>
    <row r="78" customFormat="false" ht="15" hidden="false" customHeight="false" outlineLevel="0" collapsed="false">
      <c r="A78" s="17" t="s">
        <v>1385</v>
      </c>
      <c r="B78" s="18"/>
      <c r="C78" s="18"/>
      <c r="D78" s="18"/>
    </row>
    <row r="79" customFormat="false" ht="15" hidden="false" customHeight="false" outlineLevel="0" collapsed="false">
      <c r="A79" s="19" t="s">
        <v>1352</v>
      </c>
    </row>
    <row r="80" customFormat="false" ht="15" hidden="false" customHeight="false" outlineLevel="0" collapsed="false">
      <c r="A80" s="19" t="s">
        <v>1386</v>
      </c>
    </row>
    <row r="81" customFormat="false" ht="15" hidden="false" customHeight="false" outlineLevel="0" collapsed="false">
      <c r="A81" s="23" t="s">
        <v>1246</v>
      </c>
    </row>
    <row r="82" customFormat="false" ht="15" hidden="false" customHeight="false" outlineLevel="0" collapsed="false">
      <c r="A82" s="21" t="s">
        <v>1387</v>
      </c>
    </row>
    <row r="83" customFormat="false" ht="15" hidden="false" customHeight="false" outlineLevel="0" collapsed="false">
      <c r="A83" s="21" t="s">
        <v>1388</v>
      </c>
    </row>
    <row r="84" customFormat="false" ht="15" hidden="false" customHeight="false" outlineLevel="0" collapsed="false">
      <c r="A84" s="22" t="s">
        <v>1389</v>
      </c>
      <c r="B84" s="22" t="s">
        <v>1390</v>
      </c>
      <c r="C84" s="22" t="s">
        <v>1391</v>
      </c>
      <c r="D84" s="22" t="s">
        <v>1392</v>
      </c>
    </row>
    <row r="85" customFormat="false" ht="15" hidden="false" customHeight="false" outlineLevel="0" collapsed="false">
      <c r="A85" s="4" t="s">
        <v>1393</v>
      </c>
      <c r="B85" s="4" t="s">
        <v>1394</v>
      </c>
      <c r="C85" s="4" t="s">
        <v>1395</v>
      </c>
      <c r="D85" s="4" t="s">
        <v>1396</v>
      </c>
    </row>
    <row r="86" customFormat="false" ht="15" hidden="false" customHeight="false" outlineLevel="0" collapsed="false">
      <c r="A86" s="4" t="s">
        <v>1397</v>
      </c>
      <c r="B86" s="4" t="n">
        <v>214</v>
      </c>
      <c r="C86" s="4" t="s">
        <v>1398</v>
      </c>
      <c r="D86" s="4" t="s">
        <v>1399</v>
      </c>
    </row>
    <row r="87" customFormat="false" ht="15" hidden="false" customHeight="false" outlineLevel="0" collapsed="false">
      <c r="A87" s="4" t="s">
        <v>1400</v>
      </c>
      <c r="B87" s="4" t="n">
        <v>183</v>
      </c>
      <c r="C87" s="4" t="s">
        <v>1401</v>
      </c>
      <c r="D87" s="4" t="s">
        <v>1402</v>
      </c>
    </row>
    <row r="88" customFormat="false" ht="15" hidden="false" customHeight="false" outlineLevel="0" collapsed="false">
      <c r="A88" s="4" t="s">
        <v>1403</v>
      </c>
      <c r="B88" s="4" t="n">
        <v>162</v>
      </c>
      <c r="C88" s="4" t="s">
        <v>1404</v>
      </c>
      <c r="D88" s="4" t="s">
        <v>1405</v>
      </c>
    </row>
    <row r="89" customFormat="false" ht="23.85" hidden="false" customHeight="false" outlineLevel="0" collapsed="false">
      <c r="A89" s="4" t="s">
        <v>1406</v>
      </c>
      <c r="B89" s="4" t="n">
        <v>151</v>
      </c>
      <c r="C89" s="4" t="s">
        <v>1407</v>
      </c>
      <c r="D89" s="4" t="s">
        <v>1408</v>
      </c>
    </row>
    <row r="90" customFormat="false" ht="15" hidden="false" customHeight="false" outlineLevel="0" collapsed="false">
      <c r="A90" s="4" t="s">
        <v>1409</v>
      </c>
      <c r="B90" s="4" t="n">
        <v>133</v>
      </c>
      <c r="C90" s="4" t="s">
        <v>1410</v>
      </c>
      <c r="D90" s="4" t="s">
        <v>1411</v>
      </c>
    </row>
    <row r="91" customFormat="false" ht="15" hidden="false" customHeight="false" outlineLevel="0" collapsed="false">
      <c r="A91" s="4" t="s">
        <v>1412</v>
      </c>
      <c r="B91" s="4" t="n">
        <v>22</v>
      </c>
      <c r="C91" s="4" t="s">
        <v>1413</v>
      </c>
      <c r="D91" s="4" t="s">
        <v>1414</v>
      </c>
    </row>
    <row r="92" customFormat="false" ht="15" hidden="false" customHeight="false" outlineLevel="0" collapsed="false">
      <c r="A92" s="4" t="s">
        <v>1415</v>
      </c>
      <c r="B92" s="4" t="s">
        <v>1416</v>
      </c>
      <c r="C92" s="4" t="s">
        <v>1417</v>
      </c>
      <c r="D92" s="4" t="s">
        <v>1418</v>
      </c>
    </row>
    <row r="95" customFormat="false" ht="15" hidden="false" customHeight="false" outlineLevel="0" collapsed="false">
      <c r="A95" s="17" t="s">
        <v>1419</v>
      </c>
      <c r="B95" s="18"/>
      <c r="C95" s="18"/>
      <c r="D95" s="18"/>
    </row>
    <row r="96" customFormat="false" ht="15" hidden="false" customHeight="false" outlineLevel="0" collapsed="false">
      <c r="A96" s="19" t="s">
        <v>1352</v>
      </c>
    </row>
    <row r="97" customFormat="false" ht="15" hidden="false" customHeight="false" outlineLevel="0" collapsed="false">
      <c r="A97" s="19" t="s">
        <v>1420</v>
      </c>
    </row>
    <row r="98" customFormat="false" ht="15" hidden="false" customHeight="false" outlineLevel="0" collapsed="false">
      <c r="A98" s="23" t="s">
        <v>1246</v>
      </c>
    </row>
    <row r="99" customFormat="false" ht="15" hidden="false" customHeight="false" outlineLevel="0" collapsed="false">
      <c r="A99" s="21" t="s">
        <v>1421</v>
      </c>
    </row>
    <row r="100" customFormat="false" ht="15" hidden="false" customHeight="false" outlineLevel="0" collapsed="false">
      <c r="A100" s="21" t="s">
        <v>1422</v>
      </c>
    </row>
    <row r="101" customFormat="false" ht="15" hidden="false" customHeight="false" outlineLevel="0" collapsed="false">
      <c r="A101" s="22" t="s">
        <v>1423</v>
      </c>
      <c r="B101" s="22" t="s">
        <v>1424</v>
      </c>
      <c r="C101" s="22" t="s">
        <v>1425</v>
      </c>
      <c r="D101" s="22" t="s">
        <v>1426</v>
      </c>
    </row>
    <row r="102" customFormat="false" ht="46.25" hidden="false" customHeight="false" outlineLevel="0" collapsed="false">
      <c r="A102" s="4" t="s">
        <v>1427</v>
      </c>
      <c r="B102" s="4" t="s">
        <v>1428</v>
      </c>
      <c r="C102" s="4" t="s">
        <v>1429</v>
      </c>
      <c r="D102" s="4" t="s">
        <v>1430</v>
      </c>
    </row>
    <row r="103" customFormat="false" ht="35.05" hidden="false" customHeight="false" outlineLevel="0" collapsed="false">
      <c r="A103" s="4" t="s">
        <v>1431</v>
      </c>
      <c r="B103" s="4" t="s">
        <v>1432</v>
      </c>
      <c r="C103" s="4" t="s">
        <v>1433</v>
      </c>
      <c r="D103" s="4" t="s">
        <v>1434</v>
      </c>
    </row>
    <row r="104" customFormat="false" ht="23.85" hidden="false" customHeight="false" outlineLevel="0" collapsed="false">
      <c r="A104" s="4" t="s">
        <v>1435</v>
      </c>
      <c r="B104" s="4" t="s">
        <v>1436</v>
      </c>
      <c r="C104" s="4" t="s">
        <v>1437</v>
      </c>
      <c r="D104" s="4" t="s">
        <v>1438</v>
      </c>
    </row>
    <row r="105" customFormat="false" ht="57.45" hidden="false" customHeight="false" outlineLevel="0" collapsed="false">
      <c r="A105" s="4" t="s">
        <v>1439</v>
      </c>
      <c r="B105" s="4" t="s">
        <v>1440</v>
      </c>
      <c r="C105" s="4" t="s">
        <v>1441</v>
      </c>
      <c r="D105" s="4" t="s">
        <v>1442</v>
      </c>
    </row>
    <row r="106" customFormat="false" ht="35.05" hidden="false" customHeight="false" outlineLevel="0" collapsed="false">
      <c r="A106" s="4" t="s">
        <v>1443</v>
      </c>
      <c r="B106" s="4" t="s">
        <v>1444</v>
      </c>
      <c r="C106" s="4" t="s">
        <v>1445</v>
      </c>
      <c r="D106" s="4" t="s">
        <v>1446</v>
      </c>
    </row>
    <row r="107" customFormat="false" ht="35.05" hidden="false" customHeight="false" outlineLevel="0" collapsed="false">
      <c r="A107" s="4" t="s">
        <v>1447</v>
      </c>
      <c r="B107" s="4" t="s">
        <v>1448</v>
      </c>
      <c r="C107" s="4" t="s">
        <v>1449</v>
      </c>
      <c r="D107" s="4" t="s">
        <v>1450</v>
      </c>
    </row>
    <row r="108" customFormat="false" ht="35.05" hidden="false" customHeight="false" outlineLevel="0" collapsed="false">
      <c r="A108" s="4" t="s">
        <v>1451</v>
      </c>
      <c r="B108" s="4" t="s">
        <v>1452</v>
      </c>
      <c r="C108" s="4" t="s">
        <v>1453</v>
      </c>
      <c r="D108" s="4" t="s">
        <v>1454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56"/>
    <col collapsed="false" customWidth="true" hidden="false" outlineLevel="0" max="4" min="4" style="0" width="29"/>
    <col collapsed="false" customWidth="true" hidden="false" outlineLevel="0" max="5" min="5" style="0" width="43.4"/>
  </cols>
  <sheetData>
    <row r="1" customFormat="false" ht="17.35" hidden="false" customHeight="false" outlineLevel="0" collapsed="false">
      <c r="A1" s="1" t="s">
        <v>47</v>
      </c>
    </row>
    <row r="2" customFormat="false" ht="15" hidden="false" customHeight="false" outlineLevel="0" collapsed="false">
      <c r="A2" s="14" t="s">
        <v>1455</v>
      </c>
    </row>
    <row r="4" customFormat="false" ht="15" hidden="false" customHeight="false" outlineLevel="0" collapsed="false">
      <c r="A4" s="17" t="s">
        <v>1456</v>
      </c>
      <c r="B4" s="18"/>
      <c r="C4" s="18"/>
      <c r="D4" s="18"/>
      <c r="E4" s="18"/>
    </row>
    <row r="5" customFormat="false" ht="15" hidden="false" customHeight="false" outlineLevel="0" collapsed="false">
      <c r="A5" s="19" t="s">
        <v>1457</v>
      </c>
    </row>
    <row r="6" customFormat="false" ht="15" hidden="false" customHeight="false" outlineLevel="0" collapsed="false">
      <c r="A6" s="19" t="s">
        <v>1458</v>
      </c>
    </row>
    <row r="7" customFormat="false" ht="15" hidden="false" customHeight="false" outlineLevel="0" collapsed="false">
      <c r="A7" s="24" t="s">
        <v>1459</v>
      </c>
    </row>
    <row r="8" customFormat="false" ht="15" hidden="false" customHeight="false" outlineLevel="0" collapsed="false">
      <c r="A8" s="21" t="s">
        <v>1460</v>
      </c>
    </row>
    <row r="9" customFormat="false" ht="15" hidden="false" customHeight="false" outlineLevel="0" collapsed="false">
      <c r="A9" s="21" t="s">
        <v>1461</v>
      </c>
    </row>
    <row r="10" customFormat="false" ht="23.85" hidden="false" customHeight="false" outlineLevel="0" collapsed="false">
      <c r="A10" s="22" t="s">
        <v>1462</v>
      </c>
      <c r="B10" s="22" t="s">
        <v>1463</v>
      </c>
      <c r="C10" s="22" t="s">
        <v>1464</v>
      </c>
      <c r="D10" s="22" t="s">
        <v>1465</v>
      </c>
      <c r="E10" s="22" t="s">
        <v>1466</v>
      </c>
    </row>
    <row r="11" customFormat="false" ht="15" hidden="false" customHeight="false" outlineLevel="0" collapsed="false">
      <c r="A11" s="4" t="s">
        <v>1467</v>
      </c>
      <c r="B11" s="4" t="s">
        <v>1468</v>
      </c>
      <c r="C11" s="4" t="s">
        <v>1469</v>
      </c>
      <c r="D11" s="4" t="s">
        <v>1470</v>
      </c>
      <c r="E11" s="4" t="s">
        <v>1471</v>
      </c>
    </row>
    <row r="12" customFormat="false" ht="15" hidden="false" customHeight="false" outlineLevel="0" collapsed="false">
      <c r="A12" s="4" t="s">
        <v>1472</v>
      </c>
      <c r="B12" s="4" t="s">
        <v>1473</v>
      </c>
      <c r="C12" s="4" t="s">
        <v>1474</v>
      </c>
      <c r="D12" s="4" t="s">
        <v>1475</v>
      </c>
      <c r="E12" s="4" t="s">
        <v>1476</v>
      </c>
    </row>
    <row r="13" customFormat="false" ht="15" hidden="false" customHeight="false" outlineLevel="0" collapsed="false">
      <c r="A13" s="4" t="s">
        <v>1477</v>
      </c>
      <c r="B13" s="4" t="s">
        <v>1478</v>
      </c>
      <c r="C13" s="4" t="s">
        <v>1479</v>
      </c>
      <c r="D13" s="4" t="s">
        <v>1480</v>
      </c>
      <c r="E13" s="4" t="s">
        <v>1481</v>
      </c>
    </row>
    <row r="14" customFormat="false" ht="15" hidden="false" customHeight="false" outlineLevel="0" collapsed="false">
      <c r="A14" s="4" t="s">
        <v>1482</v>
      </c>
      <c r="B14" s="4" t="s">
        <v>1480</v>
      </c>
      <c r="C14" s="4" t="s">
        <v>1483</v>
      </c>
      <c r="D14" s="4" t="s">
        <v>1484</v>
      </c>
      <c r="E14" s="4" t="s">
        <v>1484</v>
      </c>
    </row>
    <row r="17" customFormat="false" ht="15" hidden="false" customHeight="false" outlineLevel="0" collapsed="false">
      <c r="A17" s="17" t="s">
        <v>1485</v>
      </c>
      <c r="B17" s="18"/>
      <c r="C17" s="18"/>
    </row>
    <row r="18" customFormat="false" ht="15" hidden="false" customHeight="false" outlineLevel="0" collapsed="false">
      <c r="A18" s="19" t="s">
        <v>1486</v>
      </c>
    </row>
    <row r="19" customFormat="false" ht="15" hidden="false" customHeight="false" outlineLevel="0" collapsed="false">
      <c r="A19" s="19" t="s">
        <v>1487</v>
      </c>
    </row>
    <row r="20" customFormat="false" ht="15" hidden="false" customHeight="false" outlineLevel="0" collapsed="false">
      <c r="A20" s="24" t="s">
        <v>1459</v>
      </c>
    </row>
    <row r="21" customFormat="false" ht="15" hidden="false" customHeight="false" outlineLevel="0" collapsed="false">
      <c r="A21" s="21" t="s">
        <v>1488</v>
      </c>
    </row>
    <row r="22" customFormat="false" ht="15" hidden="false" customHeight="false" outlineLevel="0" collapsed="false">
      <c r="A22" s="21" t="s">
        <v>1489</v>
      </c>
    </row>
    <row r="23" customFormat="false" ht="15" hidden="false" customHeight="false" outlineLevel="0" collapsed="false">
      <c r="A23" s="22" t="s">
        <v>1490</v>
      </c>
      <c r="B23" s="22" t="s">
        <v>1491</v>
      </c>
      <c r="C23" s="22" t="s">
        <v>1492</v>
      </c>
    </row>
    <row r="24" customFormat="false" ht="15" hidden="false" customHeight="false" outlineLevel="0" collapsed="false">
      <c r="A24" s="4" t="s">
        <v>1493</v>
      </c>
      <c r="B24" s="4" t="s">
        <v>1494</v>
      </c>
      <c r="C24" s="4" t="s">
        <v>1495</v>
      </c>
    </row>
    <row r="25" customFormat="false" ht="23.85" hidden="false" customHeight="false" outlineLevel="0" collapsed="false">
      <c r="A25" s="4" t="s">
        <v>1496</v>
      </c>
      <c r="B25" s="4" t="s">
        <v>1497</v>
      </c>
      <c r="C25" s="4" t="s">
        <v>1498</v>
      </c>
    </row>
    <row r="26" customFormat="false" ht="15" hidden="false" customHeight="false" outlineLevel="0" collapsed="false">
      <c r="A26" s="4" t="s">
        <v>1499</v>
      </c>
      <c r="B26" s="4" t="s">
        <v>1500</v>
      </c>
      <c r="C26" s="4" t="s">
        <v>1501</v>
      </c>
    </row>
    <row r="27" customFormat="false" ht="15" hidden="false" customHeight="false" outlineLevel="0" collapsed="false">
      <c r="A27" s="4" t="s">
        <v>1502</v>
      </c>
      <c r="B27" s="4" t="s">
        <v>1503</v>
      </c>
      <c r="C27" s="4" t="s">
        <v>1504</v>
      </c>
    </row>
    <row r="28" customFormat="false" ht="23.85" hidden="false" customHeight="false" outlineLevel="0" collapsed="false">
      <c r="A28" s="4" t="s">
        <v>1505</v>
      </c>
      <c r="B28" s="4" t="s">
        <v>1506</v>
      </c>
      <c r="C28" s="4" t="s">
        <v>1507</v>
      </c>
    </row>
    <row r="31" customFormat="false" ht="15" hidden="false" customHeight="false" outlineLevel="0" collapsed="false">
      <c r="A31" s="17" t="s">
        <v>1508</v>
      </c>
      <c r="B31" s="18"/>
      <c r="C31" s="18"/>
    </row>
    <row r="32" customFormat="false" ht="15" hidden="false" customHeight="false" outlineLevel="0" collapsed="false">
      <c r="A32" s="19" t="s">
        <v>1509</v>
      </c>
    </row>
    <row r="33" customFormat="false" ht="15" hidden="false" customHeight="false" outlineLevel="0" collapsed="false">
      <c r="A33" s="23" t="s">
        <v>1246</v>
      </c>
    </row>
    <row r="34" customFormat="false" ht="15" hidden="false" customHeight="false" outlineLevel="0" collapsed="false">
      <c r="A34" s="21" t="s">
        <v>1510</v>
      </c>
    </row>
    <row r="35" customFormat="false" ht="15" hidden="false" customHeight="false" outlineLevel="0" collapsed="false">
      <c r="A35" s="21" t="s">
        <v>1511</v>
      </c>
    </row>
    <row r="36" customFormat="false" ht="15" hidden="false" customHeight="false" outlineLevel="0" collapsed="false">
      <c r="A36" s="22" t="s">
        <v>1318</v>
      </c>
      <c r="B36" s="22" t="s">
        <v>1512</v>
      </c>
      <c r="C36" s="22" t="s">
        <v>1513</v>
      </c>
    </row>
    <row r="37" customFormat="false" ht="46.25" hidden="false" customHeight="false" outlineLevel="0" collapsed="false">
      <c r="A37" s="4" t="s">
        <v>1514</v>
      </c>
      <c r="B37" s="4" t="s">
        <v>1515</v>
      </c>
      <c r="C37" s="4" t="s">
        <v>1516</v>
      </c>
    </row>
    <row r="38" customFormat="false" ht="35.05" hidden="false" customHeight="false" outlineLevel="0" collapsed="false">
      <c r="A38" s="4" t="s">
        <v>1517</v>
      </c>
      <c r="B38" s="4" t="s">
        <v>1518</v>
      </c>
      <c r="C38" s="4" t="s">
        <v>1519</v>
      </c>
    </row>
    <row r="39" customFormat="false" ht="23.85" hidden="false" customHeight="false" outlineLevel="0" collapsed="false">
      <c r="A39" s="4" t="s">
        <v>1520</v>
      </c>
      <c r="B39" s="4" t="s">
        <v>1521</v>
      </c>
      <c r="C39" s="4" t="s">
        <v>1522</v>
      </c>
    </row>
    <row r="40" customFormat="false" ht="23.85" hidden="false" customHeight="false" outlineLevel="0" collapsed="false">
      <c r="A40" s="4" t="s">
        <v>1523</v>
      </c>
      <c r="B40" s="4" t="s">
        <v>1524</v>
      </c>
      <c r="C40" s="4" t="s">
        <v>1525</v>
      </c>
    </row>
    <row r="43" customFormat="false" ht="15" hidden="false" customHeight="false" outlineLevel="0" collapsed="false">
      <c r="A43" s="17" t="s">
        <v>1526</v>
      </c>
      <c r="B43" s="18"/>
      <c r="C43" s="18"/>
    </row>
    <row r="44" customFormat="false" ht="15" hidden="false" customHeight="false" outlineLevel="0" collapsed="false">
      <c r="A44" s="19" t="s">
        <v>1527</v>
      </c>
    </row>
    <row r="45" customFormat="false" ht="15" hidden="false" customHeight="false" outlineLevel="0" collapsed="false">
      <c r="A45" s="19" t="s">
        <v>1528</v>
      </c>
    </row>
    <row r="46" customFormat="false" ht="15" hidden="false" customHeight="false" outlineLevel="0" collapsed="false">
      <c r="A46" s="23" t="s">
        <v>1246</v>
      </c>
    </row>
    <row r="47" customFormat="false" ht="15" hidden="false" customHeight="false" outlineLevel="0" collapsed="false">
      <c r="A47" s="21" t="s">
        <v>1529</v>
      </c>
    </row>
    <row r="48" customFormat="false" ht="15" hidden="false" customHeight="false" outlineLevel="0" collapsed="false">
      <c r="A48" s="21" t="s">
        <v>1530</v>
      </c>
    </row>
    <row r="49" customFormat="false" ht="15" hidden="false" customHeight="false" outlineLevel="0" collapsed="false">
      <c r="A49" s="22" t="s">
        <v>1531</v>
      </c>
      <c r="B49" s="22" t="s">
        <v>1532</v>
      </c>
      <c r="C49" s="22" t="s">
        <v>1533</v>
      </c>
    </row>
    <row r="50" customFormat="false" ht="35.05" hidden="false" customHeight="false" outlineLevel="0" collapsed="false">
      <c r="A50" s="4" t="s">
        <v>1534</v>
      </c>
      <c r="B50" s="4" t="s">
        <v>1535</v>
      </c>
      <c r="C50" s="4" t="s">
        <v>1536</v>
      </c>
    </row>
    <row r="51" customFormat="false" ht="15" hidden="false" customHeight="false" outlineLevel="0" collapsed="false">
      <c r="A51" s="4" t="s">
        <v>1537</v>
      </c>
      <c r="B51" s="4" t="s">
        <v>1538</v>
      </c>
      <c r="C51" s="4" t="s">
        <v>1539</v>
      </c>
    </row>
    <row r="52" customFormat="false" ht="15" hidden="false" customHeight="false" outlineLevel="0" collapsed="false">
      <c r="A52" s="4" t="s">
        <v>1540</v>
      </c>
      <c r="B52" s="4" t="s">
        <v>1541</v>
      </c>
      <c r="C52" s="4" t="s">
        <v>1542</v>
      </c>
    </row>
    <row r="53" customFormat="false" ht="15" hidden="false" customHeight="false" outlineLevel="0" collapsed="false">
      <c r="A53" s="4" t="s">
        <v>1543</v>
      </c>
      <c r="B53" s="4" t="s">
        <v>1544</v>
      </c>
      <c r="C53" s="4" t="s">
        <v>1545</v>
      </c>
    </row>
    <row r="56" customFormat="false" ht="15" hidden="false" customHeight="false" outlineLevel="0" collapsed="false">
      <c r="A56" s="17" t="s">
        <v>1546</v>
      </c>
      <c r="B56" s="18"/>
      <c r="C56" s="18"/>
    </row>
    <row r="57" customFormat="false" ht="15" hidden="false" customHeight="false" outlineLevel="0" collapsed="false">
      <c r="A57" s="19" t="s">
        <v>1547</v>
      </c>
    </row>
    <row r="58" customFormat="false" ht="15" hidden="false" customHeight="false" outlineLevel="0" collapsed="false">
      <c r="A58" s="19" t="s">
        <v>1548</v>
      </c>
    </row>
    <row r="59" customFormat="false" ht="15" hidden="false" customHeight="false" outlineLevel="0" collapsed="false">
      <c r="A59" s="23" t="s">
        <v>1246</v>
      </c>
    </row>
    <row r="60" customFormat="false" ht="15" hidden="false" customHeight="false" outlineLevel="0" collapsed="false">
      <c r="A60" s="21" t="s">
        <v>1549</v>
      </c>
    </row>
    <row r="61" customFormat="false" ht="15" hidden="false" customHeight="false" outlineLevel="0" collapsed="false">
      <c r="A61" s="21" t="s">
        <v>1550</v>
      </c>
    </row>
    <row r="62" customFormat="false" ht="15" hidden="false" customHeight="false" outlineLevel="0" collapsed="false">
      <c r="A62" s="22" t="s">
        <v>1551</v>
      </c>
      <c r="B62" s="22" t="s">
        <v>1552</v>
      </c>
      <c r="C62" s="22" t="s">
        <v>1553</v>
      </c>
    </row>
    <row r="63" customFormat="false" ht="15" hidden="false" customHeight="false" outlineLevel="0" collapsed="false">
      <c r="A63" s="4" t="n">
        <v>2014</v>
      </c>
      <c r="B63" s="4" t="s">
        <v>1554</v>
      </c>
      <c r="C63" s="4" t="s">
        <v>1555</v>
      </c>
    </row>
    <row r="64" customFormat="false" ht="15" hidden="false" customHeight="false" outlineLevel="0" collapsed="false">
      <c r="A64" s="4" t="n">
        <v>2018</v>
      </c>
      <c r="B64" s="4" t="s">
        <v>1556</v>
      </c>
      <c r="C64" s="4" t="s">
        <v>1557</v>
      </c>
    </row>
    <row r="65" customFormat="false" ht="15" hidden="false" customHeight="false" outlineLevel="0" collapsed="false">
      <c r="A65" s="4" t="n">
        <v>2023</v>
      </c>
      <c r="B65" s="4" t="s">
        <v>1558</v>
      </c>
      <c r="C65" s="4" t="s">
        <v>1559</v>
      </c>
    </row>
    <row r="66" customFormat="false" ht="15" hidden="false" customHeight="false" outlineLevel="0" collapsed="false">
      <c r="A66" s="4" t="s">
        <v>1560</v>
      </c>
      <c r="B66" s="4" t="s">
        <v>1561</v>
      </c>
      <c r="C66" s="4" t="s">
        <v>1562</v>
      </c>
    </row>
    <row r="69" customFormat="false" ht="15" hidden="false" customHeight="false" outlineLevel="0" collapsed="false">
      <c r="A69" s="17" t="s">
        <v>1563</v>
      </c>
      <c r="B69" s="18"/>
      <c r="C69" s="18"/>
    </row>
    <row r="70" customFormat="false" ht="15" hidden="false" customHeight="false" outlineLevel="0" collapsed="false">
      <c r="A70" s="19" t="s">
        <v>1564</v>
      </c>
    </row>
    <row r="71" customFormat="false" ht="15" hidden="false" customHeight="false" outlineLevel="0" collapsed="false">
      <c r="A71" s="23" t="s">
        <v>1246</v>
      </c>
    </row>
    <row r="72" customFormat="false" ht="15" hidden="false" customHeight="false" outlineLevel="0" collapsed="false">
      <c r="A72" s="21" t="s">
        <v>1565</v>
      </c>
    </row>
    <row r="73" customFormat="false" ht="15" hidden="false" customHeight="false" outlineLevel="0" collapsed="false">
      <c r="A73" s="21" t="s">
        <v>1566</v>
      </c>
    </row>
    <row r="74" customFormat="false" ht="15" hidden="false" customHeight="false" outlineLevel="0" collapsed="false">
      <c r="A74" s="22" t="s">
        <v>1567</v>
      </c>
      <c r="B74" s="22" t="s">
        <v>1568</v>
      </c>
      <c r="C74" s="22" t="s">
        <v>1569</v>
      </c>
    </row>
    <row r="75" customFormat="false" ht="15" hidden="false" customHeight="false" outlineLevel="0" collapsed="false">
      <c r="A75" s="4" t="s">
        <v>1570</v>
      </c>
      <c r="B75" s="4" t="s">
        <v>1571</v>
      </c>
      <c r="C75" s="4" t="s">
        <v>1572</v>
      </c>
    </row>
    <row r="76" customFormat="false" ht="35.05" hidden="false" customHeight="false" outlineLevel="0" collapsed="false">
      <c r="A76" s="4" t="s">
        <v>1573</v>
      </c>
      <c r="B76" s="4" t="s">
        <v>1574</v>
      </c>
      <c r="C76" s="4" t="s">
        <v>1575</v>
      </c>
    </row>
    <row r="77" customFormat="false" ht="15" hidden="false" customHeight="false" outlineLevel="0" collapsed="false">
      <c r="A77" s="4" t="s">
        <v>1576</v>
      </c>
      <c r="B77" s="4" t="s">
        <v>1577</v>
      </c>
      <c r="C77" s="4" t="s">
        <v>1578</v>
      </c>
    </row>
    <row r="78" customFormat="false" ht="15" hidden="false" customHeight="false" outlineLevel="0" collapsed="false">
      <c r="A78" s="4" t="s">
        <v>1579</v>
      </c>
      <c r="B78" s="4" t="s">
        <v>1571</v>
      </c>
      <c r="C78" s="4" t="s">
        <v>1580</v>
      </c>
    </row>
    <row r="79" customFormat="false" ht="15" hidden="false" customHeight="false" outlineLevel="0" collapsed="false">
      <c r="A79" s="4" t="s">
        <v>1581</v>
      </c>
      <c r="B79" s="4" t="s">
        <v>1582</v>
      </c>
      <c r="C79" s="4" t="s">
        <v>1583</v>
      </c>
    </row>
    <row r="80" customFormat="false" ht="15" hidden="false" customHeight="false" outlineLevel="0" collapsed="false">
      <c r="A80" s="4" t="s">
        <v>1584</v>
      </c>
      <c r="B80" s="4" t="s">
        <v>1585</v>
      </c>
      <c r="C80" s="4" t="s">
        <v>1586</v>
      </c>
    </row>
    <row r="83" customFormat="false" ht="15" hidden="false" customHeight="false" outlineLevel="0" collapsed="false">
      <c r="A83" s="17" t="s">
        <v>1587</v>
      </c>
      <c r="B83" s="18"/>
      <c r="C83" s="18"/>
    </row>
    <row r="84" customFormat="false" ht="15" hidden="false" customHeight="false" outlineLevel="0" collapsed="false">
      <c r="A84" s="19" t="s">
        <v>1588</v>
      </c>
    </row>
    <row r="85" customFormat="false" ht="15" hidden="false" customHeight="false" outlineLevel="0" collapsed="false">
      <c r="A85" s="20" t="s">
        <v>1193</v>
      </c>
    </row>
    <row r="86" customFormat="false" ht="15" hidden="false" customHeight="false" outlineLevel="0" collapsed="false">
      <c r="A86" s="21" t="s">
        <v>1589</v>
      </c>
    </row>
    <row r="87" customFormat="false" ht="15" hidden="false" customHeight="false" outlineLevel="0" collapsed="false">
      <c r="A87" s="21" t="s">
        <v>1590</v>
      </c>
    </row>
    <row r="88" customFormat="false" ht="15" hidden="false" customHeight="false" outlineLevel="0" collapsed="false">
      <c r="A88" s="22" t="s">
        <v>1591</v>
      </c>
      <c r="B88" s="22" t="s">
        <v>1592</v>
      </c>
      <c r="C88" s="22" t="s">
        <v>1593</v>
      </c>
    </row>
    <row r="89" customFormat="false" ht="23.85" hidden="false" customHeight="false" outlineLevel="0" collapsed="false">
      <c r="A89" s="4" t="s">
        <v>1594</v>
      </c>
      <c r="B89" s="4" t="s">
        <v>1595</v>
      </c>
      <c r="C89" s="4" t="s">
        <v>1596</v>
      </c>
    </row>
    <row r="90" customFormat="false" ht="23.85" hidden="false" customHeight="false" outlineLevel="0" collapsed="false">
      <c r="A90" s="4" t="s">
        <v>1597</v>
      </c>
      <c r="B90" s="4" t="s">
        <v>1598</v>
      </c>
      <c r="C90" s="4" t="s">
        <v>1599</v>
      </c>
    </row>
    <row r="91" customFormat="false" ht="35.05" hidden="false" customHeight="false" outlineLevel="0" collapsed="false">
      <c r="A91" s="4" t="s">
        <v>1600</v>
      </c>
      <c r="B91" s="4" t="s">
        <v>1601</v>
      </c>
      <c r="C91" s="4" t="s">
        <v>1602</v>
      </c>
    </row>
    <row r="92" customFormat="false" ht="23.85" hidden="false" customHeight="false" outlineLevel="0" collapsed="false">
      <c r="A92" s="4" t="s">
        <v>1603</v>
      </c>
      <c r="B92" s="4" t="s">
        <v>1604</v>
      </c>
      <c r="C92" s="4" t="s">
        <v>1605</v>
      </c>
    </row>
    <row r="93" customFormat="false" ht="35.05" hidden="false" customHeight="false" outlineLevel="0" collapsed="false">
      <c r="A93" s="4" t="s">
        <v>1606</v>
      </c>
      <c r="B93" s="4" t="s">
        <v>1607</v>
      </c>
      <c r="C93" s="4" t="s">
        <v>1608</v>
      </c>
    </row>
    <row r="94" customFormat="false" ht="35.05" hidden="false" customHeight="false" outlineLevel="0" collapsed="false">
      <c r="A94" s="4" t="s">
        <v>1609</v>
      </c>
      <c r="B94" s="4" t="s">
        <v>1610</v>
      </c>
      <c r="C94" s="4" t="s">
        <v>1611</v>
      </c>
    </row>
    <row r="95" customFormat="false" ht="23.85" hidden="false" customHeight="false" outlineLevel="0" collapsed="false">
      <c r="A95" s="4" t="s">
        <v>1612</v>
      </c>
      <c r="B95" s="4" t="s">
        <v>1613</v>
      </c>
      <c r="C95" s="4" t="s">
        <v>1614</v>
      </c>
    </row>
    <row r="96" customFormat="false" ht="23.85" hidden="false" customHeight="false" outlineLevel="0" collapsed="false">
      <c r="A96" s="4" t="s">
        <v>1615</v>
      </c>
      <c r="B96" s="4" t="s">
        <v>1616</v>
      </c>
      <c r="C96" s="4" t="s">
        <v>1617</v>
      </c>
    </row>
    <row r="97" customFormat="false" ht="23.85" hidden="false" customHeight="false" outlineLevel="0" collapsed="false">
      <c r="A97" s="4" t="s">
        <v>1618</v>
      </c>
      <c r="B97" s="4" t="s">
        <v>1619</v>
      </c>
      <c r="C97" s="4" t="s">
        <v>1620</v>
      </c>
    </row>
    <row r="98" customFormat="false" ht="23.85" hidden="false" customHeight="false" outlineLevel="0" collapsed="false">
      <c r="A98" s="4" t="s">
        <v>1621</v>
      </c>
      <c r="B98" s="4" t="s">
        <v>1622</v>
      </c>
      <c r="C98" s="4" t="s">
        <v>1623</v>
      </c>
    </row>
    <row r="99" customFormat="false" ht="23.85" hidden="false" customHeight="false" outlineLevel="0" collapsed="false">
      <c r="A99" s="4" t="s">
        <v>1624</v>
      </c>
      <c r="B99" s="4" t="s">
        <v>1625</v>
      </c>
      <c r="C99" s="4" t="s">
        <v>1626</v>
      </c>
    </row>
    <row r="100" customFormat="false" ht="15" hidden="false" customHeight="false" outlineLevel="0" collapsed="false">
      <c r="A100" s="4" t="s">
        <v>1627</v>
      </c>
      <c r="B100" s="4" t="s">
        <v>1628</v>
      </c>
      <c r="C100" s="4" t="s">
        <v>1629</v>
      </c>
    </row>
    <row r="101" customFormat="false" ht="23.85" hidden="false" customHeight="false" outlineLevel="0" collapsed="false">
      <c r="A101" s="4" t="s">
        <v>1630</v>
      </c>
      <c r="B101" s="4" t="s">
        <v>1631</v>
      </c>
      <c r="C101" s="4" t="s">
        <v>1632</v>
      </c>
    </row>
    <row r="102" customFormat="false" ht="23.85" hidden="false" customHeight="false" outlineLevel="0" collapsed="false">
      <c r="A102" s="4" t="s">
        <v>1633</v>
      </c>
      <c r="B102" s="4" t="s">
        <v>1634</v>
      </c>
      <c r="C102" s="4" t="s">
        <v>1635</v>
      </c>
    </row>
    <row r="103" customFormat="false" ht="23.85" hidden="false" customHeight="false" outlineLevel="0" collapsed="false">
      <c r="A103" s="4" t="s">
        <v>1636</v>
      </c>
      <c r="B103" s="4" t="s">
        <v>1296</v>
      </c>
      <c r="C103" s="4" t="s">
        <v>1637</v>
      </c>
    </row>
    <row r="106" customFormat="false" ht="15" hidden="false" customHeight="false" outlineLevel="0" collapsed="false">
      <c r="A106" s="17" t="s">
        <v>1638</v>
      </c>
      <c r="B106" s="18"/>
      <c r="C106" s="18"/>
    </row>
    <row r="107" customFormat="false" ht="15" hidden="false" customHeight="false" outlineLevel="0" collapsed="false">
      <c r="A107" s="19" t="s">
        <v>1639</v>
      </c>
    </row>
    <row r="108" customFormat="false" ht="15" hidden="false" customHeight="false" outlineLevel="0" collapsed="false">
      <c r="A108" s="20" t="s">
        <v>1193</v>
      </c>
    </row>
    <row r="109" customFormat="false" ht="15" hidden="false" customHeight="false" outlineLevel="0" collapsed="false">
      <c r="A109" s="21" t="s">
        <v>1640</v>
      </c>
    </row>
    <row r="110" customFormat="false" ht="15" hidden="false" customHeight="false" outlineLevel="0" collapsed="false">
      <c r="A110" s="21" t="s">
        <v>1641</v>
      </c>
    </row>
    <row r="111" customFormat="false" ht="15" hidden="false" customHeight="false" outlineLevel="0" collapsed="false">
      <c r="A111" s="22" t="s">
        <v>1642</v>
      </c>
      <c r="B111" s="22" t="s">
        <v>1643</v>
      </c>
      <c r="C111" s="22" t="s">
        <v>1426</v>
      </c>
    </row>
    <row r="112" customFormat="false" ht="23.85" hidden="false" customHeight="false" outlineLevel="0" collapsed="false">
      <c r="A112" s="4" t="s">
        <v>1644</v>
      </c>
      <c r="B112" s="4" t="s">
        <v>1645</v>
      </c>
      <c r="C112" s="4" t="s">
        <v>1646</v>
      </c>
    </row>
    <row r="113" customFormat="false" ht="15" hidden="false" customHeight="false" outlineLevel="0" collapsed="false">
      <c r="A113" s="4" t="s">
        <v>1647</v>
      </c>
      <c r="B113" s="4" t="s">
        <v>1648</v>
      </c>
      <c r="C113" s="4" t="s">
        <v>1649</v>
      </c>
    </row>
    <row r="114" customFormat="false" ht="23.85" hidden="false" customHeight="false" outlineLevel="0" collapsed="false">
      <c r="A114" s="4" t="s">
        <v>1650</v>
      </c>
      <c r="B114" s="4" t="s">
        <v>1651</v>
      </c>
      <c r="C114" s="4" t="s">
        <v>1652</v>
      </c>
    </row>
    <row r="115" customFormat="false" ht="15" hidden="false" customHeight="false" outlineLevel="0" collapsed="false">
      <c r="A115" s="4" t="s">
        <v>1653</v>
      </c>
      <c r="B115" s="4" t="s">
        <v>1654</v>
      </c>
      <c r="C115" s="4" t="s">
        <v>1655</v>
      </c>
    </row>
    <row r="116" customFormat="false" ht="15" hidden="false" customHeight="false" outlineLevel="0" collapsed="false">
      <c r="A116" s="4" t="s">
        <v>1656</v>
      </c>
      <c r="B116" s="4" t="s">
        <v>1657</v>
      </c>
      <c r="C116" s="4" t="s">
        <v>1658</v>
      </c>
    </row>
    <row r="117" customFormat="false" ht="23.85" hidden="false" customHeight="false" outlineLevel="0" collapsed="false">
      <c r="A117" s="4" t="s">
        <v>1659</v>
      </c>
      <c r="B117" s="4" t="s">
        <v>1660</v>
      </c>
      <c r="C117" s="4" t="s">
        <v>1661</v>
      </c>
    </row>
    <row r="118" customFormat="false" ht="15" hidden="false" customHeight="false" outlineLevel="0" collapsed="false">
      <c r="A118" s="4" t="s">
        <v>1662</v>
      </c>
      <c r="B118" s="4" t="s">
        <v>1663</v>
      </c>
      <c r="C118" s="4" t="s">
        <v>1664</v>
      </c>
    </row>
    <row r="119" customFormat="false" ht="15" hidden="false" customHeight="false" outlineLevel="0" collapsed="false">
      <c r="A119" s="4" t="s">
        <v>1665</v>
      </c>
      <c r="B119" s="4" t="s">
        <v>1666</v>
      </c>
      <c r="C119" s="4" t="s">
        <v>1667</v>
      </c>
    </row>
    <row r="122" customFormat="false" ht="15" hidden="false" customHeight="false" outlineLevel="0" collapsed="false">
      <c r="A122" s="17" t="s">
        <v>1668</v>
      </c>
      <c r="B122" s="18"/>
      <c r="C122" s="18"/>
    </row>
    <row r="123" customFormat="false" ht="15" hidden="false" customHeight="false" outlineLevel="0" collapsed="false">
      <c r="A123" s="19" t="s">
        <v>1669</v>
      </c>
    </row>
    <row r="124" customFormat="false" ht="15" hidden="false" customHeight="false" outlineLevel="0" collapsed="false">
      <c r="A124" s="24" t="s">
        <v>1459</v>
      </c>
    </row>
    <row r="125" customFormat="false" ht="15" hidden="false" customHeight="false" outlineLevel="0" collapsed="false">
      <c r="A125" s="21" t="s">
        <v>1670</v>
      </c>
    </row>
    <row r="126" customFormat="false" ht="15" hidden="false" customHeight="false" outlineLevel="0" collapsed="false">
      <c r="A126" s="21" t="s">
        <v>1671</v>
      </c>
    </row>
    <row r="127" customFormat="false" ht="15" hidden="false" customHeight="false" outlineLevel="0" collapsed="false">
      <c r="A127" s="22"/>
      <c r="B127" s="22" t="s">
        <v>1672</v>
      </c>
      <c r="C127" s="22" t="s">
        <v>1673</v>
      </c>
    </row>
    <row r="128" customFormat="false" ht="15" hidden="false" customHeight="false" outlineLevel="0" collapsed="false">
      <c r="A128" s="4" t="s">
        <v>1674</v>
      </c>
      <c r="B128" s="4" t="s">
        <v>1675</v>
      </c>
      <c r="C128" s="4" t="s">
        <v>1676</v>
      </c>
    </row>
    <row r="129" customFormat="false" ht="15" hidden="false" customHeight="false" outlineLevel="0" collapsed="false">
      <c r="A129" s="4" t="s">
        <v>1677</v>
      </c>
      <c r="B129" s="4" t="s">
        <v>1678</v>
      </c>
      <c r="C129" s="4" t="s">
        <v>1679</v>
      </c>
    </row>
    <row r="130" customFormat="false" ht="15" hidden="false" customHeight="false" outlineLevel="0" collapsed="false">
      <c r="A130" s="4" t="s">
        <v>1680</v>
      </c>
      <c r="B130" s="4" t="s">
        <v>1681</v>
      </c>
      <c r="C130" s="4" t="s">
        <v>1682</v>
      </c>
    </row>
    <row r="131" customFormat="false" ht="15" hidden="false" customHeight="false" outlineLevel="0" collapsed="false">
      <c r="A131" s="4" t="s">
        <v>1250</v>
      </c>
      <c r="B131" s="4" t="s">
        <v>1683</v>
      </c>
      <c r="C131" s="4" t="s">
        <v>1684</v>
      </c>
    </row>
    <row r="132" customFormat="false" ht="15" hidden="false" customHeight="false" outlineLevel="0" collapsed="false">
      <c r="A132" s="4" t="s">
        <v>1685</v>
      </c>
      <c r="B132" s="4" t="s">
        <v>1686</v>
      </c>
      <c r="C132" s="4" t="s">
        <v>1687</v>
      </c>
    </row>
    <row r="133" customFormat="false" ht="15" hidden="false" customHeight="false" outlineLevel="0" collapsed="false">
      <c r="A133" s="4" t="s">
        <v>1688</v>
      </c>
      <c r="B133" s="4" t="s">
        <v>1689</v>
      </c>
      <c r="C133" s="4" t="s">
        <v>1690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4" min="1" style="0" width="56"/>
    <col collapsed="false" customWidth="true" hidden="false" outlineLevel="0" max="5" min="5" style="0" width="52.4"/>
    <col collapsed="false" customWidth="true" hidden="false" outlineLevel="0" max="6" min="6" style="0" width="56"/>
  </cols>
  <sheetData>
    <row r="1" customFormat="false" ht="17.35" hidden="false" customHeight="false" outlineLevel="0" collapsed="false">
      <c r="A1" s="1" t="s">
        <v>95</v>
      </c>
    </row>
    <row r="2" customFormat="false" ht="15" hidden="false" customHeight="false" outlineLevel="0" collapsed="false">
      <c r="A2" s="14" t="s">
        <v>1691</v>
      </c>
    </row>
    <row r="4" customFormat="false" ht="15" hidden="false" customHeight="false" outlineLevel="0" collapsed="false">
      <c r="A4" s="17" t="s">
        <v>1692</v>
      </c>
      <c r="B4" s="18"/>
      <c r="C4" s="18"/>
      <c r="D4" s="18"/>
    </row>
    <row r="5" customFormat="false" ht="15" hidden="false" customHeight="false" outlineLevel="0" collapsed="false">
      <c r="A5" s="19" t="s">
        <v>1693</v>
      </c>
    </row>
    <row r="6" customFormat="false" ht="15" hidden="false" customHeight="false" outlineLevel="0" collapsed="false">
      <c r="A6" s="19" t="s">
        <v>1694</v>
      </c>
    </row>
    <row r="7" customFormat="false" ht="15" hidden="false" customHeight="false" outlineLevel="0" collapsed="false">
      <c r="A7" s="20" t="s">
        <v>1193</v>
      </c>
    </row>
    <row r="8" customFormat="false" ht="15" hidden="false" customHeight="false" outlineLevel="0" collapsed="false">
      <c r="A8" s="21" t="s">
        <v>1695</v>
      </c>
    </row>
    <row r="9" customFormat="false" ht="15" hidden="false" customHeight="false" outlineLevel="0" collapsed="false">
      <c r="A9" s="21" t="s">
        <v>1696</v>
      </c>
    </row>
    <row r="10" customFormat="false" ht="15" hidden="false" customHeight="false" outlineLevel="0" collapsed="false">
      <c r="A10" s="22" t="s">
        <v>1697</v>
      </c>
      <c r="B10" s="22" t="s">
        <v>1551</v>
      </c>
      <c r="C10" s="22" t="s">
        <v>1698</v>
      </c>
      <c r="D10" s="22" t="s">
        <v>1699</v>
      </c>
    </row>
    <row r="11" customFormat="false" ht="15" hidden="false" customHeight="false" outlineLevel="0" collapsed="false">
      <c r="A11" s="4" t="s">
        <v>1644</v>
      </c>
      <c r="B11" s="4" t="s">
        <v>1700</v>
      </c>
      <c r="C11" s="4" t="s">
        <v>1645</v>
      </c>
      <c r="D11" s="4" t="s">
        <v>1701</v>
      </c>
    </row>
    <row r="12" customFormat="false" ht="15" hidden="false" customHeight="false" outlineLevel="0" collapsed="false">
      <c r="A12" s="4" t="s">
        <v>1647</v>
      </c>
      <c r="B12" s="4" t="s">
        <v>1702</v>
      </c>
      <c r="C12" s="4" t="s">
        <v>1703</v>
      </c>
      <c r="D12" s="4" t="s">
        <v>1704</v>
      </c>
    </row>
    <row r="13" customFormat="false" ht="23.85" hidden="false" customHeight="false" outlineLevel="0" collapsed="false">
      <c r="A13" s="4" t="s">
        <v>1705</v>
      </c>
      <c r="B13" s="4" t="s">
        <v>1706</v>
      </c>
      <c r="C13" s="4" t="s">
        <v>1707</v>
      </c>
      <c r="D13" s="4" t="s">
        <v>1708</v>
      </c>
    </row>
    <row r="14" customFormat="false" ht="15" hidden="false" customHeight="false" outlineLevel="0" collapsed="false">
      <c r="A14" s="4" t="s">
        <v>1709</v>
      </c>
      <c r="B14" s="4" t="s">
        <v>1710</v>
      </c>
      <c r="C14" s="4" t="s">
        <v>1711</v>
      </c>
      <c r="D14" s="4" t="s">
        <v>1712</v>
      </c>
    </row>
    <row r="15" customFormat="false" ht="15" hidden="false" customHeight="false" outlineLevel="0" collapsed="false">
      <c r="A15" s="4" t="s">
        <v>1713</v>
      </c>
      <c r="B15" s="4" t="s">
        <v>1714</v>
      </c>
      <c r="C15" s="4" t="s">
        <v>1555</v>
      </c>
      <c r="D15" s="4" t="s">
        <v>1715</v>
      </c>
    </row>
    <row r="16" customFormat="false" ht="15" hidden="false" customHeight="false" outlineLevel="0" collapsed="false">
      <c r="A16" s="4" t="s">
        <v>1716</v>
      </c>
      <c r="B16" s="4" t="n">
        <v>2029</v>
      </c>
      <c r="C16" s="4" t="s">
        <v>1717</v>
      </c>
      <c r="D16" s="4" t="s">
        <v>1718</v>
      </c>
    </row>
    <row r="19" customFormat="false" ht="15" hidden="false" customHeight="false" outlineLevel="0" collapsed="false">
      <c r="A19" s="17" t="s">
        <v>1719</v>
      </c>
      <c r="B19" s="18"/>
      <c r="C19" s="18"/>
      <c r="D19" s="18"/>
      <c r="E19" s="18"/>
      <c r="F19" s="18"/>
    </row>
    <row r="20" customFormat="false" ht="15" hidden="false" customHeight="false" outlineLevel="0" collapsed="false">
      <c r="A20" s="19" t="s">
        <v>1720</v>
      </c>
    </row>
    <row r="21" customFormat="false" ht="15" hidden="false" customHeight="false" outlineLevel="0" collapsed="false">
      <c r="A21" s="19" t="s">
        <v>1721</v>
      </c>
    </row>
    <row r="22" customFormat="false" ht="15" hidden="false" customHeight="false" outlineLevel="0" collapsed="false">
      <c r="A22" s="23" t="s">
        <v>1246</v>
      </c>
    </row>
    <row r="23" customFormat="false" ht="15" hidden="false" customHeight="false" outlineLevel="0" collapsed="false">
      <c r="A23" s="21" t="s">
        <v>1722</v>
      </c>
    </row>
    <row r="24" customFormat="false" ht="15" hidden="false" customHeight="false" outlineLevel="0" collapsed="false">
      <c r="A24" s="21" t="s">
        <v>1723</v>
      </c>
    </row>
    <row r="25" customFormat="false" ht="15" hidden="false" customHeight="false" outlineLevel="0" collapsed="false">
      <c r="A25" s="22" t="s">
        <v>1724</v>
      </c>
      <c r="B25" s="22" t="s">
        <v>1725</v>
      </c>
      <c r="C25" s="22" t="s">
        <v>1726</v>
      </c>
      <c r="D25" s="22" t="s">
        <v>1727</v>
      </c>
      <c r="E25" s="22" t="s">
        <v>1728</v>
      </c>
      <c r="F25" s="22" t="s">
        <v>1426</v>
      </c>
    </row>
    <row r="26" customFormat="false" ht="15" hidden="false" customHeight="false" outlineLevel="0" collapsed="false">
      <c r="A26" s="4" t="s">
        <v>1729</v>
      </c>
      <c r="B26" s="4" t="s">
        <v>1730</v>
      </c>
      <c r="C26" s="4" t="s">
        <v>1731</v>
      </c>
      <c r="D26" s="4" t="s">
        <v>1731</v>
      </c>
      <c r="E26" s="4" t="s">
        <v>1732</v>
      </c>
      <c r="F26" s="4" t="s">
        <v>1733</v>
      </c>
    </row>
    <row r="27" customFormat="false" ht="23.85" hidden="false" customHeight="false" outlineLevel="0" collapsed="false">
      <c r="A27" s="4" t="s">
        <v>1630</v>
      </c>
      <c r="B27" s="4" t="s">
        <v>1734</v>
      </c>
      <c r="C27" s="4" t="s">
        <v>1735</v>
      </c>
      <c r="D27" s="4" t="s">
        <v>1736</v>
      </c>
      <c r="E27" s="4" t="s">
        <v>1737</v>
      </c>
      <c r="F27" s="4" t="s">
        <v>1738</v>
      </c>
    </row>
    <row r="28" customFormat="false" ht="23.85" hidden="false" customHeight="false" outlineLevel="0" collapsed="false">
      <c r="A28" s="4" t="s">
        <v>1739</v>
      </c>
      <c r="B28" s="4" t="s">
        <v>1740</v>
      </c>
      <c r="C28" s="4" t="s">
        <v>1741</v>
      </c>
      <c r="D28" s="4" t="s">
        <v>1742</v>
      </c>
      <c r="E28" s="4" t="s">
        <v>1743</v>
      </c>
      <c r="F28" s="4" t="s">
        <v>1744</v>
      </c>
    </row>
    <row r="29" customFormat="false" ht="15" hidden="false" customHeight="false" outlineLevel="0" collapsed="false">
      <c r="A29" s="4" t="s">
        <v>1745</v>
      </c>
      <c r="B29" s="4" t="s">
        <v>1746</v>
      </c>
      <c r="C29" s="4" t="s">
        <v>1747</v>
      </c>
      <c r="D29" s="4" t="s">
        <v>1748</v>
      </c>
      <c r="E29" s="4" t="s">
        <v>1749</v>
      </c>
      <c r="F29" s="4" t="s">
        <v>1750</v>
      </c>
    </row>
    <row r="30" customFormat="false" ht="23.85" hidden="false" customHeight="false" outlineLevel="0" collapsed="false">
      <c r="A30" s="4" t="s">
        <v>1751</v>
      </c>
      <c r="B30" s="4" t="s">
        <v>1752</v>
      </c>
      <c r="C30" s="4" t="s">
        <v>1753</v>
      </c>
      <c r="D30" s="4" t="s">
        <v>1754</v>
      </c>
      <c r="E30" s="4" t="s">
        <v>1555</v>
      </c>
      <c r="F30" s="4" t="s">
        <v>1755</v>
      </c>
    </row>
    <row r="33" customFormat="false" ht="15" hidden="false" customHeight="false" outlineLevel="0" collapsed="false">
      <c r="A33" s="17" t="s">
        <v>1756</v>
      </c>
      <c r="B33" s="18"/>
      <c r="C33" s="18"/>
      <c r="D33" s="18"/>
    </row>
    <row r="34" customFormat="false" ht="15" hidden="false" customHeight="false" outlineLevel="0" collapsed="false">
      <c r="A34" s="19" t="s">
        <v>1757</v>
      </c>
    </row>
    <row r="35" customFormat="false" ht="15" hidden="false" customHeight="false" outlineLevel="0" collapsed="false">
      <c r="A35" s="19" t="s">
        <v>1758</v>
      </c>
    </row>
    <row r="36" customFormat="false" ht="15" hidden="false" customHeight="false" outlineLevel="0" collapsed="false">
      <c r="A36" s="23" t="s">
        <v>1246</v>
      </c>
    </row>
    <row r="37" customFormat="false" ht="15" hidden="false" customHeight="false" outlineLevel="0" collapsed="false">
      <c r="A37" s="21" t="s">
        <v>1759</v>
      </c>
    </row>
    <row r="38" customFormat="false" ht="15" hidden="false" customHeight="false" outlineLevel="0" collapsed="false">
      <c r="A38" s="21" t="s">
        <v>1760</v>
      </c>
    </row>
    <row r="39" customFormat="false" ht="15" hidden="false" customHeight="false" outlineLevel="0" collapsed="false">
      <c r="A39" s="22" t="s">
        <v>1761</v>
      </c>
      <c r="B39" s="22" t="s">
        <v>1762</v>
      </c>
      <c r="C39" s="22" t="s">
        <v>1763</v>
      </c>
      <c r="D39" s="22" t="s">
        <v>1255</v>
      </c>
    </row>
    <row r="40" customFormat="false" ht="15" hidden="false" customHeight="false" outlineLevel="0" collapsed="false">
      <c r="A40" s="4" t="s">
        <v>1764</v>
      </c>
      <c r="B40" s="4" t="s">
        <v>1765</v>
      </c>
      <c r="C40" s="4" t="s">
        <v>1766</v>
      </c>
      <c r="D40" s="4" t="s">
        <v>1767</v>
      </c>
    </row>
    <row r="41" customFormat="false" ht="15" hidden="false" customHeight="false" outlineLevel="0" collapsed="false">
      <c r="A41" s="4" t="s">
        <v>1768</v>
      </c>
      <c r="B41" s="4" t="s">
        <v>1765</v>
      </c>
      <c r="C41" s="4" t="s">
        <v>1769</v>
      </c>
      <c r="D41" s="4" t="s">
        <v>1770</v>
      </c>
    </row>
    <row r="42" customFormat="false" ht="15" hidden="false" customHeight="false" outlineLevel="0" collapsed="false">
      <c r="A42" s="4" t="s">
        <v>1771</v>
      </c>
      <c r="B42" s="4" t="s">
        <v>1765</v>
      </c>
      <c r="C42" s="4" t="s">
        <v>1772</v>
      </c>
      <c r="D42" s="4" t="s">
        <v>1773</v>
      </c>
    </row>
    <row r="43" customFormat="false" ht="15" hidden="false" customHeight="false" outlineLevel="0" collapsed="false">
      <c r="A43" s="4" t="s">
        <v>1774</v>
      </c>
      <c r="B43" s="4" t="s">
        <v>1765</v>
      </c>
      <c r="C43" s="4" t="s">
        <v>1775</v>
      </c>
      <c r="D43" s="4" t="s">
        <v>1776</v>
      </c>
    </row>
    <row r="44" customFormat="false" ht="23.85" hidden="false" customHeight="false" outlineLevel="0" collapsed="false">
      <c r="A44" s="4" t="s">
        <v>1777</v>
      </c>
      <c r="B44" s="4" t="s">
        <v>1778</v>
      </c>
      <c r="C44" s="4" t="s">
        <v>1779</v>
      </c>
      <c r="D44" s="4" t="s">
        <v>1780</v>
      </c>
    </row>
    <row r="47" customFormat="false" ht="15" hidden="false" customHeight="false" outlineLevel="0" collapsed="false">
      <c r="A47" s="17" t="s">
        <v>1781</v>
      </c>
      <c r="B47" s="18"/>
      <c r="C47" s="18"/>
    </row>
    <row r="48" customFormat="false" ht="15" hidden="false" customHeight="false" outlineLevel="0" collapsed="false">
      <c r="A48" s="19" t="s">
        <v>1757</v>
      </c>
    </row>
    <row r="49" customFormat="false" ht="15" hidden="false" customHeight="false" outlineLevel="0" collapsed="false">
      <c r="A49" s="19" t="s">
        <v>1782</v>
      </c>
    </row>
    <row r="50" customFormat="false" ht="15" hidden="false" customHeight="false" outlineLevel="0" collapsed="false">
      <c r="A50" s="23" t="s">
        <v>1246</v>
      </c>
    </row>
    <row r="51" customFormat="false" ht="15" hidden="false" customHeight="false" outlineLevel="0" collapsed="false">
      <c r="A51" s="21" t="s">
        <v>1783</v>
      </c>
    </row>
    <row r="52" customFormat="false" ht="15" hidden="false" customHeight="false" outlineLevel="0" collapsed="false">
      <c r="A52" s="21" t="s">
        <v>1784</v>
      </c>
    </row>
    <row r="53" customFormat="false" ht="15" hidden="false" customHeight="false" outlineLevel="0" collapsed="false">
      <c r="A53" s="22" t="s">
        <v>1785</v>
      </c>
      <c r="B53" s="22" t="s">
        <v>1786</v>
      </c>
      <c r="C53" s="22" t="s">
        <v>1787</v>
      </c>
    </row>
    <row r="54" customFormat="false" ht="15" hidden="false" customHeight="false" outlineLevel="0" collapsed="false">
      <c r="A54" s="4" t="s">
        <v>1788</v>
      </c>
      <c r="B54" s="4" t="s">
        <v>1789</v>
      </c>
      <c r="C54" s="4" t="s">
        <v>1790</v>
      </c>
    </row>
    <row r="55" customFormat="false" ht="15" hidden="false" customHeight="false" outlineLevel="0" collapsed="false">
      <c r="A55" s="4" t="s">
        <v>1791</v>
      </c>
      <c r="B55" s="4" t="s">
        <v>1792</v>
      </c>
      <c r="C55" s="4" t="s">
        <v>1793</v>
      </c>
    </row>
    <row r="56" customFormat="false" ht="15" hidden="false" customHeight="false" outlineLevel="0" collapsed="false">
      <c r="A56" s="4" t="s">
        <v>1794</v>
      </c>
      <c r="B56" s="4" t="s">
        <v>1795</v>
      </c>
      <c r="C56" s="4" t="s">
        <v>1796</v>
      </c>
    </row>
    <row r="57" customFormat="false" ht="15" hidden="false" customHeight="false" outlineLevel="0" collapsed="false">
      <c r="A57" s="4" t="s">
        <v>1797</v>
      </c>
      <c r="B57" s="4" t="s">
        <v>1798</v>
      </c>
      <c r="C57" s="4" t="s">
        <v>1799</v>
      </c>
    </row>
    <row r="58" customFormat="false" ht="23.85" hidden="false" customHeight="false" outlineLevel="0" collapsed="false">
      <c r="A58" s="4" t="s">
        <v>1800</v>
      </c>
      <c r="B58" s="4" t="s">
        <v>1801</v>
      </c>
      <c r="C58" s="4" t="s">
        <v>1802</v>
      </c>
    </row>
    <row r="59" customFormat="false" ht="15" hidden="false" customHeight="false" outlineLevel="0" collapsed="false">
      <c r="A59" s="4" t="s">
        <v>1803</v>
      </c>
      <c r="B59" s="4" t="s">
        <v>1804</v>
      </c>
      <c r="C59" s="4" t="s">
        <v>1805</v>
      </c>
    </row>
    <row r="62" customFormat="false" ht="15" hidden="false" customHeight="false" outlineLevel="0" collapsed="false">
      <c r="A62" s="17" t="s">
        <v>1806</v>
      </c>
      <c r="B62" s="18"/>
      <c r="C62" s="18"/>
    </row>
    <row r="63" customFormat="false" ht="15" hidden="false" customHeight="false" outlineLevel="0" collapsed="false">
      <c r="A63" s="19" t="s">
        <v>1807</v>
      </c>
    </row>
    <row r="64" customFormat="false" ht="15" hidden="false" customHeight="false" outlineLevel="0" collapsed="false">
      <c r="A64" s="20" t="s">
        <v>1193</v>
      </c>
    </row>
    <row r="65" customFormat="false" ht="15" hidden="false" customHeight="false" outlineLevel="0" collapsed="false">
      <c r="A65" s="21" t="s">
        <v>1808</v>
      </c>
    </row>
    <row r="66" customFormat="false" ht="15" hidden="false" customHeight="false" outlineLevel="0" collapsed="false">
      <c r="A66" s="21" t="s">
        <v>1809</v>
      </c>
    </row>
    <row r="67" customFormat="false" ht="15" hidden="false" customHeight="false" outlineLevel="0" collapsed="false">
      <c r="A67" s="22" t="s">
        <v>1318</v>
      </c>
      <c r="B67" s="22" t="s">
        <v>1512</v>
      </c>
      <c r="C67" s="22" t="s">
        <v>1810</v>
      </c>
    </row>
    <row r="68" customFormat="false" ht="46.25" hidden="false" customHeight="false" outlineLevel="0" collapsed="false">
      <c r="A68" s="4" t="s">
        <v>1627</v>
      </c>
      <c r="B68" s="4" t="s">
        <v>1515</v>
      </c>
      <c r="C68" s="4" t="s">
        <v>1811</v>
      </c>
    </row>
    <row r="69" customFormat="false" ht="15" hidden="false" customHeight="false" outlineLevel="0" collapsed="false">
      <c r="A69" s="4" t="s">
        <v>1812</v>
      </c>
      <c r="B69" s="4" t="s">
        <v>1813</v>
      </c>
      <c r="C69" s="4" t="s">
        <v>1814</v>
      </c>
    </row>
    <row r="70" customFormat="false" ht="23.85" hidden="false" customHeight="false" outlineLevel="0" collapsed="false">
      <c r="A70" s="4" t="s">
        <v>1815</v>
      </c>
      <c r="B70" s="4" t="s">
        <v>1816</v>
      </c>
      <c r="C70" s="4" t="s">
        <v>1817</v>
      </c>
    </row>
    <row r="71" customFormat="false" ht="23.85" hidden="false" customHeight="false" outlineLevel="0" collapsed="false">
      <c r="A71" s="4" t="s">
        <v>1818</v>
      </c>
      <c r="B71" s="4" t="s">
        <v>1819</v>
      </c>
      <c r="C71" s="4" t="s">
        <v>1820</v>
      </c>
    </row>
    <row r="72" customFormat="false" ht="23.85" hidden="false" customHeight="false" outlineLevel="0" collapsed="false">
      <c r="A72" s="4" t="s">
        <v>1821</v>
      </c>
      <c r="B72" s="4" t="s">
        <v>1822</v>
      </c>
      <c r="C72" s="4" t="s">
        <v>1823</v>
      </c>
    </row>
    <row r="73" customFormat="false" ht="23.85" hidden="false" customHeight="false" outlineLevel="0" collapsed="false">
      <c r="A73" s="4" t="s">
        <v>1824</v>
      </c>
      <c r="B73" s="4" t="s">
        <v>1825</v>
      </c>
      <c r="C73" s="4" t="s">
        <v>1826</v>
      </c>
    </row>
    <row r="74" customFormat="false" ht="23.85" hidden="false" customHeight="false" outlineLevel="0" collapsed="false">
      <c r="A74" s="4" t="s">
        <v>1827</v>
      </c>
      <c r="B74" s="4" t="s">
        <v>1828</v>
      </c>
      <c r="C74" s="4" t="s">
        <v>1829</v>
      </c>
    </row>
    <row r="75" customFormat="false" ht="35.05" hidden="false" customHeight="false" outlineLevel="0" collapsed="false">
      <c r="A75" s="4" t="s">
        <v>1830</v>
      </c>
      <c r="B75" s="4" t="s">
        <v>1831</v>
      </c>
      <c r="C75" s="4" t="s">
        <v>1832</v>
      </c>
    </row>
    <row r="78" customFormat="false" ht="15" hidden="false" customHeight="false" outlineLevel="0" collapsed="false">
      <c r="A78" s="17" t="s">
        <v>1833</v>
      </c>
      <c r="B78" s="18"/>
      <c r="C78" s="18"/>
      <c r="D78" s="18"/>
      <c r="E78" s="18"/>
    </row>
    <row r="79" customFormat="false" ht="15" hidden="false" customHeight="false" outlineLevel="0" collapsed="false">
      <c r="A79" s="19" t="s">
        <v>1834</v>
      </c>
    </row>
    <row r="80" customFormat="false" ht="15" hidden="false" customHeight="false" outlineLevel="0" collapsed="false">
      <c r="A80" s="20" t="s">
        <v>1193</v>
      </c>
    </row>
    <row r="81" customFormat="false" ht="15" hidden="false" customHeight="false" outlineLevel="0" collapsed="false">
      <c r="A81" s="21" t="s">
        <v>1835</v>
      </c>
    </row>
    <row r="82" customFormat="false" ht="15" hidden="false" customHeight="false" outlineLevel="0" collapsed="false">
      <c r="A82" s="21" t="s">
        <v>1836</v>
      </c>
    </row>
    <row r="83" customFormat="false" ht="15" hidden="false" customHeight="false" outlineLevel="0" collapsed="false">
      <c r="A83" s="22" t="s">
        <v>1196</v>
      </c>
      <c r="B83" s="22" t="s">
        <v>1837</v>
      </c>
      <c r="C83" s="22" t="s">
        <v>1838</v>
      </c>
      <c r="D83" s="22" t="s">
        <v>1839</v>
      </c>
      <c r="E83" s="22" t="s">
        <v>1426</v>
      </c>
    </row>
    <row r="84" customFormat="false" ht="15" hidden="false" customHeight="false" outlineLevel="0" collapsed="false">
      <c r="A84" s="4" t="s">
        <v>1840</v>
      </c>
      <c r="B84" s="4" t="s">
        <v>1841</v>
      </c>
      <c r="C84" s="4" t="s">
        <v>1842</v>
      </c>
      <c r="D84" s="4" t="s">
        <v>1843</v>
      </c>
      <c r="E84" s="4" t="s">
        <v>1844</v>
      </c>
    </row>
    <row r="85" customFormat="false" ht="15" hidden="false" customHeight="false" outlineLevel="0" collapsed="false">
      <c r="A85" s="4" t="s">
        <v>1845</v>
      </c>
      <c r="B85" s="4" t="s">
        <v>1846</v>
      </c>
      <c r="C85" s="4" t="s">
        <v>1847</v>
      </c>
      <c r="D85" s="4" t="s">
        <v>1848</v>
      </c>
      <c r="E85" s="4" t="s">
        <v>1849</v>
      </c>
    </row>
    <row r="86" customFormat="false" ht="15" hidden="false" customHeight="false" outlineLevel="0" collapsed="false">
      <c r="A86" s="4" t="s">
        <v>1850</v>
      </c>
      <c r="B86" s="4" t="s">
        <v>1846</v>
      </c>
      <c r="C86" s="4" t="s">
        <v>1851</v>
      </c>
      <c r="D86" s="4" t="s">
        <v>1852</v>
      </c>
      <c r="E86" s="4" t="s">
        <v>1853</v>
      </c>
    </row>
    <row r="87" customFormat="false" ht="15" hidden="false" customHeight="false" outlineLevel="0" collapsed="false">
      <c r="A87" s="4" t="s">
        <v>1854</v>
      </c>
      <c r="B87" s="4" t="s">
        <v>1855</v>
      </c>
      <c r="C87" s="4" t="s">
        <v>1856</v>
      </c>
      <c r="D87" s="4" t="s">
        <v>1857</v>
      </c>
      <c r="E87" s="4" t="s">
        <v>1858</v>
      </c>
    </row>
    <row r="88" customFormat="false" ht="15" hidden="false" customHeight="false" outlineLevel="0" collapsed="false">
      <c r="A88" s="4" t="s">
        <v>1859</v>
      </c>
      <c r="B88" s="4" t="s">
        <v>1860</v>
      </c>
      <c r="C88" s="4" t="s">
        <v>1861</v>
      </c>
      <c r="D88" s="4" t="s">
        <v>1862</v>
      </c>
      <c r="E88" s="4" t="s">
        <v>1863</v>
      </c>
    </row>
    <row r="89" customFormat="false" ht="15" hidden="false" customHeight="false" outlineLevel="0" collapsed="false">
      <c r="A89" s="4" t="s">
        <v>1864</v>
      </c>
      <c r="B89" s="4" t="s">
        <v>1865</v>
      </c>
      <c r="C89" s="4" t="s">
        <v>1555</v>
      </c>
      <c r="D89" s="4" t="s">
        <v>1866</v>
      </c>
      <c r="E89" s="4" t="s">
        <v>1867</v>
      </c>
    </row>
    <row r="92" customFormat="false" ht="15" hidden="false" customHeight="false" outlineLevel="0" collapsed="false">
      <c r="A92" s="17" t="s">
        <v>1868</v>
      </c>
      <c r="B92" s="18"/>
      <c r="C92" s="18"/>
      <c r="D92" s="18"/>
      <c r="E92" s="18"/>
      <c r="F92" s="18"/>
    </row>
    <row r="93" customFormat="false" ht="15" hidden="false" customHeight="false" outlineLevel="0" collapsed="false">
      <c r="A93" s="19" t="s">
        <v>1869</v>
      </c>
    </row>
    <row r="94" customFormat="false" ht="15" hidden="false" customHeight="false" outlineLevel="0" collapsed="false">
      <c r="A94" s="20" t="s">
        <v>1193</v>
      </c>
    </row>
    <row r="95" customFormat="false" ht="15" hidden="false" customHeight="false" outlineLevel="0" collapsed="false">
      <c r="A95" s="21" t="s">
        <v>1870</v>
      </c>
    </row>
    <row r="96" customFormat="false" ht="15" hidden="false" customHeight="false" outlineLevel="0" collapsed="false">
      <c r="A96" s="21" t="s">
        <v>1871</v>
      </c>
    </row>
    <row r="97" customFormat="false" ht="15" hidden="false" customHeight="false" outlineLevel="0" collapsed="false">
      <c r="A97" s="22" t="s">
        <v>1591</v>
      </c>
      <c r="B97" s="22" t="s">
        <v>1872</v>
      </c>
      <c r="C97" s="22" t="s">
        <v>1873</v>
      </c>
      <c r="D97" s="22" t="s">
        <v>1304</v>
      </c>
      <c r="E97" s="22" t="s">
        <v>1310</v>
      </c>
      <c r="F97" s="22" t="s">
        <v>1874</v>
      </c>
    </row>
    <row r="98" customFormat="false" ht="15" hidden="false" customHeight="false" outlineLevel="0" collapsed="false">
      <c r="A98" s="4" t="s">
        <v>1282</v>
      </c>
      <c r="B98" s="4" t="s">
        <v>1875</v>
      </c>
      <c r="C98" s="4" t="s">
        <v>1876</v>
      </c>
      <c r="D98" s="4" t="s">
        <v>1877</v>
      </c>
      <c r="E98" s="4" t="s">
        <v>1878</v>
      </c>
      <c r="F98" s="4" t="s">
        <v>1879</v>
      </c>
    </row>
    <row r="99" customFormat="false" ht="15" hidden="false" customHeight="false" outlineLevel="0" collapsed="false">
      <c r="A99" s="4" t="s">
        <v>1880</v>
      </c>
      <c r="B99" s="4" t="s">
        <v>1881</v>
      </c>
      <c r="C99" s="4" t="s">
        <v>1882</v>
      </c>
      <c r="D99" s="4" t="s">
        <v>1883</v>
      </c>
      <c r="E99" s="4" t="s">
        <v>1883</v>
      </c>
      <c r="F99" s="4" t="s">
        <v>1884</v>
      </c>
    </row>
    <row r="100" customFormat="false" ht="15" hidden="false" customHeight="false" outlineLevel="0" collapsed="false">
      <c r="A100" s="4" t="s">
        <v>1885</v>
      </c>
      <c r="B100" s="4" t="s">
        <v>1886</v>
      </c>
      <c r="C100" s="4" t="s">
        <v>1886</v>
      </c>
      <c r="D100" s="4" t="s">
        <v>1886</v>
      </c>
      <c r="E100" s="4" t="s">
        <v>1886</v>
      </c>
      <c r="F100" s="4" t="s">
        <v>1887</v>
      </c>
    </row>
    <row r="101" customFormat="false" ht="15" hidden="false" customHeight="false" outlineLevel="0" collapsed="false">
      <c r="A101" s="4" t="s">
        <v>1888</v>
      </c>
      <c r="B101" s="4" t="s">
        <v>1889</v>
      </c>
      <c r="C101" s="4" t="s">
        <v>1890</v>
      </c>
      <c r="D101" s="4" t="s">
        <v>1891</v>
      </c>
      <c r="E101" s="4" t="s">
        <v>1892</v>
      </c>
      <c r="F101" s="4" t="s">
        <v>1893</v>
      </c>
    </row>
    <row r="102" customFormat="false" ht="15" hidden="false" customHeight="false" outlineLevel="0" collapsed="false">
      <c r="A102" s="4" t="s">
        <v>1724</v>
      </c>
      <c r="B102" s="4" t="s">
        <v>1894</v>
      </c>
      <c r="C102" s="4" t="s">
        <v>1895</v>
      </c>
      <c r="D102" s="4" t="s">
        <v>1896</v>
      </c>
      <c r="E102" s="4" t="s">
        <v>1897</v>
      </c>
      <c r="F102" s="4" t="s">
        <v>1630</v>
      </c>
    </row>
    <row r="103" customFormat="false" ht="15" hidden="false" customHeight="false" outlineLevel="0" collapsed="false">
      <c r="A103" s="4" t="s">
        <v>1898</v>
      </c>
      <c r="B103" s="4" t="s">
        <v>1899</v>
      </c>
      <c r="C103" s="4" t="s">
        <v>1900</v>
      </c>
      <c r="D103" s="4" t="s">
        <v>1901</v>
      </c>
      <c r="E103" s="4" t="s">
        <v>1902</v>
      </c>
      <c r="F103" s="4" t="s">
        <v>1903</v>
      </c>
    </row>
    <row r="104" customFormat="false" ht="15" hidden="false" customHeight="false" outlineLevel="0" collapsed="false">
      <c r="A104" s="4" t="s">
        <v>1904</v>
      </c>
      <c r="B104" s="4" t="s">
        <v>1905</v>
      </c>
      <c r="C104" s="4" t="s">
        <v>1906</v>
      </c>
      <c r="D104" s="4" t="s">
        <v>1907</v>
      </c>
      <c r="E104" s="4" t="s">
        <v>1908</v>
      </c>
      <c r="F104" s="4" t="s">
        <v>1296</v>
      </c>
    </row>
    <row r="105" customFormat="false" ht="15" hidden="false" customHeight="false" outlineLevel="0" collapsed="false">
      <c r="A105" s="4" t="s">
        <v>1909</v>
      </c>
      <c r="B105" s="4" t="s">
        <v>1910</v>
      </c>
      <c r="C105" s="4" t="s">
        <v>1911</v>
      </c>
      <c r="D105" s="4" t="s">
        <v>1912</v>
      </c>
      <c r="E105" s="4" t="s">
        <v>1913</v>
      </c>
      <c r="F105" s="4" t="s">
        <v>1914</v>
      </c>
    </row>
    <row r="106" customFormat="false" ht="15" hidden="false" customHeight="false" outlineLevel="0" collapsed="false">
      <c r="A106" s="4" t="s">
        <v>1915</v>
      </c>
      <c r="B106" s="4" t="s">
        <v>1916</v>
      </c>
      <c r="C106" s="4" t="s">
        <v>1917</v>
      </c>
      <c r="D106" s="4" t="s">
        <v>1918</v>
      </c>
      <c r="E106" s="4" t="s">
        <v>1919</v>
      </c>
      <c r="F106" s="4" t="s">
        <v>1920</v>
      </c>
    </row>
    <row r="107" customFormat="false" ht="15" hidden="false" customHeight="false" outlineLevel="0" collapsed="false">
      <c r="A107" s="4" t="s">
        <v>1921</v>
      </c>
      <c r="B107" s="4" t="s">
        <v>1922</v>
      </c>
      <c r="C107" s="4" t="s">
        <v>1923</v>
      </c>
      <c r="D107" s="4" t="s">
        <v>1924</v>
      </c>
      <c r="E107" s="4" t="s">
        <v>1925</v>
      </c>
      <c r="F107" s="4" t="s">
        <v>1926</v>
      </c>
    </row>
    <row r="110" customFormat="false" ht="15" hidden="false" customHeight="false" outlineLevel="0" collapsed="false">
      <c r="A110" s="17" t="s">
        <v>1927</v>
      </c>
      <c r="B110" s="18"/>
      <c r="C110" s="18"/>
      <c r="D110" s="18"/>
    </row>
    <row r="111" customFormat="false" ht="15" hidden="false" customHeight="false" outlineLevel="0" collapsed="false">
      <c r="A111" s="19" t="s">
        <v>1928</v>
      </c>
    </row>
    <row r="112" customFormat="false" ht="15" hidden="false" customHeight="false" outlineLevel="0" collapsed="false">
      <c r="A112" s="20" t="s">
        <v>1193</v>
      </c>
    </row>
    <row r="113" customFormat="false" ht="15" hidden="false" customHeight="false" outlineLevel="0" collapsed="false">
      <c r="A113" s="21" t="s">
        <v>1929</v>
      </c>
    </row>
    <row r="114" customFormat="false" ht="15" hidden="false" customHeight="false" outlineLevel="0" collapsed="false">
      <c r="A114" s="21" t="s">
        <v>1930</v>
      </c>
    </row>
    <row r="115" customFormat="false" ht="15" hidden="false" customHeight="false" outlineLevel="0" collapsed="false">
      <c r="A115" s="22" t="s">
        <v>1931</v>
      </c>
      <c r="B115" s="22" t="s">
        <v>1932</v>
      </c>
      <c r="C115" s="22" t="s">
        <v>1197</v>
      </c>
      <c r="D115" s="22" t="s">
        <v>1933</v>
      </c>
    </row>
    <row r="116" customFormat="false" ht="35.05" hidden="false" customHeight="false" outlineLevel="0" collapsed="false">
      <c r="A116" s="4" t="s">
        <v>1934</v>
      </c>
      <c r="B116" s="4" t="s">
        <v>1935</v>
      </c>
      <c r="C116" s="4" t="s">
        <v>1936</v>
      </c>
      <c r="D116" s="4" t="s">
        <v>1937</v>
      </c>
    </row>
    <row r="117" customFormat="false" ht="57.45" hidden="false" customHeight="false" outlineLevel="0" collapsed="false">
      <c r="A117" s="4" t="s">
        <v>1938</v>
      </c>
      <c r="B117" s="4" t="s">
        <v>1939</v>
      </c>
      <c r="C117" s="4" t="s">
        <v>1940</v>
      </c>
      <c r="D117" s="4" t="s">
        <v>1941</v>
      </c>
    </row>
    <row r="118" customFormat="false" ht="15" hidden="false" customHeight="false" outlineLevel="0" collapsed="false">
      <c r="A118" s="4" t="s">
        <v>1942</v>
      </c>
      <c r="B118" s="4" t="s">
        <v>1943</v>
      </c>
      <c r="C118" s="4" t="s">
        <v>1944</v>
      </c>
      <c r="D118" s="4" t="s">
        <v>1945</v>
      </c>
    </row>
    <row r="119" customFormat="false" ht="15" hidden="false" customHeight="false" outlineLevel="0" collapsed="false">
      <c r="A119" s="4" t="s">
        <v>1946</v>
      </c>
      <c r="B119" s="4" t="s">
        <v>1947</v>
      </c>
      <c r="C119" s="4" t="s">
        <v>1948</v>
      </c>
      <c r="D119" s="4" t="s">
        <v>1949</v>
      </c>
    </row>
    <row r="120" customFormat="false" ht="57.45" hidden="false" customHeight="false" outlineLevel="0" collapsed="false">
      <c r="A120" s="4" t="s">
        <v>1950</v>
      </c>
      <c r="B120" s="4" t="s">
        <v>1951</v>
      </c>
      <c r="C120" s="4" t="s">
        <v>1952</v>
      </c>
      <c r="D120" s="4" t="s">
        <v>1953</v>
      </c>
    </row>
    <row r="121" customFormat="false" ht="23.85" hidden="false" customHeight="false" outlineLevel="0" collapsed="false">
      <c r="A121" s="4" t="s">
        <v>1954</v>
      </c>
      <c r="B121" s="4" t="s">
        <v>1955</v>
      </c>
      <c r="C121" s="4" t="s">
        <v>1956</v>
      </c>
      <c r="D121" s="4" t="s">
        <v>1957</v>
      </c>
    </row>
    <row r="124" customFormat="false" ht="15" hidden="false" customHeight="false" outlineLevel="0" collapsed="false">
      <c r="A124" s="17" t="s">
        <v>1958</v>
      </c>
      <c r="B124" s="18"/>
      <c r="C124" s="18"/>
    </row>
    <row r="125" customFormat="false" ht="15" hidden="false" customHeight="false" outlineLevel="0" collapsed="false">
      <c r="A125" s="19" t="s">
        <v>1959</v>
      </c>
    </row>
    <row r="126" customFormat="false" ht="15" hidden="false" customHeight="false" outlineLevel="0" collapsed="false">
      <c r="A126" s="23" t="s">
        <v>1246</v>
      </c>
    </row>
    <row r="127" customFormat="false" ht="15" hidden="false" customHeight="false" outlineLevel="0" collapsed="false">
      <c r="A127" s="21" t="s">
        <v>1960</v>
      </c>
    </row>
    <row r="128" customFormat="false" ht="15" hidden="false" customHeight="false" outlineLevel="0" collapsed="false">
      <c r="A128" s="21" t="s">
        <v>1961</v>
      </c>
    </row>
    <row r="129" customFormat="false" ht="15" hidden="false" customHeight="false" outlineLevel="0" collapsed="false">
      <c r="A129" s="22" t="s">
        <v>1962</v>
      </c>
      <c r="B129" s="22" t="s">
        <v>1318</v>
      </c>
      <c r="C129" s="22" t="s">
        <v>1963</v>
      </c>
    </row>
    <row r="130" customFormat="false" ht="15" hidden="false" customHeight="false" outlineLevel="0" collapsed="false">
      <c r="A130" s="4" t="s">
        <v>1964</v>
      </c>
      <c r="B130" s="4" t="s">
        <v>1965</v>
      </c>
      <c r="C130" s="4" t="s">
        <v>1966</v>
      </c>
    </row>
    <row r="131" customFormat="false" ht="23.85" hidden="false" customHeight="false" outlineLevel="0" collapsed="false">
      <c r="A131" s="4" t="s">
        <v>1967</v>
      </c>
      <c r="B131" s="4" t="s">
        <v>1968</v>
      </c>
      <c r="C131" s="4" t="s">
        <v>1969</v>
      </c>
    </row>
    <row r="132" customFormat="false" ht="15" hidden="false" customHeight="false" outlineLevel="0" collapsed="false">
      <c r="A132" s="4" t="s">
        <v>1970</v>
      </c>
      <c r="B132" s="4" t="s">
        <v>1971</v>
      </c>
      <c r="C132" s="4" t="s">
        <v>1972</v>
      </c>
    </row>
    <row r="133" customFormat="false" ht="23.85" hidden="false" customHeight="false" outlineLevel="0" collapsed="false">
      <c r="A133" s="4" t="s">
        <v>1973</v>
      </c>
      <c r="B133" s="4" t="s">
        <v>1974</v>
      </c>
      <c r="C133" s="4" t="s">
        <v>1975</v>
      </c>
    </row>
    <row r="134" customFormat="false" ht="15" hidden="false" customHeight="false" outlineLevel="0" collapsed="false">
      <c r="A134" s="4" t="s">
        <v>1976</v>
      </c>
      <c r="B134" s="4" t="s">
        <v>1977</v>
      </c>
      <c r="C134" s="4" t="s">
        <v>1978</v>
      </c>
    </row>
    <row r="135" customFormat="false" ht="15" hidden="false" customHeight="false" outlineLevel="0" collapsed="false">
      <c r="A135" s="4" t="s">
        <v>1979</v>
      </c>
      <c r="B135" s="4" t="s">
        <v>1980</v>
      </c>
      <c r="C135" s="4" t="s">
        <v>1981</v>
      </c>
    </row>
    <row r="138" customFormat="false" ht="15" hidden="false" customHeight="false" outlineLevel="0" collapsed="false">
      <c r="A138" s="17" t="s">
        <v>1982</v>
      </c>
      <c r="B138" s="18"/>
    </row>
    <row r="139" customFormat="false" ht="15" hidden="false" customHeight="false" outlineLevel="0" collapsed="false">
      <c r="A139" s="19" t="s">
        <v>1983</v>
      </c>
    </row>
    <row r="140" customFormat="false" ht="15" hidden="false" customHeight="false" outlineLevel="0" collapsed="false">
      <c r="A140" s="23" t="s">
        <v>1246</v>
      </c>
    </row>
    <row r="141" customFormat="false" ht="15" hidden="false" customHeight="false" outlineLevel="0" collapsed="false">
      <c r="A141" s="21" t="s">
        <v>1984</v>
      </c>
    </row>
    <row r="142" customFormat="false" ht="15" hidden="false" customHeight="false" outlineLevel="0" collapsed="false">
      <c r="A142" s="21" t="s">
        <v>1985</v>
      </c>
    </row>
    <row r="143" customFormat="false" ht="15" hidden="false" customHeight="false" outlineLevel="0" collapsed="false">
      <c r="A143" s="22" t="s">
        <v>1986</v>
      </c>
      <c r="B143" s="22" t="s">
        <v>1987</v>
      </c>
    </row>
    <row r="144" customFormat="false" ht="35.05" hidden="false" customHeight="false" outlineLevel="0" collapsed="false">
      <c r="A144" s="4" t="s">
        <v>1988</v>
      </c>
      <c r="B144" s="4" t="s">
        <v>1989</v>
      </c>
    </row>
    <row r="145" customFormat="false" ht="35.05" hidden="false" customHeight="false" outlineLevel="0" collapsed="false">
      <c r="A145" s="4" t="s">
        <v>1990</v>
      </c>
      <c r="B145" s="4" t="s">
        <v>1991</v>
      </c>
    </row>
    <row r="146" customFormat="false" ht="35.05" hidden="false" customHeight="false" outlineLevel="0" collapsed="false">
      <c r="A146" s="4" t="s">
        <v>1992</v>
      </c>
      <c r="B146" s="4" t="s">
        <v>1993</v>
      </c>
    </row>
    <row r="147" customFormat="false" ht="23.85" hidden="false" customHeight="false" outlineLevel="0" collapsed="false">
      <c r="A147" s="4" t="s">
        <v>1994</v>
      </c>
      <c r="B147" s="4" t="s">
        <v>1995</v>
      </c>
    </row>
    <row r="148" customFormat="false" ht="23.85" hidden="false" customHeight="false" outlineLevel="0" collapsed="false">
      <c r="A148" s="4" t="s">
        <v>1996</v>
      </c>
      <c r="B148" s="4" t="s">
        <v>1997</v>
      </c>
    </row>
    <row r="149" customFormat="false" ht="15" hidden="false" customHeight="false" outlineLevel="0" collapsed="false">
      <c r="A149" s="4" t="s">
        <v>1998</v>
      </c>
      <c r="B149" s="4" t="s">
        <v>1999</v>
      </c>
    </row>
    <row r="150" customFormat="false" ht="35.05" hidden="false" customHeight="false" outlineLevel="0" collapsed="false">
      <c r="A150" s="4" t="s">
        <v>2000</v>
      </c>
      <c r="B150" s="4" t="s">
        <v>2001</v>
      </c>
    </row>
    <row r="151" customFormat="false" ht="35.05" hidden="false" customHeight="false" outlineLevel="0" collapsed="false">
      <c r="A151" s="4" t="s">
        <v>2002</v>
      </c>
      <c r="B151" s="4" t="s">
        <v>2003</v>
      </c>
    </row>
    <row r="154" customFormat="false" ht="15" hidden="false" customHeight="false" outlineLevel="0" collapsed="false">
      <c r="A154" s="17" t="s">
        <v>2004</v>
      </c>
      <c r="B154" s="18"/>
      <c r="C154" s="18"/>
      <c r="D154" s="18"/>
    </row>
    <row r="155" customFormat="false" ht="15" hidden="false" customHeight="false" outlineLevel="0" collapsed="false">
      <c r="A155" s="19" t="s">
        <v>2005</v>
      </c>
    </row>
    <row r="156" customFormat="false" ht="15" hidden="false" customHeight="false" outlineLevel="0" collapsed="false">
      <c r="A156" s="19" t="s">
        <v>2006</v>
      </c>
    </row>
    <row r="157" customFormat="false" ht="15" hidden="false" customHeight="false" outlineLevel="0" collapsed="false">
      <c r="A157" s="20" t="s">
        <v>1193</v>
      </c>
    </row>
    <row r="158" customFormat="false" ht="15" hidden="false" customHeight="false" outlineLevel="0" collapsed="false">
      <c r="A158" s="21" t="s">
        <v>2007</v>
      </c>
    </row>
    <row r="159" customFormat="false" ht="15" hidden="false" customHeight="false" outlineLevel="0" collapsed="false">
      <c r="A159" s="21" t="s">
        <v>2008</v>
      </c>
    </row>
    <row r="160" customFormat="false" ht="15" hidden="false" customHeight="false" outlineLevel="0" collapsed="false">
      <c r="A160" s="22" t="s">
        <v>2009</v>
      </c>
      <c r="B160" s="22" t="s">
        <v>2010</v>
      </c>
      <c r="C160" s="22" t="s">
        <v>2011</v>
      </c>
      <c r="D160" s="22" t="s">
        <v>2012</v>
      </c>
    </row>
    <row r="161" customFormat="false" ht="35.05" hidden="false" customHeight="false" outlineLevel="0" collapsed="false">
      <c r="A161" s="4" t="s">
        <v>2013</v>
      </c>
      <c r="B161" s="4" t="s">
        <v>2014</v>
      </c>
      <c r="C161" s="4" t="s">
        <v>2015</v>
      </c>
      <c r="D161" s="4" t="s">
        <v>2016</v>
      </c>
    </row>
    <row r="162" customFormat="false" ht="15" hidden="false" customHeight="false" outlineLevel="0" collapsed="false">
      <c r="A162" s="4" t="s">
        <v>2017</v>
      </c>
      <c r="B162" s="4" t="s">
        <v>2018</v>
      </c>
      <c r="C162" s="4" t="s">
        <v>2019</v>
      </c>
      <c r="D162" s="4" t="s">
        <v>2020</v>
      </c>
    </row>
    <row r="163" customFormat="false" ht="15" hidden="false" customHeight="false" outlineLevel="0" collapsed="false">
      <c r="A163" s="4" t="s">
        <v>2021</v>
      </c>
      <c r="B163" s="4" t="s">
        <v>2022</v>
      </c>
      <c r="C163" s="4" t="s">
        <v>2023</v>
      </c>
      <c r="D163" s="4" t="s">
        <v>2024</v>
      </c>
    </row>
    <row r="164" customFormat="false" ht="15" hidden="false" customHeight="false" outlineLevel="0" collapsed="false">
      <c r="A164" s="4" t="s">
        <v>2025</v>
      </c>
      <c r="B164" s="4" t="s">
        <v>2026</v>
      </c>
      <c r="C164" s="4" t="s">
        <v>2027</v>
      </c>
      <c r="D164" s="4" t="s">
        <v>2028</v>
      </c>
    </row>
    <row r="165" customFormat="false" ht="35.05" hidden="false" customHeight="false" outlineLevel="0" collapsed="false">
      <c r="A165" s="4" t="s">
        <v>2029</v>
      </c>
      <c r="B165" s="4" t="s">
        <v>2030</v>
      </c>
      <c r="C165" s="4" t="s">
        <v>2031</v>
      </c>
      <c r="D165" s="4" t="s">
        <v>2032</v>
      </c>
    </row>
    <row r="166" customFormat="false" ht="23.85" hidden="false" customHeight="false" outlineLevel="0" collapsed="false">
      <c r="A166" s="4" t="s">
        <v>2033</v>
      </c>
      <c r="B166" s="4" t="s">
        <v>2034</v>
      </c>
      <c r="C166" s="4" t="s">
        <v>2035</v>
      </c>
      <c r="D166" s="4" t="s">
        <v>2036</v>
      </c>
    </row>
    <row r="167" customFormat="false" ht="15" hidden="false" customHeight="false" outlineLevel="0" collapsed="false">
      <c r="A167" s="4" t="s">
        <v>2037</v>
      </c>
      <c r="B167" s="4" t="s">
        <v>2038</v>
      </c>
      <c r="C167" s="4" t="s">
        <v>2039</v>
      </c>
      <c r="D167" s="4" t="s">
        <v>2040</v>
      </c>
    </row>
    <row r="170" customFormat="false" ht="15" hidden="false" customHeight="false" outlineLevel="0" collapsed="false">
      <c r="A170" s="17" t="s">
        <v>2041</v>
      </c>
      <c r="B170" s="18"/>
      <c r="C170" s="18"/>
    </row>
    <row r="171" customFormat="false" ht="15" hidden="false" customHeight="false" outlineLevel="0" collapsed="false">
      <c r="A171" s="19" t="s">
        <v>2042</v>
      </c>
    </row>
    <row r="172" customFormat="false" ht="15" hidden="false" customHeight="false" outlineLevel="0" collapsed="false">
      <c r="A172" s="25" t="s">
        <v>2043</v>
      </c>
    </row>
    <row r="173" customFormat="false" ht="15" hidden="false" customHeight="false" outlineLevel="0" collapsed="false">
      <c r="A173" s="21" t="s">
        <v>2044</v>
      </c>
    </row>
    <row r="174" customFormat="false" ht="15" hidden="false" customHeight="false" outlineLevel="0" collapsed="false">
      <c r="A174" s="21" t="s">
        <v>2045</v>
      </c>
    </row>
    <row r="175" customFormat="false" ht="15" hidden="false" customHeight="false" outlineLevel="0" collapsed="false">
      <c r="A175" s="22" t="s">
        <v>1931</v>
      </c>
      <c r="B175" s="22" t="s">
        <v>2046</v>
      </c>
      <c r="C175" s="22" t="s">
        <v>1426</v>
      </c>
    </row>
    <row r="176" customFormat="false" ht="15" hidden="false" customHeight="false" outlineLevel="0" collapsed="false">
      <c r="A176" s="4" t="s">
        <v>2047</v>
      </c>
      <c r="B176" s="4" t="s">
        <v>2048</v>
      </c>
      <c r="C176" s="4" t="s">
        <v>2049</v>
      </c>
    </row>
    <row r="177" customFormat="false" ht="15" hidden="false" customHeight="false" outlineLevel="0" collapsed="false">
      <c r="A177" s="4" t="s">
        <v>2050</v>
      </c>
      <c r="B177" s="4" t="s">
        <v>2051</v>
      </c>
      <c r="C177" s="4" t="s">
        <v>2052</v>
      </c>
    </row>
    <row r="178" customFormat="false" ht="35.05" hidden="false" customHeight="false" outlineLevel="0" collapsed="false">
      <c r="A178" s="4" t="s">
        <v>2053</v>
      </c>
      <c r="B178" s="4" t="s">
        <v>2054</v>
      </c>
      <c r="C178" s="4" t="s">
        <v>2055</v>
      </c>
    </row>
    <row r="179" customFormat="false" ht="35.05" hidden="false" customHeight="false" outlineLevel="0" collapsed="false">
      <c r="A179" s="4" t="s">
        <v>1304</v>
      </c>
      <c r="B179" s="4" t="s">
        <v>2056</v>
      </c>
      <c r="C179" s="4" t="s">
        <v>2057</v>
      </c>
    </row>
    <row r="180" customFormat="false" ht="15" hidden="false" customHeight="false" outlineLevel="0" collapsed="false">
      <c r="A180" s="4" t="s">
        <v>2058</v>
      </c>
      <c r="B180" s="4" t="s">
        <v>2059</v>
      </c>
      <c r="C180" s="4" t="s">
        <v>2060</v>
      </c>
    </row>
    <row r="183" customFormat="false" ht="15" hidden="false" customHeight="false" outlineLevel="0" collapsed="false">
      <c r="A183" s="17" t="s">
        <v>2061</v>
      </c>
      <c r="B183" s="18"/>
      <c r="C183" s="18"/>
      <c r="D183" s="18"/>
    </row>
    <row r="184" customFormat="false" ht="15" hidden="false" customHeight="false" outlineLevel="0" collapsed="false">
      <c r="A184" s="19" t="s">
        <v>2062</v>
      </c>
    </row>
    <row r="185" customFormat="false" ht="15" hidden="false" customHeight="false" outlineLevel="0" collapsed="false">
      <c r="A185" s="19" t="s">
        <v>2063</v>
      </c>
    </row>
    <row r="186" customFormat="false" ht="15" hidden="false" customHeight="false" outlineLevel="0" collapsed="false">
      <c r="A186" s="25" t="s">
        <v>2043</v>
      </c>
    </row>
    <row r="187" customFormat="false" ht="15" hidden="false" customHeight="false" outlineLevel="0" collapsed="false">
      <c r="A187" s="21" t="s">
        <v>2064</v>
      </c>
    </row>
    <row r="188" customFormat="false" ht="15" hidden="false" customHeight="false" outlineLevel="0" collapsed="false">
      <c r="A188" s="21" t="s">
        <v>2065</v>
      </c>
    </row>
    <row r="189" customFormat="false" ht="15" hidden="false" customHeight="false" outlineLevel="0" collapsed="false">
      <c r="A189" s="22" t="s">
        <v>2066</v>
      </c>
      <c r="B189" s="22" t="s">
        <v>2067</v>
      </c>
      <c r="C189" s="22" t="s">
        <v>2068</v>
      </c>
      <c r="D189" s="22" t="s">
        <v>2069</v>
      </c>
    </row>
    <row r="190" customFormat="false" ht="23.85" hidden="false" customHeight="false" outlineLevel="0" collapsed="false">
      <c r="A190" s="4" t="s">
        <v>1393</v>
      </c>
      <c r="B190" s="4" t="s">
        <v>2070</v>
      </c>
      <c r="C190" s="4" t="s">
        <v>2071</v>
      </c>
      <c r="D190" s="4" t="s">
        <v>2072</v>
      </c>
    </row>
    <row r="191" customFormat="false" ht="15" hidden="false" customHeight="false" outlineLevel="0" collapsed="false">
      <c r="A191" s="4" t="s">
        <v>1397</v>
      </c>
      <c r="B191" s="4" t="s">
        <v>2073</v>
      </c>
      <c r="C191" s="4" t="s">
        <v>2074</v>
      </c>
      <c r="D191" s="4" t="s">
        <v>2075</v>
      </c>
    </row>
    <row r="192" customFormat="false" ht="23.85" hidden="false" customHeight="false" outlineLevel="0" collapsed="false">
      <c r="A192" s="4" t="s">
        <v>1400</v>
      </c>
      <c r="B192" s="4" t="s">
        <v>2076</v>
      </c>
      <c r="C192" s="4" t="s">
        <v>2077</v>
      </c>
      <c r="D192" s="4" t="s">
        <v>2078</v>
      </c>
    </row>
    <row r="193" customFormat="false" ht="23.85" hidden="false" customHeight="false" outlineLevel="0" collapsed="false">
      <c r="A193" s="4" t="s">
        <v>1403</v>
      </c>
      <c r="B193" s="4" t="s">
        <v>2079</v>
      </c>
      <c r="C193" s="4" t="s">
        <v>2080</v>
      </c>
      <c r="D193" s="4" t="s">
        <v>2081</v>
      </c>
    </row>
    <row r="194" customFormat="false" ht="15" hidden="false" customHeight="false" outlineLevel="0" collapsed="false">
      <c r="A194" s="4" t="s">
        <v>1406</v>
      </c>
      <c r="B194" s="4" t="s">
        <v>2082</v>
      </c>
      <c r="C194" s="4" t="s">
        <v>2083</v>
      </c>
      <c r="D194" s="4" t="s">
        <v>2084</v>
      </c>
    </row>
    <row r="195" customFormat="false" ht="15" hidden="false" customHeight="false" outlineLevel="0" collapsed="false">
      <c r="A195" s="4" t="s">
        <v>2085</v>
      </c>
      <c r="B195" s="4" t="s">
        <v>2086</v>
      </c>
      <c r="C195" s="4" t="s">
        <v>2087</v>
      </c>
      <c r="D195" s="4" t="s">
        <v>2088</v>
      </c>
    </row>
    <row r="198" customFormat="false" ht="15" hidden="false" customHeight="false" outlineLevel="0" collapsed="false">
      <c r="A198" s="17" t="s">
        <v>2089</v>
      </c>
      <c r="B198" s="18"/>
    </row>
    <row r="199" customFormat="false" ht="15" hidden="false" customHeight="false" outlineLevel="0" collapsed="false">
      <c r="A199" s="19" t="s">
        <v>2090</v>
      </c>
    </row>
    <row r="200" customFormat="false" ht="15" hidden="false" customHeight="false" outlineLevel="0" collapsed="false">
      <c r="A200" s="23" t="s">
        <v>1246</v>
      </c>
    </row>
    <row r="201" customFormat="false" ht="15" hidden="false" customHeight="false" outlineLevel="0" collapsed="false">
      <c r="A201" s="21" t="s">
        <v>2091</v>
      </c>
    </row>
    <row r="202" customFormat="false" ht="15" hidden="false" customHeight="false" outlineLevel="0" collapsed="false">
      <c r="A202" s="21" t="s">
        <v>2092</v>
      </c>
    </row>
    <row r="203" customFormat="false" ht="15" hidden="false" customHeight="false" outlineLevel="0" collapsed="false">
      <c r="A203" s="22" t="s">
        <v>2093</v>
      </c>
      <c r="B203" s="22" t="s">
        <v>2094</v>
      </c>
    </row>
    <row r="204" customFormat="false" ht="46.25" hidden="false" customHeight="false" outlineLevel="0" collapsed="false">
      <c r="A204" s="4" t="s">
        <v>2095</v>
      </c>
      <c r="B204" s="4" t="s">
        <v>2096</v>
      </c>
    </row>
    <row r="205" customFormat="false" ht="57.45" hidden="false" customHeight="false" outlineLevel="0" collapsed="false">
      <c r="A205" s="4" t="s">
        <v>2097</v>
      </c>
      <c r="B205" s="4" t="s">
        <v>2098</v>
      </c>
    </row>
    <row r="206" customFormat="false" ht="46.25" hidden="false" customHeight="false" outlineLevel="0" collapsed="false">
      <c r="A206" s="4" t="s">
        <v>2099</v>
      </c>
      <c r="B206" s="4" t="s">
        <v>2100</v>
      </c>
    </row>
    <row r="207" customFormat="false" ht="23.85" hidden="false" customHeight="false" outlineLevel="0" collapsed="false">
      <c r="A207" s="4" t="s">
        <v>2101</v>
      </c>
      <c r="B207" s="4" t="s">
        <v>2102</v>
      </c>
    </row>
    <row r="208" customFormat="false" ht="23.85" hidden="false" customHeight="false" outlineLevel="0" collapsed="false">
      <c r="A208" s="4" t="s">
        <v>2103</v>
      </c>
      <c r="B208" s="4" t="s">
        <v>2104</v>
      </c>
    </row>
    <row r="209" customFormat="false" ht="23.85" hidden="false" customHeight="false" outlineLevel="0" collapsed="false">
      <c r="A209" s="4" t="s">
        <v>2105</v>
      </c>
      <c r="B209" s="4" t="s">
        <v>2106</v>
      </c>
    </row>
    <row r="210" customFormat="false" ht="23.85" hidden="false" customHeight="false" outlineLevel="0" collapsed="false">
      <c r="A210" s="4" t="s">
        <v>2107</v>
      </c>
      <c r="B210" s="4" t="s">
        <v>2108</v>
      </c>
    </row>
    <row r="213" customFormat="false" ht="15" hidden="false" customHeight="false" outlineLevel="0" collapsed="false">
      <c r="A213" s="17" t="s">
        <v>2109</v>
      </c>
      <c r="B213" s="18"/>
      <c r="C213" s="18"/>
      <c r="D213" s="18"/>
    </row>
    <row r="214" customFormat="false" ht="15" hidden="false" customHeight="false" outlineLevel="0" collapsed="false">
      <c r="A214" s="19" t="s">
        <v>2110</v>
      </c>
    </row>
    <row r="215" customFormat="false" ht="15" hidden="false" customHeight="false" outlineLevel="0" collapsed="false">
      <c r="A215" s="24" t="s">
        <v>1459</v>
      </c>
    </row>
    <row r="216" customFormat="false" ht="15" hidden="false" customHeight="false" outlineLevel="0" collapsed="false">
      <c r="A216" s="21" t="s">
        <v>2111</v>
      </c>
    </row>
    <row r="217" customFormat="false" ht="15" hidden="false" customHeight="false" outlineLevel="0" collapsed="false">
      <c r="A217" s="21" t="s">
        <v>2112</v>
      </c>
    </row>
    <row r="218" customFormat="false" ht="15" hidden="false" customHeight="false" outlineLevel="0" collapsed="false">
      <c r="A218" s="22" t="s">
        <v>2113</v>
      </c>
      <c r="B218" s="22" t="s">
        <v>2114</v>
      </c>
      <c r="C218" s="22" t="s">
        <v>2009</v>
      </c>
      <c r="D218" s="22" t="s">
        <v>2115</v>
      </c>
    </row>
    <row r="219" customFormat="false" ht="23.85" hidden="false" customHeight="false" outlineLevel="0" collapsed="false">
      <c r="A219" s="4" t="s">
        <v>2116</v>
      </c>
      <c r="B219" s="4" t="s">
        <v>2117</v>
      </c>
      <c r="C219" s="4" t="s">
        <v>2118</v>
      </c>
      <c r="D219" s="4" t="s">
        <v>2119</v>
      </c>
    </row>
    <row r="220" customFormat="false" ht="23.85" hidden="false" customHeight="false" outlineLevel="0" collapsed="false">
      <c r="A220" s="4" t="s">
        <v>2120</v>
      </c>
      <c r="B220" s="4" t="s">
        <v>2121</v>
      </c>
      <c r="C220" s="4" t="s">
        <v>2122</v>
      </c>
      <c r="D220" s="4" t="s">
        <v>2123</v>
      </c>
    </row>
    <row r="221" customFormat="false" ht="23.85" hidden="false" customHeight="false" outlineLevel="0" collapsed="false">
      <c r="A221" s="4" t="s">
        <v>2124</v>
      </c>
      <c r="B221" s="4" t="s">
        <v>2125</v>
      </c>
      <c r="C221" s="4" t="s">
        <v>2126</v>
      </c>
      <c r="D221" s="4" t="s">
        <v>2127</v>
      </c>
    </row>
    <row r="222" customFormat="false" ht="23.85" hidden="false" customHeight="false" outlineLevel="0" collapsed="false">
      <c r="A222" s="4" t="s">
        <v>2128</v>
      </c>
      <c r="B222" s="4" t="s">
        <v>2129</v>
      </c>
      <c r="C222" s="4" t="s">
        <v>2130</v>
      </c>
      <c r="D222" s="4" t="s">
        <v>2131</v>
      </c>
    </row>
    <row r="223" customFormat="false" ht="23.85" hidden="false" customHeight="false" outlineLevel="0" collapsed="false">
      <c r="A223" s="4" t="s">
        <v>2132</v>
      </c>
      <c r="B223" s="4" t="s">
        <v>2133</v>
      </c>
      <c r="C223" s="4" t="s">
        <v>2134</v>
      </c>
      <c r="D223" s="4" t="s">
        <v>2135</v>
      </c>
    </row>
    <row r="224" customFormat="false" ht="15" hidden="false" customHeight="false" outlineLevel="0" collapsed="false">
      <c r="A224" s="4" t="s">
        <v>2136</v>
      </c>
      <c r="B224" s="4" t="s">
        <v>2137</v>
      </c>
      <c r="C224" s="4" t="s">
        <v>2138</v>
      </c>
      <c r="D224" s="4" t="s">
        <v>1555</v>
      </c>
    </row>
    <row r="225" customFormat="false" ht="23.85" hidden="false" customHeight="false" outlineLevel="0" collapsed="false">
      <c r="A225" s="4" t="s">
        <v>2139</v>
      </c>
      <c r="B225" s="4" t="s">
        <v>2140</v>
      </c>
      <c r="C225" s="4" t="s">
        <v>2141</v>
      </c>
      <c r="D225" s="4" t="s">
        <v>1555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4" min="1" style="0" width="56"/>
    <col collapsed="false" customWidth="true" hidden="false" outlineLevel="0" max="5" min="5" style="0" width="34.4"/>
    <col collapsed="false" customWidth="true" hidden="false" outlineLevel="0" max="6" min="6" style="0" width="18.2"/>
  </cols>
  <sheetData>
    <row r="1" customFormat="false" ht="17.35" hidden="false" customHeight="false" outlineLevel="0" collapsed="false">
      <c r="A1" s="1" t="s">
        <v>172</v>
      </c>
    </row>
    <row r="2" customFormat="false" ht="15" hidden="false" customHeight="false" outlineLevel="0" collapsed="false">
      <c r="A2" s="14" t="s">
        <v>2142</v>
      </c>
    </row>
    <row r="4" customFormat="false" ht="15" hidden="false" customHeight="false" outlineLevel="0" collapsed="false">
      <c r="A4" s="17" t="s">
        <v>2143</v>
      </c>
      <c r="B4" s="18"/>
      <c r="C4" s="18"/>
      <c r="D4" s="18"/>
    </row>
    <row r="5" customFormat="false" ht="15" hidden="false" customHeight="false" outlineLevel="0" collapsed="false">
      <c r="A5" s="19" t="s">
        <v>2144</v>
      </c>
    </row>
    <row r="6" customFormat="false" ht="15" hidden="false" customHeight="false" outlineLevel="0" collapsed="false">
      <c r="A6" s="25" t="s">
        <v>2043</v>
      </c>
    </row>
    <row r="7" customFormat="false" ht="15" hidden="false" customHeight="false" outlineLevel="0" collapsed="false">
      <c r="A7" s="21" t="s">
        <v>2145</v>
      </c>
    </row>
    <row r="8" customFormat="false" ht="15" hidden="false" customHeight="false" outlineLevel="0" collapsed="false">
      <c r="A8" s="21" t="s">
        <v>2146</v>
      </c>
    </row>
    <row r="9" customFormat="false" ht="15" hidden="false" customHeight="false" outlineLevel="0" collapsed="false">
      <c r="A9" s="22" t="s">
        <v>2147</v>
      </c>
      <c r="B9" s="22" t="s">
        <v>2148</v>
      </c>
      <c r="C9" s="22" t="s">
        <v>2149</v>
      </c>
      <c r="D9" s="22" t="s">
        <v>2150</v>
      </c>
    </row>
    <row r="10" customFormat="false" ht="15" hidden="false" customHeight="false" outlineLevel="0" collapsed="false">
      <c r="A10" s="4" t="s">
        <v>2151</v>
      </c>
      <c r="B10" s="4" t="s">
        <v>2152</v>
      </c>
      <c r="C10" s="4" t="s">
        <v>2153</v>
      </c>
      <c r="D10" s="4" t="s">
        <v>2154</v>
      </c>
    </row>
    <row r="11" customFormat="false" ht="15" hidden="false" customHeight="false" outlineLevel="0" collapsed="false">
      <c r="A11" s="4" t="s">
        <v>1603</v>
      </c>
      <c r="B11" s="4" t="s">
        <v>2155</v>
      </c>
      <c r="C11" s="4" t="s">
        <v>2156</v>
      </c>
      <c r="D11" s="4" t="s">
        <v>2157</v>
      </c>
    </row>
    <row r="12" customFormat="false" ht="15" hidden="false" customHeight="false" outlineLevel="0" collapsed="false">
      <c r="A12" s="4" t="s">
        <v>2158</v>
      </c>
      <c r="B12" s="4" t="s">
        <v>2159</v>
      </c>
      <c r="C12" s="4" t="s">
        <v>2160</v>
      </c>
      <c r="D12" s="4" t="s">
        <v>2161</v>
      </c>
    </row>
    <row r="13" customFormat="false" ht="15" hidden="false" customHeight="false" outlineLevel="0" collapsed="false">
      <c r="A13" s="4" t="s">
        <v>2162</v>
      </c>
      <c r="B13" s="4" t="s">
        <v>2163</v>
      </c>
      <c r="C13" s="4" t="s">
        <v>2164</v>
      </c>
      <c r="D13" s="4" t="s">
        <v>2165</v>
      </c>
    </row>
    <row r="14" customFormat="false" ht="15" hidden="false" customHeight="false" outlineLevel="0" collapsed="false">
      <c r="A14" s="4" t="s">
        <v>2166</v>
      </c>
      <c r="B14" s="4" t="n">
        <v>1.6</v>
      </c>
      <c r="C14" s="4" t="n">
        <v>1.5</v>
      </c>
      <c r="D14" s="4" t="n">
        <v>1.3</v>
      </c>
    </row>
    <row r="15" customFormat="false" ht="15" hidden="false" customHeight="false" outlineLevel="0" collapsed="false">
      <c r="A15" s="4" t="s">
        <v>2010</v>
      </c>
      <c r="B15" s="4" t="s">
        <v>2167</v>
      </c>
      <c r="C15" s="4" t="s">
        <v>2168</v>
      </c>
      <c r="D15" s="4" t="s">
        <v>2169</v>
      </c>
    </row>
    <row r="16" customFormat="false" ht="15" hidden="false" customHeight="false" outlineLevel="0" collapsed="false">
      <c r="A16" s="4" t="s">
        <v>2170</v>
      </c>
      <c r="B16" s="4" t="s">
        <v>2171</v>
      </c>
      <c r="C16" s="4" t="s">
        <v>2172</v>
      </c>
      <c r="D16" s="4" t="s">
        <v>2172</v>
      </c>
    </row>
    <row r="17" customFormat="false" ht="15" hidden="false" customHeight="false" outlineLevel="0" collapsed="false">
      <c r="A17" s="4" t="s">
        <v>2173</v>
      </c>
      <c r="B17" s="4" t="s">
        <v>2174</v>
      </c>
      <c r="C17" s="4" t="s">
        <v>2175</v>
      </c>
      <c r="D17" s="4" t="s">
        <v>2175</v>
      </c>
    </row>
    <row r="20" customFormat="false" ht="15" hidden="false" customHeight="false" outlineLevel="0" collapsed="false">
      <c r="A20" s="17" t="s">
        <v>2176</v>
      </c>
      <c r="B20" s="18"/>
      <c r="C20" s="18"/>
      <c r="D20" s="18"/>
    </row>
    <row r="21" customFormat="false" ht="15" hidden="false" customHeight="false" outlineLevel="0" collapsed="false">
      <c r="A21" s="19" t="s">
        <v>2177</v>
      </c>
    </row>
    <row r="22" customFormat="false" ht="15" hidden="false" customHeight="false" outlineLevel="0" collapsed="false">
      <c r="A22" s="19" t="s">
        <v>2178</v>
      </c>
    </row>
    <row r="23" customFormat="false" ht="15" hidden="false" customHeight="false" outlineLevel="0" collapsed="false">
      <c r="A23" s="26" t="s">
        <v>2179</v>
      </c>
    </row>
    <row r="24" customFormat="false" ht="15" hidden="false" customHeight="false" outlineLevel="0" collapsed="false">
      <c r="A24" s="21" t="s">
        <v>2180</v>
      </c>
    </row>
    <row r="25" customFormat="false" ht="15" hidden="false" customHeight="false" outlineLevel="0" collapsed="false">
      <c r="A25" s="21" t="s">
        <v>2181</v>
      </c>
    </row>
    <row r="26" customFormat="false" ht="15" hidden="false" customHeight="false" outlineLevel="0" collapsed="false">
      <c r="A26" s="22"/>
      <c r="B26" s="22" t="s">
        <v>2182</v>
      </c>
      <c r="C26" s="22" t="s">
        <v>2183</v>
      </c>
      <c r="D26" s="22" t="s">
        <v>2184</v>
      </c>
    </row>
    <row r="27" customFormat="false" ht="15" hidden="false" customHeight="false" outlineLevel="0" collapsed="false">
      <c r="A27" s="4" t="s">
        <v>2185</v>
      </c>
      <c r="B27" s="4" t="s">
        <v>2186</v>
      </c>
      <c r="C27" s="4" t="s">
        <v>2187</v>
      </c>
      <c r="D27" s="4" t="s">
        <v>2188</v>
      </c>
    </row>
    <row r="28" customFormat="false" ht="15" hidden="false" customHeight="false" outlineLevel="0" collapsed="false">
      <c r="A28" s="4" t="s">
        <v>2189</v>
      </c>
      <c r="B28" s="4" t="s">
        <v>2190</v>
      </c>
      <c r="C28" s="4" t="s">
        <v>2191</v>
      </c>
      <c r="D28" s="4" t="s">
        <v>2192</v>
      </c>
    </row>
    <row r="29" customFormat="false" ht="15" hidden="false" customHeight="false" outlineLevel="0" collapsed="false">
      <c r="A29" s="4" t="s">
        <v>2193</v>
      </c>
      <c r="B29" s="4" t="s">
        <v>2194</v>
      </c>
      <c r="C29" s="4" t="s">
        <v>2195</v>
      </c>
      <c r="D29" s="4" t="s">
        <v>2196</v>
      </c>
    </row>
    <row r="30" customFormat="false" ht="15" hidden="false" customHeight="false" outlineLevel="0" collapsed="false">
      <c r="A30" s="4" t="s">
        <v>2197</v>
      </c>
      <c r="B30" s="4" t="s">
        <v>2198</v>
      </c>
      <c r="C30" s="4" t="s">
        <v>2199</v>
      </c>
      <c r="D30" s="4" t="s">
        <v>2200</v>
      </c>
    </row>
    <row r="31" customFormat="false" ht="15" hidden="false" customHeight="false" outlineLevel="0" collapsed="false">
      <c r="A31" s="4" t="s">
        <v>2201</v>
      </c>
      <c r="B31" s="4" t="s">
        <v>2202</v>
      </c>
      <c r="C31" s="4" t="s">
        <v>2203</v>
      </c>
      <c r="D31" s="4" t="s">
        <v>2204</v>
      </c>
    </row>
    <row r="32" customFormat="false" ht="15" hidden="false" customHeight="false" outlineLevel="0" collapsed="false">
      <c r="A32" s="4" t="s">
        <v>2205</v>
      </c>
      <c r="B32" s="4" t="s">
        <v>2206</v>
      </c>
      <c r="C32" s="4" t="s">
        <v>2207</v>
      </c>
      <c r="D32" s="4" t="s">
        <v>2208</v>
      </c>
    </row>
    <row r="33" customFormat="false" ht="15" hidden="false" customHeight="false" outlineLevel="0" collapsed="false">
      <c r="A33" s="4" t="s">
        <v>2209</v>
      </c>
      <c r="B33" s="4" t="s">
        <v>2210</v>
      </c>
      <c r="C33" s="4" t="s">
        <v>2211</v>
      </c>
      <c r="D33" s="4" t="s">
        <v>2212</v>
      </c>
    </row>
    <row r="34" customFormat="false" ht="15" hidden="false" customHeight="false" outlineLevel="0" collapsed="false">
      <c r="A34" s="4" t="s">
        <v>2213</v>
      </c>
      <c r="B34" s="4" t="s">
        <v>2214</v>
      </c>
      <c r="C34" s="4" t="s">
        <v>2215</v>
      </c>
      <c r="D34" s="4" t="s">
        <v>2216</v>
      </c>
    </row>
    <row r="35" customFormat="false" ht="15" hidden="false" customHeight="false" outlineLevel="0" collapsed="false">
      <c r="A35" s="4" t="s">
        <v>2217</v>
      </c>
      <c r="B35" s="4" t="s">
        <v>2218</v>
      </c>
      <c r="C35" s="4" t="s">
        <v>2219</v>
      </c>
      <c r="D35" s="4" t="s">
        <v>2220</v>
      </c>
    </row>
    <row r="36" customFormat="false" ht="15" hidden="false" customHeight="false" outlineLevel="0" collapsed="false">
      <c r="A36" s="4" t="s">
        <v>2221</v>
      </c>
      <c r="B36" s="4" t="s">
        <v>2222</v>
      </c>
      <c r="C36" s="4" t="s">
        <v>2223</v>
      </c>
      <c r="D36" s="4" t="s">
        <v>2224</v>
      </c>
    </row>
    <row r="37" customFormat="false" ht="15" hidden="false" customHeight="false" outlineLevel="0" collapsed="false">
      <c r="A37" s="4" t="s">
        <v>2225</v>
      </c>
      <c r="B37" s="4" t="s">
        <v>2223</v>
      </c>
      <c r="C37" s="4" t="s">
        <v>2226</v>
      </c>
      <c r="D37" s="4" t="s">
        <v>2227</v>
      </c>
    </row>
    <row r="38" customFormat="false" ht="15" hidden="false" customHeight="false" outlineLevel="0" collapsed="false">
      <c r="A38" s="4" t="s">
        <v>2228</v>
      </c>
      <c r="B38" s="4" t="s">
        <v>2229</v>
      </c>
      <c r="C38" s="4" t="s">
        <v>2230</v>
      </c>
      <c r="D38" s="4" t="s">
        <v>2231</v>
      </c>
    </row>
    <row r="39" customFormat="false" ht="15" hidden="false" customHeight="false" outlineLevel="0" collapsed="false">
      <c r="A39" s="4" t="s">
        <v>2232</v>
      </c>
      <c r="B39" s="4" t="s">
        <v>2233</v>
      </c>
      <c r="C39" s="4" t="s">
        <v>2234</v>
      </c>
      <c r="D39" s="4" t="s">
        <v>2235</v>
      </c>
    </row>
    <row r="40" customFormat="false" ht="15" hidden="false" customHeight="false" outlineLevel="0" collapsed="false">
      <c r="A40" s="4" t="s">
        <v>2236</v>
      </c>
      <c r="B40" s="4" t="s">
        <v>2237</v>
      </c>
      <c r="C40" s="4" t="s">
        <v>2238</v>
      </c>
      <c r="D40" s="4" t="s">
        <v>2239</v>
      </c>
    </row>
    <row r="43" customFormat="false" ht="15" hidden="false" customHeight="false" outlineLevel="0" collapsed="false">
      <c r="A43" s="17" t="s">
        <v>2240</v>
      </c>
      <c r="B43" s="18"/>
      <c r="C43" s="18"/>
      <c r="D43" s="18"/>
      <c r="E43" s="18"/>
      <c r="F43" s="18"/>
    </row>
    <row r="44" customFormat="false" ht="15" hidden="false" customHeight="false" outlineLevel="0" collapsed="false">
      <c r="A44" s="19" t="s">
        <v>2241</v>
      </c>
    </row>
    <row r="45" customFormat="false" ht="15" hidden="false" customHeight="false" outlineLevel="0" collapsed="false">
      <c r="A45" s="19" t="s">
        <v>2242</v>
      </c>
    </row>
    <row r="46" customFormat="false" ht="15" hidden="false" customHeight="false" outlineLevel="0" collapsed="false">
      <c r="A46" s="26" t="s">
        <v>2179</v>
      </c>
    </row>
    <row r="47" customFormat="false" ht="15" hidden="false" customHeight="false" outlineLevel="0" collapsed="false">
      <c r="A47" s="21" t="s">
        <v>2243</v>
      </c>
    </row>
    <row r="48" customFormat="false" ht="15" hidden="false" customHeight="false" outlineLevel="0" collapsed="false">
      <c r="A48" s="21" t="s">
        <v>2244</v>
      </c>
    </row>
    <row r="49" customFormat="false" ht="15" hidden="false" customHeight="false" outlineLevel="0" collapsed="false">
      <c r="A49" s="22" t="s">
        <v>2245</v>
      </c>
      <c r="B49" s="22" t="s">
        <v>2246</v>
      </c>
      <c r="C49" s="22" t="s">
        <v>2247</v>
      </c>
      <c r="D49" s="22" t="s">
        <v>2248</v>
      </c>
      <c r="E49" s="22" t="s">
        <v>2249</v>
      </c>
      <c r="F49" s="22" t="s">
        <v>2250</v>
      </c>
    </row>
    <row r="50" customFormat="false" ht="15" hidden="false" customHeight="false" outlineLevel="0" collapsed="false">
      <c r="A50" s="4" t="s">
        <v>2251</v>
      </c>
      <c r="B50" s="4" t="s">
        <v>2252</v>
      </c>
      <c r="C50" s="4" t="s">
        <v>2253</v>
      </c>
      <c r="D50" s="4" t="s">
        <v>2254</v>
      </c>
      <c r="E50" s="4" t="s">
        <v>2255</v>
      </c>
      <c r="F50" s="4" t="s">
        <v>2256</v>
      </c>
    </row>
    <row r="51" customFormat="false" ht="15" hidden="false" customHeight="false" outlineLevel="0" collapsed="false">
      <c r="A51" s="4" t="s">
        <v>2257</v>
      </c>
      <c r="B51" s="4" t="s">
        <v>2258</v>
      </c>
      <c r="C51" s="4" t="s">
        <v>2259</v>
      </c>
      <c r="D51" s="4" t="s">
        <v>2260</v>
      </c>
      <c r="E51" s="4" t="s">
        <v>2261</v>
      </c>
      <c r="F51" s="4" t="s">
        <v>2262</v>
      </c>
    </row>
    <row r="52" customFormat="false" ht="15" hidden="false" customHeight="false" outlineLevel="0" collapsed="false">
      <c r="A52" s="4" t="s">
        <v>2263</v>
      </c>
      <c r="B52" s="4" t="s">
        <v>2264</v>
      </c>
      <c r="C52" s="4" t="s">
        <v>2259</v>
      </c>
      <c r="D52" s="4" t="s">
        <v>2265</v>
      </c>
      <c r="E52" s="4" t="s">
        <v>2266</v>
      </c>
      <c r="F52" s="4" t="s">
        <v>2267</v>
      </c>
    </row>
    <row r="53" customFormat="false" ht="15" hidden="false" customHeight="false" outlineLevel="0" collapsed="false">
      <c r="A53" s="4" t="s">
        <v>2268</v>
      </c>
      <c r="B53" s="4" t="s">
        <v>2269</v>
      </c>
      <c r="C53" s="4" t="s">
        <v>2259</v>
      </c>
      <c r="D53" s="4" t="s">
        <v>2270</v>
      </c>
      <c r="E53" s="4" t="s">
        <v>2271</v>
      </c>
      <c r="F53" s="4" t="s">
        <v>2272</v>
      </c>
    </row>
    <row r="54" customFormat="false" ht="15" hidden="false" customHeight="false" outlineLevel="0" collapsed="false">
      <c r="A54" s="4" t="s">
        <v>2273</v>
      </c>
      <c r="B54" s="4" t="s">
        <v>2274</v>
      </c>
      <c r="C54" s="4" t="s">
        <v>2259</v>
      </c>
      <c r="D54" s="4" t="s">
        <v>2275</v>
      </c>
      <c r="E54" s="4" t="s">
        <v>2276</v>
      </c>
      <c r="F54" s="4" t="s">
        <v>2277</v>
      </c>
    </row>
    <row r="55" customFormat="false" ht="15" hidden="false" customHeight="false" outlineLevel="0" collapsed="false">
      <c r="A55" s="4" t="s">
        <v>2278</v>
      </c>
      <c r="B55" s="4" t="s">
        <v>2279</v>
      </c>
      <c r="C55" s="4" t="s">
        <v>2259</v>
      </c>
      <c r="D55" s="4" t="s">
        <v>2280</v>
      </c>
      <c r="E55" s="4" t="s">
        <v>2281</v>
      </c>
      <c r="F55" s="4" t="s">
        <v>2282</v>
      </c>
    </row>
    <row r="58" customFormat="false" ht="15" hidden="false" customHeight="false" outlineLevel="0" collapsed="false">
      <c r="A58" s="17" t="s">
        <v>2283</v>
      </c>
      <c r="B58" s="18"/>
      <c r="C58" s="18"/>
      <c r="D58" s="18"/>
    </row>
    <row r="59" customFormat="false" ht="15" hidden="false" customHeight="false" outlineLevel="0" collapsed="false">
      <c r="A59" s="19" t="s">
        <v>2284</v>
      </c>
    </row>
    <row r="60" customFormat="false" ht="15" hidden="false" customHeight="false" outlineLevel="0" collapsed="false">
      <c r="A60" s="19" t="s">
        <v>2285</v>
      </c>
    </row>
    <row r="61" customFormat="false" ht="15" hidden="false" customHeight="false" outlineLevel="0" collapsed="false">
      <c r="A61" s="26" t="s">
        <v>2179</v>
      </c>
    </row>
    <row r="62" customFormat="false" ht="15" hidden="false" customHeight="false" outlineLevel="0" collapsed="false">
      <c r="A62" s="21" t="s">
        <v>2286</v>
      </c>
    </row>
    <row r="63" customFormat="false" ht="15" hidden="false" customHeight="false" outlineLevel="0" collapsed="false">
      <c r="A63" s="21" t="s">
        <v>2287</v>
      </c>
    </row>
    <row r="64" customFormat="false" ht="15" hidden="false" customHeight="false" outlineLevel="0" collapsed="false">
      <c r="A64" s="22"/>
      <c r="B64" s="22" t="s">
        <v>2288</v>
      </c>
      <c r="C64" s="22" t="s">
        <v>2289</v>
      </c>
      <c r="D64" s="22" t="s">
        <v>2290</v>
      </c>
    </row>
    <row r="65" customFormat="false" ht="15" hidden="false" customHeight="false" outlineLevel="0" collapsed="false">
      <c r="A65" s="4" t="s">
        <v>2291</v>
      </c>
      <c r="B65" s="4" t="s">
        <v>2292</v>
      </c>
      <c r="C65" s="4" t="s">
        <v>2293</v>
      </c>
      <c r="D65" s="4" t="s">
        <v>2294</v>
      </c>
    </row>
    <row r="66" customFormat="false" ht="15" hidden="false" customHeight="false" outlineLevel="0" collapsed="false">
      <c r="A66" s="4" t="s">
        <v>2295</v>
      </c>
      <c r="B66" s="4" t="s">
        <v>2296</v>
      </c>
      <c r="C66" s="4" t="s">
        <v>2297</v>
      </c>
      <c r="D66" s="4" t="s">
        <v>2298</v>
      </c>
    </row>
    <row r="67" customFormat="false" ht="15" hidden="false" customHeight="false" outlineLevel="0" collapsed="false">
      <c r="A67" s="4" t="s">
        <v>2299</v>
      </c>
      <c r="B67" s="4" t="s">
        <v>2300</v>
      </c>
      <c r="C67" s="4" t="s">
        <v>2301</v>
      </c>
      <c r="D67" s="4" t="s">
        <v>2302</v>
      </c>
    </row>
    <row r="70" customFormat="false" ht="15" hidden="false" customHeight="false" outlineLevel="0" collapsed="false">
      <c r="A70" s="17" t="s">
        <v>2303</v>
      </c>
      <c r="B70" s="18"/>
      <c r="C70" s="18"/>
      <c r="D70" s="18"/>
      <c r="E70" s="18"/>
    </row>
    <row r="71" customFormat="false" ht="15" hidden="false" customHeight="false" outlineLevel="0" collapsed="false">
      <c r="A71" s="19" t="s">
        <v>2304</v>
      </c>
    </row>
    <row r="72" customFormat="false" ht="15" hidden="false" customHeight="false" outlineLevel="0" collapsed="false">
      <c r="A72" s="20" t="s">
        <v>1193</v>
      </c>
    </row>
    <row r="73" customFormat="false" ht="15" hidden="false" customHeight="false" outlineLevel="0" collapsed="false">
      <c r="A73" s="21" t="s">
        <v>2305</v>
      </c>
    </row>
    <row r="74" customFormat="false" ht="15" hidden="false" customHeight="false" outlineLevel="0" collapsed="false">
      <c r="A74" s="21" t="s">
        <v>2306</v>
      </c>
    </row>
    <row r="75" customFormat="false" ht="15" hidden="false" customHeight="false" outlineLevel="0" collapsed="false">
      <c r="A75" s="22" t="s">
        <v>2307</v>
      </c>
      <c r="B75" s="22" t="s">
        <v>2308</v>
      </c>
      <c r="C75" s="22" t="s">
        <v>2309</v>
      </c>
      <c r="D75" s="22" t="s">
        <v>2310</v>
      </c>
      <c r="E75" s="22" t="s">
        <v>2311</v>
      </c>
    </row>
    <row r="76" customFormat="false" ht="15" hidden="false" customHeight="false" outlineLevel="0" collapsed="false">
      <c r="A76" s="4" t="s">
        <v>2312</v>
      </c>
      <c r="B76" s="4" t="n">
        <v>0.62</v>
      </c>
      <c r="C76" s="4" t="s">
        <v>2313</v>
      </c>
      <c r="D76" s="4" t="n">
        <v>178</v>
      </c>
      <c r="E76" s="4" t="s">
        <v>2314</v>
      </c>
    </row>
    <row r="77" customFormat="false" ht="15" hidden="false" customHeight="false" outlineLevel="0" collapsed="false">
      <c r="A77" s="4" t="s">
        <v>2315</v>
      </c>
      <c r="B77" s="4" t="n">
        <v>1.47</v>
      </c>
      <c r="C77" s="4" t="s">
        <v>2316</v>
      </c>
      <c r="D77" s="4" t="n">
        <v>444</v>
      </c>
      <c r="E77" s="4" t="s">
        <v>2314</v>
      </c>
    </row>
    <row r="78" customFormat="false" ht="15" hidden="false" customHeight="false" outlineLevel="0" collapsed="false">
      <c r="A78" s="4" t="s">
        <v>2317</v>
      </c>
      <c r="B78" s="4" t="s">
        <v>2302</v>
      </c>
      <c r="C78" s="4" t="s">
        <v>2318</v>
      </c>
      <c r="D78" s="4" t="n">
        <v>841</v>
      </c>
      <c r="E78" s="4" t="s">
        <v>2314</v>
      </c>
    </row>
    <row r="79" customFormat="false" ht="15" hidden="false" customHeight="false" outlineLevel="0" collapsed="false">
      <c r="A79" s="4" t="s">
        <v>2319</v>
      </c>
      <c r="B79" s="4" t="s">
        <v>2320</v>
      </c>
      <c r="C79" s="4" t="s">
        <v>2321</v>
      </c>
      <c r="D79" s="4" t="s">
        <v>2322</v>
      </c>
      <c r="E79" s="4" t="s">
        <v>2323</v>
      </c>
    </row>
    <row r="80" customFormat="false" ht="15" hidden="false" customHeight="false" outlineLevel="0" collapsed="false">
      <c r="A80" s="4" t="s">
        <v>2324</v>
      </c>
      <c r="B80" s="4" t="s">
        <v>2325</v>
      </c>
      <c r="C80" s="4" t="s">
        <v>2326</v>
      </c>
      <c r="D80" s="4" t="s">
        <v>2327</v>
      </c>
      <c r="E80" s="4" t="s">
        <v>2328</v>
      </c>
    </row>
    <row r="81" customFormat="false" ht="15" hidden="false" customHeight="false" outlineLevel="0" collapsed="false">
      <c r="A81" s="4" t="s">
        <v>2329</v>
      </c>
      <c r="B81" s="4" t="s">
        <v>2330</v>
      </c>
      <c r="C81" s="4" t="s">
        <v>2331</v>
      </c>
      <c r="D81" s="4" t="s">
        <v>2332</v>
      </c>
      <c r="E81" s="4" t="s">
        <v>2333</v>
      </c>
    </row>
    <row r="82" customFormat="false" ht="15" hidden="false" customHeight="false" outlineLevel="0" collapsed="false">
      <c r="A82" s="4" t="s">
        <v>2334</v>
      </c>
      <c r="B82" s="4" t="s">
        <v>2335</v>
      </c>
      <c r="C82" s="4" t="s">
        <v>2336</v>
      </c>
      <c r="D82" s="4" t="s">
        <v>2337</v>
      </c>
      <c r="E82" s="4" t="s">
        <v>2338</v>
      </c>
    </row>
    <row r="83" customFormat="false" ht="15" hidden="false" customHeight="false" outlineLevel="0" collapsed="false">
      <c r="A83" s="4" t="s">
        <v>2339</v>
      </c>
      <c r="B83" s="4" t="s">
        <v>2340</v>
      </c>
      <c r="C83" s="4" t="s">
        <v>1555</v>
      </c>
      <c r="D83" s="4" t="s">
        <v>2341</v>
      </c>
      <c r="E83" s="4" t="s">
        <v>1531</v>
      </c>
    </row>
    <row r="84" customFormat="false" ht="15" hidden="false" customHeight="false" outlineLevel="0" collapsed="false">
      <c r="A84" s="4" t="s">
        <v>2342</v>
      </c>
      <c r="B84" s="4" t="s">
        <v>2343</v>
      </c>
      <c r="C84" s="4" t="s">
        <v>2344</v>
      </c>
      <c r="D84" s="4" t="s">
        <v>2345</v>
      </c>
      <c r="E84" s="4" t="s">
        <v>2346</v>
      </c>
    </row>
    <row r="85" customFormat="false" ht="15" hidden="false" customHeight="false" outlineLevel="0" collapsed="false">
      <c r="A85" s="4" t="s">
        <v>2347</v>
      </c>
      <c r="B85" s="4" t="s">
        <v>2348</v>
      </c>
      <c r="C85" s="4" t="s">
        <v>2349</v>
      </c>
      <c r="D85" s="4" t="s">
        <v>2350</v>
      </c>
      <c r="E85" s="4" t="s">
        <v>1531</v>
      </c>
    </row>
    <row r="86" customFormat="false" ht="15" hidden="false" customHeight="false" outlineLevel="0" collapsed="false">
      <c r="A86" s="4" t="s">
        <v>2351</v>
      </c>
      <c r="B86" s="4" t="s">
        <v>2352</v>
      </c>
      <c r="C86" s="4" t="s">
        <v>2353</v>
      </c>
      <c r="D86" s="4" t="s">
        <v>2354</v>
      </c>
      <c r="E86" s="4" t="s">
        <v>2355</v>
      </c>
    </row>
    <row r="87" customFormat="false" ht="15" hidden="false" customHeight="false" outlineLevel="0" collapsed="false">
      <c r="A87" s="4" t="s">
        <v>2356</v>
      </c>
      <c r="B87" s="4" t="s">
        <v>2357</v>
      </c>
      <c r="C87" s="4" t="s">
        <v>1555</v>
      </c>
      <c r="D87" s="4" t="s">
        <v>1555</v>
      </c>
      <c r="E87" s="4" t="s">
        <v>2358</v>
      </c>
    </row>
    <row r="88" customFormat="false" ht="15" hidden="false" customHeight="false" outlineLevel="0" collapsed="false">
      <c r="A88" s="4" t="s">
        <v>2359</v>
      </c>
      <c r="B88" s="4" t="s">
        <v>2360</v>
      </c>
      <c r="C88" s="4" t="s">
        <v>2361</v>
      </c>
      <c r="D88" s="4" t="s">
        <v>2362</v>
      </c>
      <c r="E88" s="4" t="s">
        <v>1531</v>
      </c>
    </row>
    <row r="89" customFormat="false" ht="15" hidden="false" customHeight="false" outlineLevel="0" collapsed="false">
      <c r="A89" s="4" t="s">
        <v>2363</v>
      </c>
      <c r="B89" s="4" t="s">
        <v>2364</v>
      </c>
      <c r="C89" s="4" t="s">
        <v>2365</v>
      </c>
      <c r="D89" s="4" t="s">
        <v>2366</v>
      </c>
      <c r="E89" s="4" t="s">
        <v>1531</v>
      </c>
    </row>
    <row r="90" customFormat="false" ht="23.85" hidden="false" customHeight="false" outlineLevel="0" collapsed="false">
      <c r="A90" s="4" t="s">
        <v>2367</v>
      </c>
      <c r="B90" s="4" t="s">
        <v>2368</v>
      </c>
      <c r="C90" s="4" t="s">
        <v>1555</v>
      </c>
      <c r="D90" s="4" t="s">
        <v>2369</v>
      </c>
      <c r="E90" s="4" t="s">
        <v>2370</v>
      </c>
    </row>
    <row r="91" customFormat="false" ht="15" hidden="false" customHeight="false" outlineLevel="0" collapsed="false">
      <c r="A91" s="4" t="s">
        <v>2371</v>
      </c>
      <c r="B91" s="4" t="s">
        <v>2372</v>
      </c>
      <c r="C91" s="4" t="s">
        <v>2373</v>
      </c>
      <c r="D91" s="4" t="s">
        <v>2374</v>
      </c>
      <c r="E91" s="4" t="s">
        <v>2375</v>
      </c>
    </row>
    <row r="92" customFormat="false" ht="15" hidden="false" customHeight="false" outlineLevel="0" collapsed="false">
      <c r="A92" s="4" t="s">
        <v>2376</v>
      </c>
      <c r="B92" s="4" t="s">
        <v>2377</v>
      </c>
      <c r="C92" s="4" t="s">
        <v>2378</v>
      </c>
      <c r="D92" s="4" t="s">
        <v>2379</v>
      </c>
      <c r="E92" s="4" t="s">
        <v>2380</v>
      </c>
    </row>
    <row r="93" customFormat="false" ht="15" hidden="false" customHeight="false" outlineLevel="0" collapsed="false">
      <c r="A93" s="4" t="s">
        <v>2381</v>
      </c>
      <c r="B93" s="4" t="s">
        <v>2382</v>
      </c>
      <c r="C93" s="4" t="s">
        <v>1555</v>
      </c>
      <c r="D93" s="4" t="s">
        <v>1555</v>
      </c>
      <c r="E93" s="4" t="s">
        <v>2383</v>
      </c>
    </row>
    <row r="96" customFormat="false" ht="15" hidden="false" customHeight="false" outlineLevel="0" collapsed="false">
      <c r="A96" s="17" t="s">
        <v>2384</v>
      </c>
      <c r="B96" s="18"/>
      <c r="C96" s="18"/>
    </row>
    <row r="97" customFormat="false" ht="15" hidden="false" customHeight="false" outlineLevel="0" collapsed="false">
      <c r="A97" s="19" t="s">
        <v>2385</v>
      </c>
    </row>
    <row r="98" customFormat="false" ht="15" hidden="false" customHeight="false" outlineLevel="0" collapsed="false">
      <c r="A98" s="23" t="s">
        <v>1246</v>
      </c>
    </row>
    <row r="99" customFormat="false" ht="15" hidden="false" customHeight="false" outlineLevel="0" collapsed="false">
      <c r="A99" s="21" t="s">
        <v>2386</v>
      </c>
    </row>
    <row r="100" customFormat="false" ht="15" hidden="false" customHeight="false" outlineLevel="0" collapsed="false">
      <c r="A100" s="21" t="s">
        <v>2387</v>
      </c>
    </row>
    <row r="101" customFormat="false" ht="15" hidden="false" customHeight="false" outlineLevel="0" collapsed="false">
      <c r="A101" s="22" t="s">
        <v>8</v>
      </c>
      <c r="B101" s="22" t="s">
        <v>2388</v>
      </c>
      <c r="C101" s="22" t="s">
        <v>2389</v>
      </c>
    </row>
    <row r="102" customFormat="false" ht="57.45" hidden="false" customHeight="false" outlineLevel="0" collapsed="false">
      <c r="A102" s="4" t="s">
        <v>2390</v>
      </c>
      <c r="B102" s="4" t="s">
        <v>2391</v>
      </c>
      <c r="C102" s="4" t="s">
        <v>2392</v>
      </c>
    </row>
    <row r="103" customFormat="false" ht="68.65" hidden="false" customHeight="false" outlineLevel="0" collapsed="false">
      <c r="A103" s="4" t="s">
        <v>2393</v>
      </c>
      <c r="B103" s="4" t="s">
        <v>2394</v>
      </c>
      <c r="C103" s="4" t="s">
        <v>2395</v>
      </c>
    </row>
    <row r="104" customFormat="false" ht="23.85" hidden="false" customHeight="false" outlineLevel="0" collapsed="false">
      <c r="A104" s="4" t="s">
        <v>2396</v>
      </c>
      <c r="B104" s="4" t="s">
        <v>2397</v>
      </c>
      <c r="C104" s="4" t="s">
        <v>2398</v>
      </c>
    </row>
    <row r="105" customFormat="false" ht="68.65" hidden="false" customHeight="false" outlineLevel="0" collapsed="false">
      <c r="A105" s="4" t="s">
        <v>2399</v>
      </c>
      <c r="B105" s="4" t="s">
        <v>2400</v>
      </c>
      <c r="C105" s="4" t="s">
        <v>2401</v>
      </c>
    </row>
    <row r="106" customFormat="false" ht="23.85" hidden="false" customHeight="false" outlineLevel="0" collapsed="false">
      <c r="A106" s="4" t="s">
        <v>2402</v>
      </c>
      <c r="B106" s="4" t="s">
        <v>2403</v>
      </c>
      <c r="C106" s="4" t="s">
        <v>2404</v>
      </c>
    </row>
    <row r="109" customFormat="false" ht="15" hidden="false" customHeight="false" outlineLevel="0" collapsed="false">
      <c r="A109" s="17" t="s">
        <v>2405</v>
      </c>
      <c r="B109" s="18"/>
      <c r="C109" s="18"/>
      <c r="D109" s="18"/>
      <c r="E109" s="18"/>
    </row>
    <row r="110" customFormat="false" ht="15" hidden="false" customHeight="false" outlineLevel="0" collapsed="false">
      <c r="A110" s="19" t="s">
        <v>2406</v>
      </c>
    </row>
    <row r="111" customFormat="false" ht="15" hidden="false" customHeight="false" outlineLevel="0" collapsed="false">
      <c r="A111" s="26" t="s">
        <v>2179</v>
      </c>
    </row>
    <row r="112" customFormat="false" ht="15" hidden="false" customHeight="false" outlineLevel="0" collapsed="false">
      <c r="A112" s="21" t="s">
        <v>2407</v>
      </c>
    </row>
    <row r="113" customFormat="false" ht="15" hidden="false" customHeight="false" outlineLevel="0" collapsed="false">
      <c r="A113" s="21" t="s">
        <v>2408</v>
      </c>
    </row>
    <row r="114" customFormat="false" ht="23.85" hidden="false" customHeight="false" outlineLevel="0" collapsed="false">
      <c r="A114" s="22" t="s">
        <v>2409</v>
      </c>
      <c r="B114" s="22" t="s">
        <v>2410</v>
      </c>
      <c r="C114" s="22" t="s">
        <v>2411</v>
      </c>
      <c r="D114" s="22" t="s">
        <v>2412</v>
      </c>
      <c r="E114" s="22" t="s">
        <v>2413</v>
      </c>
    </row>
    <row r="115" customFormat="false" ht="15" hidden="false" customHeight="false" outlineLevel="0" collapsed="false">
      <c r="A115" s="4" t="s">
        <v>2154</v>
      </c>
      <c r="B115" s="4" t="s">
        <v>2414</v>
      </c>
      <c r="C115" s="4" t="s">
        <v>2415</v>
      </c>
      <c r="D115" s="4" t="s">
        <v>2416</v>
      </c>
      <c r="E115" s="4" t="s">
        <v>2417</v>
      </c>
    </row>
    <row r="116" customFormat="false" ht="15" hidden="false" customHeight="false" outlineLevel="0" collapsed="false">
      <c r="A116" s="4" t="s">
        <v>2418</v>
      </c>
      <c r="B116" s="4" t="s">
        <v>2419</v>
      </c>
      <c r="C116" s="4" t="s">
        <v>2420</v>
      </c>
      <c r="D116" s="4" t="s">
        <v>2421</v>
      </c>
      <c r="E116" s="4" t="s">
        <v>2422</v>
      </c>
    </row>
    <row r="117" customFormat="false" ht="15" hidden="false" customHeight="false" outlineLevel="0" collapsed="false">
      <c r="A117" s="4" t="s">
        <v>2423</v>
      </c>
      <c r="B117" s="4" t="s">
        <v>2424</v>
      </c>
      <c r="C117" s="4" t="s">
        <v>2425</v>
      </c>
      <c r="D117" s="4" t="s">
        <v>2426</v>
      </c>
      <c r="E117" s="4" t="s">
        <v>2427</v>
      </c>
    </row>
    <row r="118" customFormat="false" ht="15" hidden="false" customHeight="false" outlineLevel="0" collapsed="false">
      <c r="A118" s="4" t="s">
        <v>2428</v>
      </c>
      <c r="B118" s="4" t="s">
        <v>2429</v>
      </c>
      <c r="C118" s="4" t="s">
        <v>2430</v>
      </c>
      <c r="D118" s="4" t="s">
        <v>2431</v>
      </c>
      <c r="E118" s="4" t="s">
        <v>2432</v>
      </c>
    </row>
    <row r="119" customFormat="false" ht="15" hidden="false" customHeight="false" outlineLevel="0" collapsed="false">
      <c r="A119" s="4" t="s">
        <v>2433</v>
      </c>
      <c r="B119" s="4" t="s">
        <v>2434</v>
      </c>
      <c r="C119" s="4" t="s">
        <v>2435</v>
      </c>
      <c r="D119" s="4" t="s">
        <v>2030</v>
      </c>
      <c r="E119" s="4" t="s">
        <v>1555</v>
      </c>
    </row>
    <row r="122" customFormat="false" ht="15" hidden="false" customHeight="false" outlineLevel="0" collapsed="false">
      <c r="A122" s="17" t="s">
        <v>2436</v>
      </c>
      <c r="B122" s="18"/>
      <c r="C122" s="18"/>
    </row>
    <row r="123" customFormat="false" ht="15" hidden="false" customHeight="false" outlineLevel="0" collapsed="false">
      <c r="A123" s="19" t="s">
        <v>2437</v>
      </c>
    </row>
    <row r="124" customFormat="false" ht="15" hidden="false" customHeight="false" outlineLevel="0" collapsed="false">
      <c r="A124" s="24" t="s">
        <v>1459</v>
      </c>
    </row>
    <row r="125" customFormat="false" ht="15" hidden="false" customHeight="false" outlineLevel="0" collapsed="false">
      <c r="A125" s="21" t="s">
        <v>2438</v>
      </c>
    </row>
    <row r="126" customFormat="false" ht="15" hidden="false" customHeight="false" outlineLevel="0" collapsed="false">
      <c r="A126" s="21" t="s">
        <v>2439</v>
      </c>
    </row>
    <row r="127" customFormat="false" ht="15" hidden="false" customHeight="false" outlineLevel="0" collapsed="false">
      <c r="A127" s="22" t="s">
        <v>2440</v>
      </c>
      <c r="B127" s="22" t="s">
        <v>2441</v>
      </c>
      <c r="C127" s="22" t="s">
        <v>2442</v>
      </c>
    </row>
    <row r="128" customFormat="false" ht="35.05" hidden="false" customHeight="false" outlineLevel="0" collapsed="false">
      <c r="A128" s="4" t="n">
        <v>1</v>
      </c>
      <c r="B128" s="4" t="s">
        <v>2443</v>
      </c>
      <c r="C128" s="4" t="s">
        <v>2444</v>
      </c>
    </row>
    <row r="129" customFormat="false" ht="46.25" hidden="false" customHeight="false" outlineLevel="0" collapsed="false">
      <c r="A129" s="4" t="n">
        <v>2</v>
      </c>
      <c r="B129" s="4" t="s">
        <v>2445</v>
      </c>
      <c r="C129" s="4" t="s">
        <v>2446</v>
      </c>
    </row>
    <row r="130" customFormat="false" ht="35.05" hidden="false" customHeight="false" outlineLevel="0" collapsed="false">
      <c r="A130" s="4" t="n">
        <v>3</v>
      </c>
      <c r="B130" s="4" t="s">
        <v>2447</v>
      </c>
      <c r="C130" s="4" t="s">
        <v>2448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5" min="2" style="0" width="56"/>
    <col collapsed="false" customWidth="true" hidden="false" outlineLevel="0" max="6" min="6" style="0" width="30.8"/>
    <col collapsed="false" customWidth="true" hidden="false" outlineLevel="0" max="7" min="7" style="0" width="38.9"/>
    <col collapsed="false" customWidth="true" hidden="false" outlineLevel="0" max="8" min="8" style="0" width="26.3"/>
  </cols>
  <sheetData>
    <row r="1" customFormat="false" ht="17.35" hidden="false" customHeight="false" outlineLevel="0" collapsed="false">
      <c r="A1" s="1" t="s">
        <v>215</v>
      </c>
    </row>
    <row r="2" customFormat="false" ht="15" hidden="false" customHeight="false" outlineLevel="0" collapsed="false">
      <c r="A2" s="14" t="s">
        <v>2142</v>
      </c>
    </row>
    <row r="4" customFormat="false" ht="15" hidden="false" customHeight="false" outlineLevel="0" collapsed="false">
      <c r="A4" s="17" t="s">
        <v>2449</v>
      </c>
      <c r="B4" s="18"/>
      <c r="C4" s="18"/>
      <c r="D4" s="18"/>
      <c r="E4" s="18"/>
    </row>
    <row r="5" customFormat="false" ht="15" hidden="false" customHeight="false" outlineLevel="0" collapsed="false">
      <c r="A5" s="19" t="s">
        <v>2450</v>
      </c>
    </row>
    <row r="6" customFormat="false" ht="15" hidden="false" customHeight="false" outlineLevel="0" collapsed="false">
      <c r="A6" s="23" t="s">
        <v>1246</v>
      </c>
    </row>
    <row r="7" customFormat="false" ht="15" hidden="false" customHeight="false" outlineLevel="0" collapsed="false">
      <c r="A7" s="21" t="s">
        <v>2451</v>
      </c>
    </row>
    <row r="8" customFormat="false" ht="15" hidden="false" customHeight="false" outlineLevel="0" collapsed="false">
      <c r="A8" s="21" t="s">
        <v>2452</v>
      </c>
    </row>
    <row r="9" customFormat="false" ht="15" hidden="false" customHeight="false" outlineLevel="0" collapsed="false">
      <c r="A9" s="22" t="s">
        <v>8</v>
      </c>
      <c r="B9" s="22" t="s">
        <v>2453</v>
      </c>
      <c r="C9" s="22" t="s">
        <v>2454</v>
      </c>
      <c r="D9" s="22" t="s">
        <v>2455</v>
      </c>
      <c r="E9" s="22" t="s">
        <v>2456</v>
      </c>
    </row>
    <row r="10" customFormat="false" ht="35.05" hidden="false" customHeight="false" outlineLevel="0" collapsed="false">
      <c r="A10" s="4" t="s">
        <v>2457</v>
      </c>
      <c r="B10" s="4" t="s">
        <v>2458</v>
      </c>
      <c r="C10" s="4" t="s">
        <v>2459</v>
      </c>
      <c r="D10" s="4" t="s">
        <v>2460</v>
      </c>
      <c r="E10" s="4" t="s">
        <v>2461</v>
      </c>
    </row>
    <row r="11" customFormat="false" ht="15" hidden="false" customHeight="false" outlineLevel="0" collapsed="false">
      <c r="A11" s="4" t="s">
        <v>2462</v>
      </c>
      <c r="B11" s="4" t="s">
        <v>2463</v>
      </c>
      <c r="C11" s="4" t="s">
        <v>1555</v>
      </c>
      <c r="D11" s="4" t="s">
        <v>2464</v>
      </c>
      <c r="E11" s="4" t="s">
        <v>2465</v>
      </c>
    </row>
    <row r="12" customFormat="false" ht="15" hidden="false" customHeight="false" outlineLevel="0" collapsed="false">
      <c r="A12" s="4" t="s">
        <v>2466</v>
      </c>
      <c r="B12" s="4" t="s">
        <v>2467</v>
      </c>
      <c r="C12" s="4" t="s">
        <v>2468</v>
      </c>
      <c r="D12" s="4" t="s">
        <v>2469</v>
      </c>
      <c r="E12" s="4" t="s">
        <v>2470</v>
      </c>
    </row>
    <row r="13" customFormat="false" ht="15" hidden="false" customHeight="false" outlineLevel="0" collapsed="false">
      <c r="A13" s="4" t="s">
        <v>2471</v>
      </c>
      <c r="B13" s="4" t="s">
        <v>2472</v>
      </c>
      <c r="C13" s="4" t="s">
        <v>1555</v>
      </c>
      <c r="D13" s="4" t="s">
        <v>2473</v>
      </c>
      <c r="E13" s="4" t="s">
        <v>2474</v>
      </c>
    </row>
    <row r="14" customFormat="false" ht="15" hidden="false" customHeight="false" outlineLevel="0" collapsed="false">
      <c r="A14" s="4" t="s">
        <v>2475</v>
      </c>
      <c r="B14" s="4" t="s">
        <v>2476</v>
      </c>
      <c r="C14" s="4" t="s">
        <v>2477</v>
      </c>
      <c r="D14" s="4" t="s">
        <v>2478</v>
      </c>
      <c r="E14" s="4" t="s">
        <v>2479</v>
      </c>
    </row>
    <row r="15" customFormat="false" ht="15" hidden="false" customHeight="false" outlineLevel="0" collapsed="false">
      <c r="A15" s="4" t="s">
        <v>2480</v>
      </c>
      <c r="B15" s="4" t="s">
        <v>2481</v>
      </c>
      <c r="C15" s="4" t="s">
        <v>2482</v>
      </c>
      <c r="D15" s="4" t="n">
        <v>0</v>
      </c>
      <c r="E15" s="4" t="s">
        <v>2483</v>
      </c>
    </row>
    <row r="16" customFormat="false" ht="15" hidden="false" customHeight="false" outlineLevel="0" collapsed="false">
      <c r="A16" s="4" t="s">
        <v>2484</v>
      </c>
      <c r="B16" s="4" t="s">
        <v>2485</v>
      </c>
      <c r="C16" s="4" t="s">
        <v>1555</v>
      </c>
      <c r="D16" s="4" t="s">
        <v>2486</v>
      </c>
      <c r="E16" s="4" t="s">
        <v>2487</v>
      </c>
    </row>
    <row r="17" customFormat="false" ht="23.85" hidden="false" customHeight="false" outlineLevel="0" collapsed="false">
      <c r="A17" s="4" t="s">
        <v>2488</v>
      </c>
      <c r="B17" s="4" t="s">
        <v>2489</v>
      </c>
      <c r="C17" s="4" t="s">
        <v>2490</v>
      </c>
      <c r="D17" s="4" t="n">
        <v>0</v>
      </c>
      <c r="E17" s="4" t="s">
        <v>2491</v>
      </c>
    </row>
    <row r="18" customFormat="false" ht="15" hidden="false" customHeight="false" outlineLevel="0" collapsed="false">
      <c r="A18" s="4" t="s">
        <v>2492</v>
      </c>
      <c r="B18" s="4" t="s">
        <v>2493</v>
      </c>
      <c r="C18" s="4" t="s">
        <v>2494</v>
      </c>
      <c r="D18" s="4" t="n">
        <v>0</v>
      </c>
      <c r="E18" s="4" t="s">
        <v>2495</v>
      </c>
    </row>
    <row r="19" customFormat="false" ht="15" hidden="false" customHeight="false" outlineLevel="0" collapsed="false">
      <c r="A19" s="4" t="s">
        <v>2496</v>
      </c>
      <c r="B19" s="4" t="s">
        <v>2497</v>
      </c>
      <c r="C19" s="4" t="s">
        <v>2498</v>
      </c>
      <c r="D19" s="4" t="n">
        <v>0</v>
      </c>
      <c r="E19" s="4" t="s">
        <v>2499</v>
      </c>
    </row>
    <row r="22" customFormat="false" ht="15" hidden="false" customHeight="false" outlineLevel="0" collapsed="false">
      <c r="A22" s="17" t="s">
        <v>2500</v>
      </c>
      <c r="B22" s="18"/>
      <c r="C22" s="18"/>
      <c r="D22" s="18"/>
    </row>
    <row r="23" customFormat="false" ht="15" hidden="false" customHeight="false" outlineLevel="0" collapsed="false">
      <c r="A23" s="19" t="s">
        <v>2501</v>
      </c>
    </row>
    <row r="24" customFormat="false" ht="15" hidden="false" customHeight="false" outlineLevel="0" collapsed="false">
      <c r="A24" s="19" t="s">
        <v>2502</v>
      </c>
    </row>
    <row r="25" customFormat="false" ht="15" hidden="false" customHeight="false" outlineLevel="0" collapsed="false">
      <c r="A25" s="20" t="s">
        <v>1193</v>
      </c>
    </row>
    <row r="26" customFormat="false" ht="15" hidden="false" customHeight="false" outlineLevel="0" collapsed="false">
      <c r="A26" s="21" t="s">
        <v>2503</v>
      </c>
    </row>
    <row r="27" customFormat="false" ht="15" hidden="false" customHeight="false" outlineLevel="0" collapsed="false">
      <c r="A27" s="21" t="s">
        <v>2504</v>
      </c>
    </row>
    <row r="28" customFormat="false" ht="23.85" hidden="false" customHeight="false" outlineLevel="0" collapsed="false">
      <c r="A28" s="22" t="s">
        <v>2505</v>
      </c>
      <c r="B28" s="22" t="s">
        <v>2506</v>
      </c>
      <c r="C28" s="22" t="s">
        <v>2507</v>
      </c>
      <c r="D28" s="22" t="s">
        <v>2508</v>
      </c>
    </row>
    <row r="29" customFormat="false" ht="23.85" hidden="false" customHeight="false" outlineLevel="0" collapsed="false">
      <c r="A29" s="4" t="s">
        <v>2509</v>
      </c>
      <c r="B29" s="4" t="s">
        <v>2510</v>
      </c>
      <c r="C29" s="4" t="s">
        <v>2511</v>
      </c>
      <c r="D29" s="4" t="s">
        <v>2512</v>
      </c>
    </row>
    <row r="30" customFormat="false" ht="15" hidden="false" customHeight="false" outlineLevel="0" collapsed="false">
      <c r="A30" s="4" t="s">
        <v>2513</v>
      </c>
      <c r="B30" s="4" t="s">
        <v>2514</v>
      </c>
      <c r="C30" s="4" t="s">
        <v>2515</v>
      </c>
      <c r="D30" s="4" t="s">
        <v>2516</v>
      </c>
    </row>
    <row r="31" customFormat="false" ht="15" hidden="false" customHeight="false" outlineLevel="0" collapsed="false">
      <c r="A31" s="4" t="s">
        <v>2517</v>
      </c>
      <c r="B31" s="4" t="s">
        <v>2518</v>
      </c>
      <c r="C31" s="4" t="s">
        <v>2519</v>
      </c>
      <c r="D31" s="4" t="s">
        <v>2520</v>
      </c>
    </row>
    <row r="32" customFormat="false" ht="15" hidden="false" customHeight="false" outlineLevel="0" collapsed="false">
      <c r="A32" s="4" t="s">
        <v>2521</v>
      </c>
      <c r="B32" s="4" t="s">
        <v>2522</v>
      </c>
      <c r="C32" s="4" t="s">
        <v>2523</v>
      </c>
      <c r="D32" s="4" t="s">
        <v>2524</v>
      </c>
    </row>
    <row r="33" customFormat="false" ht="15" hidden="false" customHeight="false" outlineLevel="0" collapsed="false">
      <c r="A33" s="4" t="s">
        <v>2525</v>
      </c>
      <c r="B33" s="4" t="s">
        <v>2526</v>
      </c>
      <c r="C33" s="4" t="s">
        <v>2527</v>
      </c>
      <c r="D33" s="4" t="s">
        <v>2528</v>
      </c>
    </row>
    <row r="34" customFormat="false" ht="15" hidden="false" customHeight="false" outlineLevel="0" collapsed="false">
      <c r="A34" s="4" t="s">
        <v>2529</v>
      </c>
      <c r="B34" s="4" t="s">
        <v>2530</v>
      </c>
      <c r="C34" s="4" t="s">
        <v>1735</v>
      </c>
      <c r="D34" s="4" t="s">
        <v>2531</v>
      </c>
    </row>
    <row r="35" customFormat="false" ht="15" hidden="false" customHeight="false" outlineLevel="0" collapsed="false">
      <c r="A35" s="4" t="s">
        <v>2532</v>
      </c>
      <c r="B35" s="4" t="s">
        <v>2533</v>
      </c>
      <c r="C35" s="4" t="s">
        <v>2533</v>
      </c>
      <c r="D35" s="4"/>
    </row>
    <row r="36" customFormat="false" ht="15" hidden="false" customHeight="false" outlineLevel="0" collapsed="false">
      <c r="A36" s="4" t="s">
        <v>2534</v>
      </c>
      <c r="B36" s="4" t="s">
        <v>2535</v>
      </c>
      <c r="C36" s="4" t="s">
        <v>2175</v>
      </c>
      <c r="D36" s="4" t="s">
        <v>2536</v>
      </c>
    </row>
    <row r="37" customFormat="false" ht="15" hidden="false" customHeight="false" outlineLevel="0" collapsed="false">
      <c r="A37" s="4" t="s">
        <v>2537</v>
      </c>
      <c r="B37" s="4" t="s">
        <v>2538</v>
      </c>
      <c r="C37" s="4" t="s">
        <v>2030</v>
      </c>
      <c r="D37" s="4"/>
    </row>
    <row r="38" customFormat="false" ht="15" hidden="false" customHeight="false" outlineLevel="0" collapsed="false">
      <c r="A38" s="4" t="s">
        <v>2539</v>
      </c>
      <c r="B38" s="4" t="s">
        <v>2540</v>
      </c>
      <c r="C38" s="4" t="s">
        <v>2541</v>
      </c>
      <c r="D38" s="4" t="s">
        <v>2542</v>
      </c>
    </row>
    <row r="39" customFormat="false" ht="15" hidden="false" customHeight="false" outlineLevel="0" collapsed="false">
      <c r="A39" s="4" t="s">
        <v>2543</v>
      </c>
      <c r="B39" s="4" t="s">
        <v>2544</v>
      </c>
      <c r="C39" s="4" t="s">
        <v>1555</v>
      </c>
      <c r="D39" s="4"/>
    </row>
    <row r="40" customFormat="false" ht="23.85" hidden="false" customHeight="false" outlineLevel="0" collapsed="false">
      <c r="A40" s="4" t="s">
        <v>2545</v>
      </c>
      <c r="B40" s="4" t="s">
        <v>2546</v>
      </c>
      <c r="C40" s="4" t="s">
        <v>2547</v>
      </c>
      <c r="D40" s="4" t="s">
        <v>2548</v>
      </c>
    </row>
    <row r="43" customFormat="false" ht="15" hidden="false" customHeight="false" outlineLevel="0" collapsed="false">
      <c r="A43" s="17" t="s">
        <v>2549</v>
      </c>
      <c r="B43" s="18"/>
      <c r="C43" s="18"/>
      <c r="D43" s="18"/>
    </row>
    <row r="44" customFormat="false" ht="15" hidden="false" customHeight="false" outlineLevel="0" collapsed="false">
      <c r="A44" s="19" t="s">
        <v>2550</v>
      </c>
    </row>
    <row r="45" customFormat="false" ht="15" hidden="false" customHeight="false" outlineLevel="0" collapsed="false">
      <c r="A45" s="20" t="s">
        <v>1193</v>
      </c>
    </row>
    <row r="46" customFormat="false" ht="15" hidden="false" customHeight="false" outlineLevel="0" collapsed="false">
      <c r="A46" s="21" t="s">
        <v>2551</v>
      </c>
    </row>
    <row r="47" customFormat="false" ht="15" hidden="false" customHeight="false" outlineLevel="0" collapsed="false">
      <c r="A47" s="21" t="s">
        <v>2552</v>
      </c>
    </row>
    <row r="48" customFormat="false" ht="15" hidden="false" customHeight="false" outlineLevel="0" collapsed="false">
      <c r="A48" s="22" t="s">
        <v>2553</v>
      </c>
      <c r="B48" s="22" t="s">
        <v>2554</v>
      </c>
      <c r="C48" s="22" t="s">
        <v>2555</v>
      </c>
      <c r="D48" s="22" t="s">
        <v>2556</v>
      </c>
    </row>
    <row r="49" customFormat="false" ht="15" hidden="false" customHeight="false" outlineLevel="0" collapsed="false">
      <c r="A49" s="4" t="s">
        <v>1356</v>
      </c>
      <c r="B49" s="4" t="s">
        <v>2557</v>
      </c>
      <c r="C49" s="4" t="s">
        <v>2558</v>
      </c>
      <c r="D49" s="4" t="s">
        <v>2559</v>
      </c>
    </row>
    <row r="50" customFormat="false" ht="15" hidden="false" customHeight="false" outlineLevel="0" collapsed="false">
      <c r="A50" s="4" t="s">
        <v>2560</v>
      </c>
      <c r="B50" s="4" t="s">
        <v>2561</v>
      </c>
      <c r="C50" s="4" t="s">
        <v>2562</v>
      </c>
      <c r="D50" s="4" t="s">
        <v>2563</v>
      </c>
    </row>
    <row r="51" customFormat="false" ht="15" hidden="false" customHeight="false" outlineLevel="0" collapsed="false">
      <c r="A51" s="4" t="s">
        <v>2564</v>
      </c>
      <c r="B51" s="4" t="n">
        <v>544</v>
      </c>
      <c r="C51" s="4" t="s">
        <v>2565</v>
      </c>
      <c r="D51" s="4" t="s">
        <v>2566</v>
      </c>
    </row>
    <row r="52" customFormat="false" ht="15" hidden="false" customHeight="false" outlineLevel="0" collapsed="false">
      <c r="A52" s="4" t="s">
        <v>2567</v>
      </c>
      <c r="B52" s="4" t="s">
        <v>2568</v>
      </c>
      <c r="C52" s="4" t="s">
        <v>2569</v>
      </c>
      <c r="D52" s="4" t="s">
        <v>2570</v>
      </c>
    </row>
    <row r="53" customFormat="false" ht="15" hidden="false" customHeight="false" outlineLevel="0" collapsed="false">
      <c r="A53" s="4" t="s">
        <v>2571</v>
      </c>
      <c r="B53" s="4" t="s">
        <v>2572</v>
      </c>
      <c r="C53" s="4" t="s">
        <v>2562</v>
      </c>
      <c r="D53" s="4" t="s">
        <v>2573</v>
      </c>
    </row>
    <row r="54" customFormat="false" ht="15" hidden="false" customHeight="false" outlineLevel="0" collapsed="false">
      <c r="A54" s="4" t="s">
        <v>2574</v>
      </c>
      <c r="B54" s="4" t="s">
        <v>2575</v>
      </c>
      <c r="C54" s="4" t="s">
        <v>2562</v>
      </c>
      <c r="D54" s="4" t="s">
        <v>2576</v>
      </c>
    </row>
    <row r="55" customFormat="false" ht="15" hidden="false" customHeight="false" outlineLevel="0" collapsed="false">
      <c r="A55" s="4" t="s">
        <v>2577</v>
      </c>
      <c r="B55" s="4" t="s">
        <v>2578</v>
      </c>
      <c r="C55" s="4" t="s">
        <v>2579</v>
      </c>
      <c r="D55" s="4" t="s">
        <v>2580</v>
      </c>
    </row>
    <row r="56" customFormat="false" ht="15" hidden="false" customHeight="false" outlineLevel="0" collapsed="false">
      <c r="A56" s="4" t="s">
        <v>2581</v>
      </c>
      <c r="B56" s="4" t="s">
        <v>2350</v>
      </c>
      <c r="C56" s="4" t="s">
        <v>2582</v>
      </c>
      <c r="D56" s="4" t="s">
        <v>2583</v>
      </c>
    </row>
    <row r="59" customFormat="false" ht="15" hidden="false" customHeight="false" outlineLevel="0" collapsed="false">
      <c r="A59" s="17" t="s">
        <v>2584</v>
      </c>
      <c r="B59" s="18"/>
      <c r="C59" s="18"/>
    </row>
    <row r="60" customFormat="false" ht="15" hidden="false" customHeight="false" outlineLevel="0" collapsed="false">
      <c r="A60" s="19" t="s">
        <v>2585</v>
      </c>
    </row>
    <row r="61" customFormat="false" ht="15" hidden="false" customHeight="false" outlineLevel="0" collapsed="false">
      <c r="A61" s="20" t="s">
        <v>1193</v>
      </c>
    </row>
    <row r="62" customFormat="false" ht="15" hidden="false" customHeight="false" outlineLevel="0" collapsed="false">
      <c r="A62" s="21" t="s">
        <v>2586</v>
      </c>
    </row>
    <row r="63" customFormat="false" ht="15" hidden="false" customHeight="false" outlineLevel="0" collapsed="false">
      <c r="A63" s="21" t="s">
        <v>2587</v>
      </c>
    </row>
    <row r="64" customFormat="false" ht="15" hidden="false" customHeight="false" outlineLevel="0" collapsed="false">
      <c r="A64" s="22" t="s">
        <v>1318</v>
      </c>
      <c r="B64" s="22" t="s">
        <v>2588</v>
      </c>
      <c r="C64" s="22" t="s">
        <v>2589</v>
      </c>
    </row>
    <row r="65" customFormat="false" ht="15" hidden="false" customHeight="false" outlineLevel="0" collapsed="false">
      <c r="A65" s="4" t="s">
        <v>2590</v>
      </c>
      <c r="B65" s="4" t="s">
        <v>2591</v>
      </c>
      <c r="C65" s="4" t="s">
        <v>2592</v>
      </c>
    </row>
    <row r="66" customFormat="false" ht="15" hidden="false" customHeight="false" outlineLevel="0" collapsed="false">
      <c r="A66" s="4" t="s">
        <v>2593</v>
      </c>
      <c r="B66" s="4" t="s">
        <v>2594</v>
      </c>
      <c r="C66" s="4" t="s">
        <v>2595</v>
      </c>
    </row>
    <row r="67" customFormat="false" ht="15" hidden="false" customHeight="false" outlineLevel="0" collapsed="false">
      <c r="A67" s="4" t="s">
        <v>2596</v>
      </c>
      <c r="B67" s="4" t="s">
        <v>2597</v>
      </c>
      <c r="C67" s="4" t="s">
        <v>2598</v>
      </c>
    </row>
    <row r="68" customFormat="false" ht="15" hidden="false" customHeight="false" outlineLevel="0" collapsed="false">
      <c r="A68" s="4" t="s">
        <v>2599</v>
      </c>
      <c r="B68" s="4" t="s">
        <v>2600</v>
      </c>
      <c r="C68" s="4" t="s">
        <v>2601</v>
      </c>
    </row>
    <row r="69" customFormat="false" ht="15" hidden="false" customHeight="false" outlineLevel="0" collapsed="false">
      <c r="A69" s="4" t="s">
        <v>2602</v>
      </c>
      <c r="B69" s="4" t="s">
        <v>2603</v>
      </c>
      <c r="C69" s="4" t="s">
        <v>2604</v>
      </c>
    </row>
    <row r="72" customFormat="false" ht="15" hidden="false" customHeight="false" outlineLevel="0" collapsed="false">
      <c r="A72" s="17" t="s">
        <v>2605</v>
      </c>
      <c r="B72" s="18"/>
      <c r="C72" s="18"/>
      <c r="D72" s="18"/>
      <c r="E72" s="18"/>
    </row>
    <row r="73" customFormat="false" ht="15" hidden="false" customHeight="false" outlineLevel="0" collapsed="false">
      <c r="A73" s="19" t="s">
        <v>2606</v>
      </c>
    </row>
    <row r="74" customFormat="false" ht="15" hidden="false" customHeight="false" outlineLevel="0" collapsed="false">
      <c r="A74" s="23" t="s">
        <v>1246</v>
      </c>
    </row>
    <row r="75" customFormat="false" ht="15" hidden="false" customHeight="false" outlineLevel="0" collapsed="false">
      <c r="A75" s="21" t="s">
        <v>2607</v>
      </c>
    </row>
    <row r="76" customFormat="false" ht="15" hidden="false" customHeight="false" outlineLevel="0" collapsed="false">
      <c r="A76" s="21" t="s">
        <v>2608</v>
      </c>
    </row>
    <row r="77" customFormat="false" ht="15" hidden="false" customHeight="false" outlineLevel="0" collapsed="false">
      <c r="A77" s="22" t="s">
        <v>1986</v>
      </c>
      <c r="B77" s="22" t="s">
        <v>2609</v>
      </c>
      <c r="C77" s="22" t="s">
        <v>2610</v>
      </c>
      <c r="D77" s="22" t="s">
        <v>2611</v>
      </c>
      <c r="E77" s="22" t="s">
        <v>2612</v>
      </c>
    </row>
    <row r="78" customFormat="false" ht="35.05" hidden="false" customHeight="false" outlineLevel="0" collapsed="false">
      <c r="A78" s="4" t="s">
        <v>2613</v>
      </c>
      <c r="B78" s="4" t="s">
        <v>2614</v>
      </c>
      <c r="C78" s="4" t="s">
        <v>2615</v>
      </c>
      <c r="D78" s="4" t="s">
        <v>2616</v>
      </c>
      <c r="E78" s="4" t="s">
        <v>2617</v>
      </c>
    </row>
    <row r="79" customFormat="false" ht="23.85" hidden="false" customHeight="false" outlineLevel="0" collapsed="false">
      <c r="A79" s="4" t="s">
        <v>2618</v>
      </c>
      <c r="B79" s="4" t="s">
        <v>2619</v>
      </c>
      <c r="C79" s="4" t="n">
        <v>12030556</v>
      </c>
      <c r="D79" s="4" t="n">
        <v>2707428</v>
      </c>
      <c r="E79" s="4" t="s">
        <v>2620</v>
      </c>
    </row>
    <row r="80" customFormat="false" ht="23.85" hidden="false" customHeight="false" outlineLevel="0" collapsed="false">
      <c r="A80" s="4" t="s">
        <v>2621</v>
      </c>
      <c r="B80" s="4" t="s">
        <v>2622</v>
      </c>
      <c r="C80" s="4" t="s">
        <v>2623</v>
      </c>
      <c r="D80" s="4" t="s">
        <v>2624</v>
      </c>
      <c r="E80" s="4" t="s">
        <v>2625</v>
      </c>
    </row>
    <row r="83" customFormat="false" ht="15" hidden="false" customHeight="false" outlineLevel="0" collapsed="false">
      <c r="A83" s="17" t="s">
        <v>2626</v>
      </c>
      <c r="B83" s="18"/>
      <c r="C83" s="18"/>
    </row>
    <row r="84" customFormat="false" ht="15" hidden="false" customHeight="false" outlineLevel="0" collapsed="false">
      <c r="A84" s="19" t="s">
        <v>2627</v>
      </c>
    </row>
    <row r="85" customFormat="false" ht="15" hidden="false" customHeight="false" outlineLevel="0" collapsed="false">
      <c r="A85" s="20" t="s">
        <v>1193</v>
      </c>
    </row>
    <row r="86" customFormat="false" ht="15" hidden="false" customHeight="false" outlineLevel="0" collapsed="false">
      <c r="A86" s="21" t="s">
        <v>2628</v>
      </c>
    </row>
    <row r="87" customFormat="false" ht="15" hidden="false" customHeight="false" outlineLevel="0" collapsed="false">
      <c r="A87" s="21" t="s">
        <v>2629</v>
      </c>
    </row>
    <row r="88" customFormat="false" ht="15" hidden="false" customHeight="false" outlineLevel="0" collapsed="false">
      <c r="A88" s="22" t="s">
        <v>2553</v>
      </c>
      <c r="B88" s="22" t="s">
        <v>2630</v>
      </c>
      <c r="C88" s="22" t="s">
        <v>2631</v>
      </c>
    </row>
    <row r="89" customFormat="false" ht="15" hidden="false" customHeight="false" outlineLevel="0" collapsed="false">
      <c r="A89" s="4" t="s">
        <v>2632</v>
      </c>
      <c r="B89" s="4" t="s">
        <v>2633</v>
      </c>
      <c r="C89" s="4" t="s">
        <v>2634</v>
      </c>
    </row>
    <row r="90" customFormat="false" ht="15" hidden="false" customHeight="false" outlineLevel="0" collapsed="false">
      <c r="A90" s="4" t="s">
        <v>2635</v>
      </c>
      <c r="B90" s="4" t="s">
        <v>2636</v>
      </c>
      <c r="C90" s="4" t="s">
        <v>2637</v>
      </c>
    </row>
    <row r="91" customFormat="false" ht="15" hidden="false" customHeight="false" outlineLevel="0" collapsed="false">
      <c r="A91" s="4" t="s">
        <v>2638</v>
      </c>
      <c r="B91" s="4" t="s">
        <v>2639</v>
      </c>
      <c r="C91" s="4" t="s">
        <v>2640</v>
      </c>
    </row>
    <row r="92" customFormat="false" ht="23.85" hidden="false" customHeight="false" outlineLevel="0" collapsed="false">
      <c r="A92" s="4" t="s">
        <v>2641</v>
      </c>
      <c r="B92" s="4" t="s">
        <v>2642</v>
      </c>
      <c r="C92" s="4" t="s">
        <v>2643</v>
      </c>
    </row>
    <row r="93" customFormat="false" ht="15" hidden="false" customHeight="false" outlineLevel="0" collapsed="false">
      <c r="A93" s="4" t="s">
        <v>2644</v>
      </c>
      <c r="B93" s="4" t="s">
        <v>2645</v>
      </c>
      <c r="C93" s="4" t="s">
        <v>2646</v>
      </c>
    </row>
    <row r="94" customFormat="false" ht="15" hidden="false" customHeight="false" outlineLevel="0" collapsed="false">
      <c r="A94" s="4" t="s">
        <v>2647</v>
      </c>
      <c r="B94" s="4" t="s">
        <v>2648</v>
      </c>
      <c r="C94" s="4" t="s">
        <v>2649</v>
      </c>
    </row>
    <row r="97" customFormat="false" ht="15" hidden="false" customHeight="false" outlineLevel="0" collapsed="false">
      <c r="A97" s="17" t="s">
        <v>2650</v>
      </c>
      <c r="B97" s="18"/>
      <c r="C97" s="18"/>
      <c r="D97" s="18"/>
      <c r="E97" s="18"/>
      <c r="F97" s="18"/>
      <c r="G97" s="18"/>
      <c r="H97" s="18"/>
    </row>
    <row r="98" customFormat="false" ht="15" hidden="false" customHeight="false" outlineLevel="0" collapsed="false">
      <c r="A98" s="19" t="s">
        <v>2651</v>
      </c>
    </row>
    <row r="99" customFormat="false" ht="15" hidden="false" customHeight="false" outlineLevel="0" collapsed="false">
      <c r="A99" s="19" t="s">
        <v>2652</v>
      </c>
    </row>
    <row r="100" customFormat="false" ht="15" hidden="false" customHeight="false" outlineLevel="0" collapsed="false">
      <c r="A100" s="26" t="s">
        <v>2179</v>
      </c>
    </row>
    <row r="101" customFormat="false" ht="15" hidden="false" customHeight="false" outlineLevel="0" collapsed="false">
      <c r="A101" s="21" t="s">
        <v>2653</v>
      </c>
    </row>
    <row r="102" customFormat="false" ht="15" hidden="false" customHeight="false" outlineLevel="0" collapsed="false">
      <c r="A102" s="21" t="s">
        <v>2654</v>
      </c>
    </row>
    <row r="103" customFormat="false" ht="15" hidden="false" customHeight="false" outlineLevel="0" collapsed="false">
      <c r="A103" s="22" t="s">
        <v>2</v>
      </c>
      <c r="B103" s="22" t="s">
        <v>2655</v>
      </c>
      <c r="C103" s="22" t="s">
        <v>2656</v>
      </c>
      <c r="D103" s="22" t="s">
        <v>2657</v>
      </c>
      <c r="E103" s="22" t="s">
        <v>2658</v>
      </c>
      <c r="F103" s="22" t="s">
        <v>2659</v>
      </c>
      <c r="G103" s="22" t="s">
        <v>2660</v>
      </c>
      <c r="H103" s="22" t="s">
        <v>2661</v>
      </c>
    </row>
    <row r="104" customFormat="false" ht="15" hidden="false" customHeight="false" outlineLevel="0" collapsed="false">
      <c r="A104" s="4" t="s">
        <v>2662</v>
      </c>
      <c r="B104" s="4" t="s">
        <v>2663</v>
      </c>
      <c r="C104" s="4" t="n">
        <v>0.77</v>
      </c>
      <c r="D104" s="4" t="s">
        <v>2664</v>
      </c>
      <c r="E104" s="4" t="n">
        <v>2.17</v>
      </c>
      <c r="F104" s="4" t="s">
        <v>2665</v>
      </c>
      <c r="G104" s="4" t="s">
        <v>2666</v>
      </c>
      <c r="H104" s="4" t="s">
        <v>2667</v>
      </c>
    </row>
    <row r="105" customFormat="false" ht="15" hidden="false" customHeight="false" outlineLevel="0" collapsed="false">
      <c r="A105" s="4" t="s">
        <v>2668</v>
      </c>
      <c r="B105" s="4" t="s">
        <v>2669</v>
      </c>
      <c r="C105" s="4" t="n">
        <v>0.54</v>
      </c>
      <c r="D105" s="4" t="s">
        <v>2670</v>
      </c>
      <c r="E105" s="4" t="n">
        <v>1.6</v>
      </c>
      <c r="F105" s="4" t="s">
        <v>2671</v>
      </c>
      <c r="G105" s="4" t="s">
        <v>2672</v>
      </c>
      <c r="H105" s="4" t="s">
        <v>2673</v>
      </c>
    </row>
    <row r="106" customFormat="false" ht="15" hidden="false" customHeight="false" outlineLevel="0" collapsed="false">
      <c r="A106" s="4" t="s">
        <v>2674</v>
      </c>
      <c r="B106" s="4" t="s">
        <v>2675</v>
      </c>
      <c r="C106" s="4" t="n">
        <v>1.09</v>
      </c>
      <c r="D106" s="4" t="s">
        <v>2676</v>
      </c>
      <c r="E106" s="4" t="s">
        <v>2677</v>
      </c>
      <c r="F106" s="4" t="s">
        <v>2678</v>
      </c>
      <c r="G106" s="4" t="s">
        <v>2679</v>
      </c>
      <c r="H106" s="4" t="s">
        <v>2680</v>
      </c>
    </row>
    <row r="107" customFormat="false" ht="23.85" hidden="false" customHeight="false" outlineLevel="0" collapsed="false">
      <c r="A107" s="4" t="s">
        <v>2681</v>
      </c>
      <c r="B107" s="4" t="s">
        <v>2682</v>
      </c>
      <c r="C107" s="4" t="s">
        <v>2683</v>
      </c>
      <c r="D107" s="4" t="s">
        <v>2684</v>
      </c>
      <c r="E107" s="4" t="s">
        <v>2685</v>
      </c>
      <c r="F107" s="4" t="s">
        <v>2686</v>
      </c>
      <c r="G107" s="4" t="s">
        <v>2679</v>
      </c>
      <c r="H107" s="4" t="s">
        <v>2687</v>
      </c>
    </row>
    <row r="108" customFormat="false" ht="23.85" hidden="false" customHeight="false" outlineLevel="0" collapsed="false">
      <c r="A108" s="4" t="s">
        <v>2688</v>
      </c>
      <c r="B108" s="4" t="s">
        <v>2689</v>
      </c>
      <c r="C108" s="4" t="s">
        <v>2690</v>
      </c>
      <c r="D108" s="4" t="s">
        <v>2691</v>
      </c>
      <c r="E108" s="4" t="s">
        <v>2692</v>
      </c>
      <c r="F108" s="4" t="s">
        <v>2693</v>
      </c>
      <c r="G108" s="4" t="s">
        <v>2694</v>
      </c>
      <c r="H108" s="4" t="s">
        <v>1731</v>
      </c>
    </row>
    <row r="109" customFormat="false" ht="15" hidden="false" customHeight="false" outlineLevel="0" collapsed="false">
      <c r="A109" s="4" t="s">
        <v>2695</v>
      </c>
      <c r="B109" s="4" t="s">
        <v>2696</v>
      </c>
      <c r="C109" s="4" t="s">
        <v>2697</v>
      </c>
      <c r="D109" s="4" t="s">
        <v>2698</v>
      </c>
      <c r="E109" s="4" t="s">
        <v>2699</v>
      </c>
      <c r="F109" s="4" t="s">
        <v>2700</v>
      </c>
      <c r="G109" s="4" t="s">
        <v>2701</v>
      </c>
      <c r="H109" s="4" t="s">
        <v>2702</v>
      </c>
    </row>
    <row r="110" customFormat="false" ht="15" hidden="false" customHeight="false" outlineLevel="0" collapsed="false">
      <c r="A110" s="4" t="s">
        <v>2703</v>
      </c>
      <c r="B110" s="4" t="s">
        <v>2704</v>
      </c>
      <c r="C110" s="4" t="s">
        <v>2705</v>
      </c>
      <c r="D110" s="4" t="s">
        <v>2706</v>
      </c>
      <c r="E110" s="4" t="s">
        <v>2707</v>
      </c>
      <c r="F110" s="4" t="s">
        <v>2708</v>
      </c>
      <c r="G110" s="4" t="n">
        <v>1</v>
      </c>
      <c r="H110" s="4" t="s">
        <v>2709</v>
      </c>
    </row>
    <row r="111" customFormat="false" ht="15" hidden="false" customHeight="false" outlineLevel="0" collapsed="false">
      <c r="A111" s="4" t="s">
        <v>2710</v>
      </c>
      <c r="B111" s="4" t="s">
        <v>2711</v>
      </c>
      <c r="C111" s="4" t="n">
        <v>0.38</v>
      </c>
      <c r="D111" s="4" t="s">
        <v>2712</v>
      </c>
      <c r="E111" s="4" t="s">
        <v>2713</v>
      </c>
      <c r="F111" s="4" t="s">
        <v>2714</v>
      </c>
      <c r="G111" s="4" t="n">
        <v>2</v>
      </c>
      <c r="H111" s="4" t="s">
        <v>2715</v>
      </c>
    </row>
    <row r="112" customFormat="false" ht="15" hidden="false" customHeight="false" outlineLevel="0" collapsed="false">
      <c r="A112" s="4" t="s">
        <v>2716</v>
      </c>
      <c r="B112" s="4" t="s">
        <v>2717</v>
      </c>
      <c r="C112" s="4" t="n">
        <v>0.49</v>
      </c>
      <c r="D112" s="4" t="s">
        <v>2718</v>
      </c>
      <c r="E112" s="4" t="s">
        <v>2719</v>
      </c>
      <c r="F112" s="4" t="s">
        <v>2720</v>
      </c>
      <c r="G112" s="4" t="s">
        <v>2721</v>
      </c>
      <c r="H112" s="4" t="s">
        <v>2722</v>
      </c>
    </row>
    <row r="113" customFormat="false" ht="15" hidden="false" customHeight="false" outlineLevel="0" collapsed="false">
      <c r="A113" s="4" t="s">
        <v>2723</v>
      </c>
      <c r="B113" s="4" t="s">
        <v>2724</v>
      </c>
      <c r="C113" s="4" t="s">
        <v>2725</v>
      </c>
      <c r="D113" s="4" t="s">
        <v>2726</v>
      </c>
      <c r="E113" s="4" t="s">
        <v>2727</v>
      </c>
      <c r="F113" s="4" t="s">
        <v>2728</v>
      </c>
      <c r="G113" s="4" t="s">
        <v>2729</v>
      </c>
      <c r="H113" s="4" t="s">
        <v>2730</v>
      </c>
    </row>
    <row r="114" customFormat="false" ht="15" hidden="false" customHeight="false" outlineLevel="0" collapsed="false">
      <c r="A114" s="4" t="s">
        <v>1555</v>
      </c>
      <c r="B114" s="4" t="s">
        <v>2731</v>
      </c>
      <c r="C114" s="4" t="n">
        <v>0.011</v>
      </c>
      <c r="D114" s="4" t="s">
        <v>2732</v>
      </c>
      <c r="E114" s="4" t="s">
        <v>2030</v>
      </c>
      <c r="F114" s="4" t="s">
        <v>2030</v>
      </c>
      <c r="G114" s="4" t="s">
        <v>1555</v>
      </c>
      <c r="H114" s="4" t="s">
        <v>2030</v>
      </c>
    </row>
    <row r="115" customFormat="false" ht="15" hidden="false" customHeight="false" outlineLevel="0" collapsed="false">
      <c r="A115" s="4" t="s">
        <v>1555</v>
      </c>
      <c r="B115" s="4" t="s">
        <v>2733</v>
      </c>
      <c r="C115" s="4" t="n">
        <v>0.048</v>
      </c>
      <c r="D115" s="4" t="s">
        <v>2734</v>
      </c>
      <c r="E115" s="4" t="s">
        <v>2735</v>
      </c>
      <c r="F115" s="4" t="s">
        <v>2736</v>
      </c>
      <c r="G115" s="4" t="s">
        <v>2679</v>
      </c>
      <c r="H115" s="4" t="s">
        <v>2022</v>
      </c>
    </row>
    <row r="118" customFormat="false" ht="15" hidden="false" customHeight="false" outlineLevel="0" collapsed="false">
      <c r="A118" s="17" t="s">
        <v>2737</v>
      </c>
      <c r="B118" s="18"/>
      <c r="C118" s="18"/>
      <c r="D118" s="18"/>
      <c r="E118" s="18"/>
      <c r="F118" s="18"/>
      <c r="G118" s="18"/>
    </row>
    <row r="119" customFormat="false" ht="15" hidden="false" customHeight="false" outlineLevel="0" collapsed="false">
      <c r="A119" s="19" t="s">
        <v>2738</v>
      </c>
    </row>
    <row r="120" customFormat="false" ht="15" hidden="false" customHeight="false" outlineLevel="0" collapsed="false">
      <c r="A120" s="19" t="s">
        <v>2739</v>
      </c>
    </row>
    <row r="121" customFormat="false" ht="15" hidden="false" customHeight="false" outlineLevel="0" collapsed="false">
      <c r="A121" s="24" t="s">
        <v>1459</v>
      </c>
    </row>
    <row r="122" customFormat="false" ht="15" hidden="false" customHeight="false" outlineLevel="0" collapsed="false">
      <c r="A122" s="21" t="s">
        <v>2740</v>
      </c>
    </row>
    <row r="123" customFormat="false" ht="15" hidden="false" customHeight="false" outlineLevel="0" collapsed="false">
      <c r="A123" s="21" t="s">
        <v>2741</v>
      </c>
    </row>
    <row r="124" customFormat="false" ht="23.85" hidden="false" customHeight="false" outlineLevel="0" collapsed="false">
      <c r="A124" s="22" t="s">
        <v>2742</v>
      </c>
      <c r="B124" s="22" t="s">
        <v>2743</v>
      </c>
      <c r="C124" s="22" t="s">
        <v>2744</v>
      </c>
      <c r="D124" s="22" t="s">
        <v>2745</v>
      </c>
      <c r="E124" s="22" t="s">
        <v>2746</v>
      </c>
      <c r="F124" s="22" t="s">
        <v>2747</v>
      </c>
      <c r="G124" s="22" t="s">
        <v>2748</v>
      </c>
    </row>
    <row r="125" customFormat="false" ht="15" hidden="false" customHeight="false" outlineLevel="0" collapsed="false">
      <c r="A125" s="4" t="s">
        <v>8</v>
      </c>
      <c r="B125" s="4" t="s">
        <v>2749</v>
      </c>
      <c r="C125" s="4" t="s">
        <v>2750</v>
      </c>
      <c r="D125" s="4" t="s">
        <v>2751</v>
      </c>
      <c r="E125" s="4" t="s">
        <v>2752</v>
      </c>
      <c r="F125" s="4" t="n">
        <v>2</v>
      </c>
      <c r="G125" s="4" t="n">
        <v>5</v>
      </c>
    </row>
    <row r="126" customFormat="false" ht="15" hidden="false" customHeight="false" outlineLevel="0" collapsed="false">
      <c r="A126" s="4" t="s">
        <v>2441</v>
      </c>
      <c r="B126" s="4" t="s">
        <v>2753</v>
      </c>
      <c r="C126" s="4" t="s">
        <v>2754</v>
      </c>
      <c r="D126" s="4" t="s">
        <v>2755</v>
      </c>
      <c r="E126" s="4" t="s">
        <v>2756</v>
      </c>
      <c r="F126" s="4" t="n">
        <v>2</v>
      </c>
      <c r="G126" s="4" t="s">
        <v>2679</v>
      </c>
    </row>
    <row r="127" customFormat="false" ht="15" hidden="false" customHeight="false" outlineLevel="0" collapsed="false">
      <c r="A127" s="4" t="s">
        <v>1674</v>
      </c>
      <c r="B127" s="4" t="s">
        <v>2757</v>
      </c>
      <c r="C127" s="4" t="s">
        <v>2758</v>
      </c>
      <c r="D127" s="4" t="s">
        <v>2759</v>
      </c>
      <c r="E127" s="4" t="s">
        <v>2760</v>
      </c>
      <c r="F127" s="4" t="s">
        <v>2761</v>
      </c>
      <c r="G127" s="4" t="n">
        <v>4</v>
      </c>
    </row>
    <row r="128" customFormat="false" ht="15" hidden="false" customHeight="false" outlineLevel="0" collapsed="false">
      <c r="A128" s="4" t="s">
        <v>2762</v>
      </c>
      <c r="B128" s="4" t="s">
        <v>2763</v>
      </c>
      <c r="C128" s="4" t="s">
        <v>2764</v>
      </c>
      <c r="D128" s="4" t="s">
        <v>2765</v>
      </c>
      <c r="E128" s="4" t="s">
        <v>2766</v>
      </c>
      <c r="F128" s="4" t="s">
        <v>2767</v>
      </c>
      <c r="G128" s="4" t="s">
        <v>2768</v>
      </c>
    </row>
    <row r="129" customFormat="false" ht="15" hidden="false" customHeight="false" outlineLevel="0" collapsed="false">
      <c r="A129" s="4" t="s">
        <v>2769</v>
      </c>
      <c r="B129" s="4" t="s">
        <v>2770</v>
      </c>
      <c r="C129" s="4" t="s">
        <v>2771</v>
      </c>
      <c r="D129" s="4" t="s">
        <v>2772</v>
      </c>
      <c r="E129" s="4" t="s">
        <v>2773</v>
      </c>
      <c r="F129" s="4" t="s">
        <v>2774</v>
      </c>
      <c r="G129" s="4" t="s">
        <v>2775</v>
      </c>
    </row>
    <row r="130" customFormat="false" ht="15" hidden="false" customHeight="false" outlineLevel="0" collapsed="false">
      <c r="A130" s="4" t="s">
        <v>2776</v>
      </c>
      <c r="B130" s="4"/>
      <c r="C130" s="4"/>
      <c r="D130" s="4"/>
      <c r="E130" s="4"/>
      <c r="F130" s="4" t="s">
        <v>2777</v>
      </c>
      <c r="G130" s="4" t="s">
        <v>2778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4" min="1" style="0" width="56"/>
    <col collapsed="false" customWidth="true" hidden="false" outlineLevel="0" max="5" min="5" style="0" width="29"/>
    <col collapsed="false" customWidth="true" hidden="false" outlineLevel="0" max="6" min="6" style="0" width="29.9"/>
    <col collapsed="false" customWidth="true" hidden="false" outlineLevel="0" max="7" min="7" style="0" width="23.6"/>
    <col collapsed="false" customWidth="true" hidden="false" outlineLevel="0" max="8" min="8" style="0" width="53.3"/>
  </cols>
  <sheetData>
    <row r="1" customFormat="false" ht="17.35" hidden="false" customHeight="false" outlineLevel="0" collapsed="false">
      <c r="A1" s="1" t="s">
        <v>257</v>
      </c>
    </row>
    <row r="2" customFormat="false" ht="15" hidden="false" customHeight="false" outlineLevel="0" collapsed="false">
      <c r="A2" s="14" t="s">
        <v>2779</v>
      </c>
    </row>
    <row r="4" customFormat="false" ht="15" hidden="false" customHeight="false" outlineLevel="0" collapsed="false">
      <c r="A4" s="17" t="s">
        <v>2780</v>
      </c>
      <c r="B4" s="18"/>
      <c r="C4" s="18"/>
      <c r="D4" s="18"/>
    </row>
    <row r="5" customFormat="false" ht="15" hidden="false" customHeight="false" outlineLevel="0" collapsed="false">
      <c r="A5" s="19" t="s">
        <v>2781</v>
      </c>
    </row>
    <row r="6" customFormat="false" ht="15" hidden="false" customHeight="false" outlineLevel="0" collapsed="false">
      <c r="A6" s="23" t="s">
        <v>1246</v>
      </c>
    </row>
    <row r="7" customFormat="false" ht="15" hidden="false" customHeight="false" outlineLevel="0" collapsed="false">
      <c r="A7" s="21" t="s">
        <v>2782</v>
      </c>
    </row>
    <row r="8" customFormat="false" ht="15" hidden="false" customHeight="false" outlineLevel="0" collapsed="false">
      <c r="A8" s="21" t="s">
        <v>2783</v>
      </c>
    </row>
    <row r="9" customFormat="false" ht="15" hidden="false" customHeight="false" outlineLevel="0" collapsed="false">
      <c r="A9" s="22" t="s">
        <v>2784</v>
      </c>
      <c r="B9" s="22" t="s">
        <v>2785</v>
      </c>
      <c r="C9" s="22" t="s">
        <v>2786</v>
      </c>
      <c r="D9" s="22" t="s">
        <v>2787</v>
      </c>
    </row>
    <row r="10" customFormat="false" ht="23.85" hidden="false" customHeight="false" outlineLevel="0" collapsed="false">
      <c r="A10" s="4" t="s">
        <v>2788</v>
      </c>
      <c r="B10" s="4" t="s">
        <v>2789</v>
      </c>
      <c r="C10" s="4" t="s">
        <v>2790</v>
      </c>
      <c r="D10" s="4" t="s">
        <v>2791</v>
      </c>
    </row>
    <row r="11" customFormat="false" ht="23.85" hidden="false" customHeight="false" outlineLevel="0" collapsed="false">
      <c r="A11" s="4" t="s">
        <v>2792</v>
      </c>
      <c r="B11" s="4" t="s">
        <v>2793</v>
      </c>
      <c r="C11" s="4" t="s">
        <v>2794</v>
      </c>
      <c r="D11" s="4" t="s">
        <v>2795</v>
      </c>
    </row>
    <row r="12" customFormat="false" ht="23.85" hidden="false" customHeight="false" outlineLevel="0" collapsed="false">
      <c r="A12" s="4" t="s">
        <v>2796</v>
      </c>
      <c r="B12" s="4" t="s">
        <v>1284</v>
      </c>
      <c r="C12" s="4" t="s">
        <v>2797</v>
      </c>
      <c r="D12" s="4" t="s">
        <v>2798</v>
      </c>
    </row>
    <row r="13" customFormat="false" ht="23.85" hidden="false" customHeight="false" outlineLevel="0" collapsed="false">
      <c r="A13" s="4" t="s">
        <v>2799</v>
      </c>
      <c r="B13" s="4" t="s">
        <v>1555</v>
      </c>
      <c r="C13" s="4" t="s">
        <v>2800</v>
      </c>
      <c r="D13" s="4" t="s">
        <v>1555</v>
      </c>
    </row>
    <row r="16" customFormat="false" ht="15" hidden="false" customHeight="false" outlineLevel="0" collapsed="false">
      <c r="A16" s="17" t="s">
        <v>2801</v>
      </c>
      <c r="B16" s="18"/>
      <c r="C16" s="18"/>
      <c r="D16" s="18"/>
    </row>
    <row r="17" customFormat="false" ht="15" hidden="false" customHeight="false" outlineLevel="0" collapsed="false">
      <c r="A17" s="19" t="s">
        <v>2802</v>
      </c>
    </row>
    <row r="18" customFormat="false" ht="15" hidden="false" customHeight="false" outlineLevel="0" collapsed="false">
      <c r="A18" s="20" t="s">
        <v>1193</v>
      </c>
    </row>
    <row r="19" customFormat="false" ht="15" hidden="false" customHeight="false" outlineLevel="0" collapsed="false">
      <c r="A19" s="21" t="s">
        <v>2803</v>
      </c>
    </row>
    <row r="20" customFormat="false" ht="15" hidden="false" customHeight="false" outlineLevel="0" collapsed="false">
      <c r="A20" s="21" t="s">
        <v>2804</v>
      </c>
    </row>
    <row r="21" customFormat="false" ht="15" hidden="false" customHeight="false" outlineLevel="0" collapsed="false">
      <c r="A21" s="22" t="s">
        <v>2805</v>
      </c>
      <c r="B21" s="22" t="s">
        <v>2806</v>
      </c>
      <c r="C21" s="22" t="s">
        <v>2807</v>
      </c>
      <c r="D21" s="22" t="s">
        <v>1426</v>
      </c>
    </row>
    <row r="22" customFormat="false" ht="15" hidden="false" customHeight="false" outlineLevel="0" collapsed="false">
      <c r="A22" s="4" t="s">
        <v>2808</v>
      </c>
      <c r="B22" s="4" t="s">
        <v>2809</v>
      </c>
      <c r="C22" s="4" t="s">
        <v>2810</v>
      </c>
      <c r="D22" s="4" t="s">
        <v>2811</v>
      </c>
    </row>
    <row r="23" customFormat="false" ht="15" hidden="false" customHeight="false" outlineLevel="0" collapsed="false">
      <c r="A23" s="4" t="s">
        <v>2812</v>
      </c>
      <c r="B23" s="4" t="s">
        <v>2813</v>
      </c>
      <c r="C23" s="4" t="s">
        <v>2814</v>
      </c>
      <c r="D23" s="4" t="s">
        <v>2815</v>
      </c>
    </row>
    <row r="24" customFormat="false" ht="15" hidden="false" customHeight="false" outlineLevel="0" collapsed="false">
      <c r="A24" s="4" t="s">
        <v>2816</v>
      </c>
      <c r="B24" s="4" t="s">
        <v>2817</v>
      </c>
      <c r="C24" s="4" t="s">
        <v>2818</v>
      </c>
      <c r="D24" s="4" t="s">
        <v>2819</v>
      </c>
    </row>
    <row r="25" customFormat="false" ht="15" hidden="false" customHeight="false" outlineLevel="0" collapsed="false">
      <c r="A25" s="4" t="s">
        <v>2820</v>
      </c>
      <c r="B25" s="4" t="s">
        <v>2821</v>
      </c>
      <c r="C25" s="4" t="s">
        <v>2822</v>
      </c>
      <c r="D25" s="4" t="s">
        <v>2823</v>
      </c>
    </row>
    <row r="26" customFormat="false" ht="15" hidden="false" customHeight="false" outlineLevel="0" collapsed="false">
      <c r="A26" s="4" t="s">
        <v>2824</v>
      </c>
      <c r="B26" s="4" t="s">
        <v>2825</v>
      </c>
      <c r="C26" s="4" t="s">
        <v>2826</v>
      </c>
      <c r="D26" s="4" t="s">
        <v>2827</v>
      </c>
    </row>
    <row r="27" customFormat="false" ht="15" hidden="false" customHeight="false" outlineLevel="0" collapsed="false">
      <c r="A27" s="4" t="s">
        <v>2828</v>
      </c>
      <c r="B27" s="4" t="s">
        <v>2829</v>
      </c>
      <c r="C27" s="4" t="s">
        <v>2830</v>
      </c>
      <c r="D27" s="4" t="s">
        <v>2831</v>
      </c>
    </row>
    <row r="30" customFormat="false" ht="15" hidden="false" customHeight="false" outlineLevel="0" collapsed="false">
      <c r="A30" s="17" t="s">
        <v>2832</v>
      </c>
      <c r="B30" s="18"/>
      <c r="C30" s="18"/>
    </row>
    <row r="31" customFormat="false" ht="15" hidden="false" customHeight="false" outlineLevel="0" collapsed="false">
      <c r="A31" s="19" t="s">
        <v>2833</v>
      </c>
    </row>
    <row r="32" customFormat="false" ht="15" hidden="false" customHeight="false" outlineLevel="0" collapsed="false">
      <c r="A32" s="25" t="s">
        <v>2043</v>
      </c>
    </row>
    <row r="33" customFormat="false" ht="15" hidden="false" customHeight="false" outlineLevel="0" collapsed="false">
      <c r="A33" s="21" t="s">
        <v>2834</v>
      </c>
    </row>
    <row r="34" customFormat="false" ht="15" hidden="false" customHeight="false" outlineLevel="0" collapsed="false">
      <c r="A34" s="21" t="s">
        <v>2835</v>
      </c>
    </row>
    <row r="35" customFormat="false" ht="15" hidden="false" customHeight="false" outlineLevel="0" collapsed="false">
      <c r="A35" s="22" t="s">
        <v>2589</v>
      </c>
      <c r="B35" s="22" t="s">
        <v>2836</v>
      </c>
      <c r="C35" s="22" t="s">
        <v>2508</v>
      </c>
    </row>
    <row r="36" customFormat="false" ht="23.85" hidden="false" customHeight="false" outlineLevel="0" collapsed="false">
      <c r="A36" s="4" t="s">
        <v>2837</v>
      </c>
      <c r="B36" s="4" t="s">
        <v>2838</v>
      </c>
      <c r="C36" s="4" t="s">
        <v>2839</v>
      </c>
    </row>
    <row r="37" customFormat="false" ht="15" hidden="false" customHeight="false" outlineLevel="0" collapsed="false">
      <c r="A37" s="4" t="s">
        <v>2840</v>
      </c>
      <c r="B37" s="4" t="s">
        <v>2841</v>
      </c>
      <c r="C37" s="4" t="s">
        <v>1555</v>
      </c>
    </row>
    <row r="38" customFormat="false" ht="35.05" hidden="false" customHeight="false" outlineLevel="0" collapsed="false">
      <c r="A38" s="4" t="s">
        <v>2842</v>
      </c>
      <c r="B38" s="4" t="s">
        <v>2843</v>
      </c>
      <c r="C38" s="4" t="s">
        <v>2844</v>
      </c>
    </row>
    <row r="39" customFormat="false" ht="15" hidden="false" customHeight="false" outlineLevel="0" collapsed="false">
      <c r="A39" s="4" t="s">
        <v>2845</v>
      </c>
      <c r="B39" s="4" t="s">
        <v>2846</v>
      </c>
      <c r="C39" s="4" t="s">
        <v>2847</v>
      </c>
    </row>
    <row r="40" customFormat="false" ht="15" hidden="false" customHeight="false" outlineLevel="0" collapsed="false">
      <c r="A40" s="4" t="s">
        <v>2848</v>
      </c>
      <c r="B40" s="4" t="s">
        <v>2849</v>
      </c>
      <c r="C40" s="4" t="s">
        <v>2850</v>
      </c>
    </row>
    <row r="41" customFormat="false" ht="15" hidden="false" customHeight="false" outlineLevel="0" collapsed="false">
      <c r="A41" s="4" t="s">
        <v>2851</v>
      </c>
      <c r="B41" s="4" t="s">
        <v>2852</v>
      </c>
      <c r="C41" s="4" t="s">
        <v>1555</v>
      </c>
    </row>
    <row r="42" customFormat="false" ht="15" hidden="false" customHeight="false" outlineLevel="0" collapsed="false">
      <c r="A42" s="4" t="s">
        <v>2853</v>
      </c>
      <c r="B42" s="4" t="s">
        <v>2854</v>
      </c>
      <c r="C42" s="4" t="s">
        <v>2855</v>
      </c>
    </row>
    <row r="43" customFormat="false" ht="23.85" hidden="false" customHeight="false" outlineLevel="0" collapsed="false">
      <c r="A43" s="4" t="s">
        <v>2856</v>
      </c>
      <c r="B43" s="4" t="s">
        <v>2857</v>
      </c>
      <c r="C43" s="4" t="s">
        <v>2858</v>
      </c>
    </row>
    <row r="46" customFormat="false" ht="15" hidden="false" customHeight="false" outlineLevel="0" collapsed="false">
      <c r="A46" s="17" t="s">
        <v>2859</v>
      </c>
      <c r="B46" s="18"/>
      <c r="C46" s="18"/>
      <c r="D46" s="18"/>
    </row>
    <row r="47" customFormat="false" ht="15" hidden="false" customHeight="false" outlineLevel="0" collapsed="false">
      <c r="A47" s="19" t="s">
        <v>2860</v>
      </c>
    </row>
    <row r="48" customFormat="false" ht="15" hidden="false" customHeight="false" outlineLevel="0" collapsed="false">
      <c r="A48" s="20" t="s">
        <v>1193</v>
      </c>
    </row>
    <row r="49" customFormat="false" ht="15" hidden="false" customHeight="false" outlineLevel="0" collapsed="false">
      <c r="A49" s="21" t="s">
        <v>2861</v>
      </c>
    </row>
    <row r="50" customFormat="false" ht="15" hidden="false" customHeight="false" outlineLevel="0" collapsed="false">
      <c r="A50" s="21" t="s">
        <v>2862</v>
      </c>
    </row>
    <row r="51" customFormat="false" ht="15" hidden="false" customHeight="false" outlineLevel="0" collapsed="false">
      <c r="A51" s="22" t="s">
        <v>8</v>
      </c>
      <c r="B51" s="22" t="s">
        <v>2863</v>
      </c>
      <c r="C51" s="22" t="s">
        <v>2864</v>
      </c>
      <c r="D51" s="22" t="s">
        <v>2865</v>
      </c>
    </row>
    <row r="52" customFormat="false" ht="15" hidden="false" customHeight="false" outlineLevel="0" collapsed="false">
      <c r="A52" s="4" t="s">
        <v>2866</v>
      </c>
      <c r="B52" s="4" t="s">
        <v>2867</v>
      </c>
      <c r="C52" s="4" t="s">
        <v>2868</v>
      </c>
      <c r="D52" s="4" t="s">
        <v>2869</v>
      </c>
    </row>
    <row r="53" customFormat="false" ht="15" hidden="false" customHeight="false" outlineLevel="0" collapsed="false">
      <c r="A53" s="4" t="s">
        <v>2870</v>
      </c>
      <c r="B53" s="4" t="s">
        <v>2871</v>
      </c>
      <c r="C53" s="4" t="s">
        <v>2872</v>
      </c>
      <c r="D53" s="4" t="s">
        <v>2873</v>
      </c>
    </row>
    <row r="54" customFormat="false" ht="23.85" hidden="false" customHeight="false" outlineLevel="0" collapsed="false">
      <c r="A54" s="4" t="s">
        <v>2874</v>
      </c>
      <c r="B54" s="4" t="s">
        <v>2875</v>
      </c>
      <c r="C54" s="4" t="s">
        <v>2876</v>
      </c>
      <c r="D54" s="4" t="s">
        <v>2877</v>
      </c>
    </row>
    <row r="55" customFormat="false" ht="15" hidden="false" customHeight="false" outlineLevel="0" collapsed="false">
      <c r="A55" s="4" t="s">
        <v>2878</v>
      </c>
      <c r="B55" s="4" t="s">
        <v>2879</v>
      </c>
      <c r="C55" s="4" t="s">
        <v>2880</v>
      </c>
      <c r="D55" s="4" t="s">
        <v>2881</v>
      </c>
    </row>
    <row r="56" customFormat="false" ht="15" hidden="false" customHeight="false" outlineLevel="0" collapsed="false">
      <c r="A56" s="4" t="s">
        <v>2882</v>
      </c>
      <c r="B56" s="4" t="s">
        <v>2883</v>
      </c>
      <c r="C56" s="4" t="s">
        <v>2884</v>
      </c>
      <c r="D56" s="4" t="s">
        <v>2885</v>
      </c>
    </row>
    <row r="59" customFormat="false" ht="15" hidden="false" customHeight="false" outlineLevel="0" collapsed="false">
      <c r="A59" s="17" t="s">
        <v>2886</v>
      </c>
      <c r="B59" s="18"/>
      <c r="C59" s="18"/>
      <c r="D59" s="18"/>
      <c r="E59" s="18"/>
    </row>
    <row r="60" customFormat="false" ht="15" hidden="false" customHeight="false" outlineLevel="0" collapsed="false">
      <c r="A60" s="19" t="s">
        <v>2887</v>
      </c>
    </row>
    <row r="61" customFormat="false" ht="15" hidden="false" customHeight="false" outlineLevel="0" collapsed="false">
      <c r="A61" s="19" t="s">
        <v>2888</v>
      </c>
    </row>
    <row r="62" customFormat="false" ht="15" hidden="false" customHeight="false" outlineLevel="0" collapsed="false">
      <c r="A62" s="26" t="s">
        <v>2179</v>
      </c>
    </row>
    <row r="63" customFormat="false" ht="15" hidden="false" customHeight="false" outlineLevel="0" collapsed="false">
      <c r="A63" s="21" t="s">
        <v>2889</v>
      </c>
    </row>
    <row r="64" customFormat="false" ht="15" hidden="false" customHeight="false" outlineLevel="0" collapsed="false">
      <c r="A64" s="21" t="s">
        <v>2890</v>
      </c>
    </row>
    <row r="65" customFormat="false" ht="15" hidden="false" customHeight="false" outlineLevel="0" collapsed="false">
      <c r="A65" s="22" t="s">
        <v>2891</v>
      </c>
      <c r="B65" s="22" t="s">
        <v>2892</v>
      </c>
      <c r="C65" s="22" t="s">
        <v>2893</v>
      </c>
      <c r="D65" s="22" t="s">
        <v>2894</v>
      </c>
      <c r="E65" s="22" t="s">
        <v>2895</v>
      </c>
    </row>
    <row r="66" customFormat="false" ht="15" hidden="false" customHeight="false" outlineLevel="0" collapsed="false">
      <c r="A66" s="4" t="s">
        <v>2896</v>
      </c>
      <c r="B66" s="4" t="s">
        <v>2897</v>
      </c>
      <c r="C66" s="4" t="s">
        <v>2898</v>
      </c>
      <c r="D66" s="4" t="s">
        <v>2899</v>
      </c>
      <c r="E66" s="4" t="s">
        <v>2900</v>
      </c>
    </row>
    <row r="67" customFormat="false" ht="15" hidden="false" customHeight="false" outlineLevel="0" collapsed="false">
      <c r="A67" s="4" t="s">
        <v>2152</v>
      </c>
      <c r="B67" s="4" t="s">
        <v>2901</v>
      </c>
      <c r="C67" s="4" t="s">
        <v>2902</v>
      </c>
      <c r="D67" s="4" t="s">
        <v>2903</v>
      </c>
      <c r="E67" s="4" t="s">
        <v>2904</v>
      </c>
    </row>
    <row r="68" customFormat="false" ht="15" hidden="false" customHeight="false" outlineLevel="0" collapsed="false">
      <c r="A68" s="4" t="s">
        <v>2153</v>
      </c>
      <c r="B68" s="4" t="s">
        <v>2905</v>
      </c>
      <c r="C68" s="4" t="s">
        <v>2906</v>
      </c>
      <c r="D68" s="4" t="s">
        <v>2907</v>
      </c>
      <c r="E68" s="4" t="s">
        <v>2908</v>
      </c>
    </row>
    <row r="69" customFormat="false" ht="15" hidden="false" customHeight="false" outlineLevel="0" collapsed="false">
      <c r="A69" s="4" t="s">
        <v>2154</v>
      </c>
      <c r="B69" s="4" t="s">
        <v>2909</v>
      </c>
      <c r="C69" s="4" t="s">
        <v>2910</v>
      </c>
      <c r="D69" s="4" t="s">
        <v>2911</v>
      </c>
      <c r="E69" s="4" t="s">
        <v>2912</v>
      </c>
    </row>
    <row r="72" customFormat="false" ht="15" hidden="false" customHeight="false" outlineLevel="0" collapsed="false">
      <c r="A72" s="17" t="s">
        <v>2913</v>
      </c>
      <c r="B72" s="18"/>
      <c r="C72" s="18"/>
      <c r="D72" s="18"/>
      <c r="E72" s="18"/>
      <c r="F72" s="18"/>
    </row>
    <row r="73" customFormat="false" ht="15" hidden="false" customHeight="false" outlineLevel="0" collapsed="false">
      <c r="A73" s="19" t="s">
        <v>2914</v>
      </c>
    </row>
    <row r="74" customFormat="false" ht="15" hidden="false" customHeight="false" outlineLevel="0" collapsed="false">
      <c r="A74" s="19" t="s">
        <v>2915</v>
      </c>
    </row>
    <row r="75" customFormat="false" ht="15" hidden="false" customHeight="false" outlineLevel="0" collapsed="false">
      <c r="A75" s="26" t="s">
        <v>2179</v>
      </c>
    </row>
    <row r="76" customFormat="false" ht="15" hidden="false" customHeight="false" outlineLevel="0" collapsed="false">
      <c r="A76" s="21" t="s">
        <v>2916</v>
      </c>
    </row>
    <row r="77" customFormat="false" ht="15" hidden="false" customHeight="false" outlineLevel="0" collapsed="false">
      <c r="A77" s="21" t="s">
        <v>2917</v>
      </c>
    </row>
    <row r="78" customFormat="false" ht="23.85" hidden="false" customHeight="false" outlineLevel="0" collapsed="false">
      <c r="A78" s="22" t="s">
        <v>2918</v>
      </c>
      <c r="B78" s="22" t="s">
        <v>2919</v>
      </c>
      <c r="C78" s="22" t="s">
        <v>2920</v>
      </c>
      <c r="D78" s="22" t="s">
        <v>2921</v>
      </c>
      <c r="E78" s="22" t="s">
        <v>2922</v>
      </c>
      <c r="F78" s="22" t="s">
        <v>2923</v>
      </c>
    </row>
    <row r="79" customFormat="false" ht="15" hidden="false" customHeight="false" outlineLevel="0" collapsed="false">
      <c r="A79" s="4" t="s">
        <v>2924</v>
      </c>
      <c r="B79" s="4" t="n">
        <v>504.6</v>
      </c>
      <c r="C79" s="4" t="n">
        <v>504.6</v>
      </c>
      <c r="D79" s="4" t="n">
        <v>504.6</v>
      </c>
      <c r="E79" s="4" t="n">
        <v>504.6</v>
      </c>
      <c r="F79" s="4" t="n">
        <v>504.6</v>
      </c>
    </row>
    <row r="80" customFormat="false" ht="15" hidden="false" customHeight="false" outlineLevel="0" collapsed="false">
      <c r="A80" s="4" t="s">
        <v>2925</v>
      </c>
      <c r="B80" s="4" t="n">
        <v>252.3</v>
      </c>
      <c r="C80" s="4" t="n">
        <v>126.2</v>
      </c>
      <c r="D80" s="4" t="n">
        <v>72.1</v>
      </c>
      <c r="E80" s="4" t="n">
        <v>72.1</v>
      </c>
      <c r="F80" s="4" t="n">
        <v>0</v>
      </c>
    </row>
    <row r="81" customFormat="false" ht="15" hidden="false" customHeight="false" outlineLevel="0" collapsed="false">
      <c r="A81" s="4" t="s">
        <v>2926</v>
      </c>
      <c r="B81" s="4" t="n">
        <v>1.2</v>
      </c>
      <c r="C81" s="4" t="n">
        <v>1.2</v>
      </c>
      <c r="D81" s="4" t="n">
        <v>1.2</v>
      </c>
      <c r="E81" s="4" t="n">
        <v>1.2</v>
      </c>
      <c r="F81" s="4" t="n">
        <v>1.2</v>
      </c>
    </row>
    <row r="82" customFormat="false" ht="15" hidden="false" customHeight="false" outlineLevel="0" collapsed="false">
      <c r="A82" s="4" t="s">
        <v>2927</v>
      </c>
      <c r="B82" s="4" t="n">
        <v>758.1</v>
      </c>
      <c r="C82" s="4" t="n">
        <v>632</v>
      </c>
      <c r="D82" s="4" t="n">
        <v>577.9</v>
      </c>
      <c r="E82" s="4" t="n">
        <v>577.9</v>
      </c>
      <c r="F82" s="4" t="s">
        <v>2928</v>
      </c>
    </row>
    <row r="83" customFormat="false" ht="15" hidden="false" customHeight="false" outlineLevel="0" collapsed="false">
      <c r="A83" s="4" t="s">
        <v>2853</v>
      </c>
      <c r="B83" s="4" t="s">
        <v>1555</v>
      </c>
      <c r="C83" s="4" t="s">
        <v>1555</v>
      </c>
      <c r="D83" s="4" t="s">
        <v>1555</v>
      </c>
      <c r="E83" s="4" t="n">
        <v>192.6</v>
      </c>
      <c r="F83" s="4" t="n">
        <v>0</v>
      </c>
    </row>
    <row r="84" customFormat="false" ht="15" hidden="false" customHeight="false" outlineLevel="0" collapsed="false">
      <c r="A84" s="4" t="s">
        <v>2929</v>
      </c>
      <c r="B84" s="4" t="n">
        <v>14.6</v>
      </c>
      <c r="C84" s="4" t="n">
        <v>14.6</v>
      </c>
      <c r="D84" s="4" t="n">
        <v>14.6</v>
      </c>
      <c r="E84" s="4" t="n">
        <v>14.6</v>
      </c>
      <c r="F84" s="4" t="n">
        <v>14.6</v>
      </c>
    </row>
    <row r="85" customFormat="false" ht="15" hidden="false" customHeight="false" outlineLevel="0" collapsed="false">
      <c r="A85" s="4" t="s">
        <v>2785</v>
      </c>
      <c r="B85" s="4" t="s">
        <v>2930</v>
      </c>
      <c r="C85" s="4" t="s">
        <v>2931</v>
      </c>
      <c r="D85" s="4" t="s">
        <v>2932</v>
      </c>
      <c r="E85" s="4" t="s">
        <v>2933</v>
      </c>
      <c r="F85" s="4" t="s">
        <v>2934</v>
      </c>
    </row>
    <row r="86" customFormat="false" ht="15" hidden="false" customHeight="false" outlineLevel="0" collapsed="false">
      <c r="A86" s="4" t="s">
        <v>2935</v>
      </c>
      <c r="B86" s="4" t="n">
        <v>264</v>
      </c>
      <c r="C86" s="4" t="n">
        <v>137.9</v>
      </c>
      <c r="D86" s="4" t="n">
        <v>83.8</v>
      </c>
      <c r="E86" s="4" t="n">
        <v>276.4</v>
      </c>
      <c r="F86" s="4" t="s">
        <v>2936</v>
      </c>
    </row>
    <row r="87" customFormat="false" ht="15" hidden="false" customHeight="false" outlineLevel="0" collapsed="false">
      <c r="A87" s="4" t="s">
        <v>2786</v>
      </c>
      <c r="B87" s="4" t="s">
        <v>2937</v>
      </c>
      <c r="C87" s="4" t="n">
        <v>508.7</v>
      </c>
      <c r="D87" s="4" t="n">
        <v>508.7</v>
      </c>
      <c r="E87" s="4" t="n">
        <v>508.7</v>
      </c>
      <c r="F87" s="4" t="s">
        <v>2938</v>
      </c>
    </row>
    <row r="88" customFormat="false" ht="15" hidden="false" customHeight="false" outlineLevel="0" collapsed="false">
      <c r="A88" s="4" t="s">
        <v>2939</v>
      </c>
      <c r="B88" s="4" t="s">
        <v>2940</v>
      </c>
      <c r="C88" s="4" t="s">
        <v>2941</v>
      </c>
      <c r="D88" s="4" t="s">
        <v>2942</v>
      </c>
      <c r="E88" s="4" t="s">
        <v>2943</v>
      </c>
      <c r="F88" s="4" t="s">
        <v>2944</v>
      </c>
    </row>
    <row r="89" customFormat="false" ht="15" hidden="false" customHeight="false" outlineLevel="0" collapsed="false">
      <c r="A89" s="4" t="s">
        <v>2945</v>
      </c>
      <c r="B89" s="4" t="n">
        <v>2.21</v>
      </c>
      <c r="C89" s="4" t="n">
        <v>1.85</v>
      </c>
      <c r="D89" s="4" t="n">
        <v>1.69</v>
      </c>
      <c r="E89" s="4" t="n">
        <v>2.24</v>
      </c>
      <c r="F89" s="4" t="n">
        <v>1.5</v>
      </c>
    </row>
    <row r="90" customFormat="false" ht="15" hidden="false" customHeight="false" outlineLevel="0" collapsed="false">
      <c r="A90" s="4" t="s">
        <v>2946</v>
      </c>
      <c r="B90" s="4" t="n">
        <v>1.45</v>
      </c>
      <c r="C90" s="4" t="n">
        <v>1.45</v>
      </c>
      <c r="D90" s="4" t="n">
        <v>1.45</v>
      </c>
      <c r="E90" s="4" t="n">
        <v>1.45</v>
      </c>
      <c r="F90" s="4" t="n">
        <v>1.5</v>
      </c>
    </row>
    <row r="93" customFormat="false" ht="15" hidden="false" customHeight="false" outlineLevel="0" collapsed="false">
      <c r="A93" s="17" t="s">
        <v>2947</v>
      </c>
      <c r="B93" s="18"/>
      <c r="C93" s="18"/>
    </row>
    <row r="94" customFormat="false" ht="15" hidden="false" customHeight="false" outlineLevel="0" collapsed="false">
      <c r="A94" s="19" t="s">
        <v>2948</v>
      </c>
    </row>
    <row r="95" customFormat="false" ht="15" hidden="false" customHeight="false" outlineLevel="0" collapsed="false">
      <c r="A95" s="19" t="s">
        <v>2949</v>
      </c>
    </row>
    <row r="96" customFormat="false" ht="15" hidden="false" customHeight="false" outlineLevel="0" collapsed="false">
      <c r="A96" s="26" t="s">
        <v>2179</v>
      </c>
    </row>
    <row r="97" customFormat="false" ht="15" hidden="false" customHeight="false" outlineLevel="0" collapsed="false">
      <c r="A97" s="21" t="s">
        <v>2950</v>
      </c>
    </row>
    <row r="98" customFormat="false" ht="15" hidden="false" customHeight="false" outlineLevel="0" collapsed="false">
      <c r="A98" s="21" t="s">
        <v>2951</v>
      </c>
    </row>
    <row r="99" customFormat="false" ht="15" hidden="false" customHeight="false" outlineLevel="0" collapsed="false">
      <c r="A99" s="22" t="s">
        <v>2952</v>
      </c>
      <c r="B99" s="22" t="s">
        <v>2953</v>
      </c>
      <c r="C99" s="22" t="s">
        <v>2954</v>
      </c>
    </row>
    <row r="100" customFormat="false" ht="15" hidden="false" customHeight="false" outlineLevel="0" collapsed="false">
      <c r="A100" s="4" t="s">
        <v>2955</v>
      </c>
      <c r="B100" s="4" t="s">
        <v>2956</v>
      </c>
      <c r="C100" s="4" t="s">
        <v>2957</v>
      </c>
    </row>
    <row r="101" customFormat="false" ht="15" hidden="false" customHeight="false" outlineLevel="0" collapsed="false">
      <c r="A101" s="4" t="s">
        <v>2929</v>
      </c>
      <c r="B101" s="4" t="s">
        <v>2958</v>
      </c>
      <c r="C101" s="4" t="s">
        <v>2959</v>
      </c>
    </row>
    <row r="102" customFormat="false" ht="15" hidden="false" customHeight="false" outlineLevel="0" collapsed="false">
      <c r="A102" s="4" t="s">
        <v>2960</v>
      </c>
      <c r="B102" s="4" t="s">
        <v>1555</v>
      </c>
      <c r="C102" s="4" t="s">
        <v>2961</v>
      </c>
    </row>
    <row r="103" customFormat="false" ht="15" hidden="false" customHeight="false" outlineLevel="0" collapsed="false">
      <c r="A103" s="4" t="s">
        <v>2962</v>
      </c>
      <c r="B103" s="4" t="s">
        <v>1555</v>
      </c>
      <c r="C103" s="4" t="s">
        <v>2963</v>
      </c>
    </row>
    <row r="104" customFormat="false" ht="15" hidden="false" customHeight="false" outlineLevel="0" collapsed="false">
      <c r="A104" s="4" t="s">
        <v>2964</v>
      </c>
      <c r="B104" s="4" t="s">
        <v>2965</v>
      </c>
      <c r="C104" s="4" t="s">
        <v>2966</v>
      </c>
    </row>
    <row r="105" customFormat="false" ht="15" hidden="false" customHeight="false" outlineLevel="0" collapsed="false">
      <c r="A105" s="4" t="s">
        <v>2786</v>
      </c>
      <c r="B105" s="4" t="s">
        <v>1555</v>
      </c>
      <c r="C105" s="4" t="s">
        <v>2967</v>
      </c>
    </row>
    <row r="106" customFormat="false" ht="15" hidden="false" customHeight="false" outlineLevel="0" collapsed="false">
      <c r="A106" s="4" t="s">
        <v>2968</v>
      </c>
      <c r="B106" s="4" t="s">
        <v>2969</v>
      </c>
      <c r="C106" s="4" t="s">
        <v>2970</v>
      </c>
    </row>
    <row r="107" customFormat="false" ht="15" hidden="false" customHeight="false" outlineLevel="0" collapsed="false">
      <c r="A107" s="4" t="s">
        <v>2971</v>
      </c>
      <c r="B107" s="4" t="s">
        <v>2972</v>
      </c>
      <c r="C107" s="4" t="s">
        <v>2973</v>
      </c>
    </row>
    <row r="108" customFormat="false" ht="15" hidden="false" customHeight="false" outlineLevel="0" collapsed="false">
      <c r="A108" s="4" t="s">
        <v>2974</v>
      </c>
      <c r="B108" s="4" t="s">
        <v>2975</v>
      </c>
      <c r="C108" s="4" t="s">
        <v>2976</v>
      </c>
    </row>
    <row r="111" customFormat="false" ht="15" hidden="false" customHeight="false" outlineLevel="0" collapsed="false">
      <c r="A111" s="17" t="s">
        <v>2977</v>
      </c>
      <c r="B111" s="18"/>
      <c r="C111" s="18"/>
    </row>
    <row r="112" customFormat="false" ht="15" hidden="false" customHeight="false" outlineLevel="0" collapsed="false">
      <c r="A112" s="19" t="s">
        <v>2978</v>
      </c>
    </row>
    <row r="113" customFormat="false" ht="15" hidden="false" customHeight="false" outlineLevel="0" collapsed="false">
      <c r="A113" s="19" t="s">
        <v>2979</v>
      </c>
    </row>
    <row r="114" customFormat="false" ht="15" hidden="false" customHeight="false" outlineLevel="0" collapsed="false">
      <c r="A114" s="23" t="s">
        <v>1246</v>
      </c>
    </row>
    <row r="115" customFormat="false" ht="15" hidden="false" customHeight="false" outlineLevel="0" collapsed="false">
      <c r="A115" s="21" t="s">
        <v>2980</v>
      </c>
    </row>
    <row r="116" customFormat="false" ht="15" hidden="false" customHeight="false" outlineLevel="0" collapsed="false">
      <c r="A116" s="21" t="s">
        <v>2981</v>
      </c>
    </row>
    <row r="117" customFormat="false" ht="15" hidden="false" customHeight="false" outlineLevel="0" collapsed="false">
      <c r="A117" s="22" t="s">
        <v>2982</v>
      </c>
      <c r="B117" s="22" t="s">
        <v>2983</v>
      </c>
      <c r="C117" s="22" t="s">
        <v>2984</v>
      </c>
    </row>
    <row r="118" customFormat="false" ht="23.85" hidden="false" customHeight="false" outlineLevel="0" collapsed="false">
      <c r="A118" s="4" t="s">
        <v>2985</v>
      </c>
      <c r="B118" s="4" t="s">
        <v>2986</v>
      </c>
      <c r="C118" s="4" t="s">
        <v>2987</v>
      </c>
    </row>
    <row r="119" customFormat="false" ht="15" hidden="false" customHeight="false" outlineLevel="0" collapsed="false">
      <c r="A119" s="4" t="s">
        <v>2988</v>
      </c>
      <c r="B119" s="4" t="s">
        <v>2989</v>
      </c>
      <c r="C119" s="4" t="s">
        <v>2990</v>
      </c>
    </row>
    <row r="120" customFormat="false" ht="15" hidden="false" customHeight="false" outlineLevel="0" collapsed="false">
      <c r="A120" s="4" t="s">
        <v>2991</v>
      </c>
      <c r="B120" s="4" t="s">
        <v>2992</v>
      </c>
      <c r="C120" s="4" t="s">
        <v>2993</v>
      </c>
    </row>
    <row r="121" customFormat="false" ht="15" hidden="false" customHeight="false" outlineLevel="0" collapsed="false">
      <c r="A121" s="4" t="s">
        <v>2994</v>
      </c>
      <c r="B121" s="4" t="s">
        <v>2995</v>
      </c>
      <c r="C121" s="4" t="s">
        <v>2996</v>
      </c>
    </row>
    <row r="122" customFormat="false" ht="15" hidden="false" customHeight="false" outlineLevel="0" collapsed="false">
      <c r="A122" s="4" t="s">
        <v>2997</v>
      </c>
      <c r="B122" s="4" t="s">
        <v>2998</v>
      </c>
      <c r="C122" s="4" t="s">
        <v>2999</v>
      </c>
    </row>
    <row r="123" customFormat="false" ht="23.85" hidden="false" customHeight="false" outlineLevel="0" collapsed="false">
      <c r="A123" s="4" t="s">
        <v>3000</v>
      </c>
      <c r="B123" s="4" t="s">
        <v>3001</v>
      </c>
      <c r="C123" s="4" t="s">
        <v>3002</v>
      </c>
    </row>
    <row r="124" customFormat="false" ht="15" hidden="false" customHeight="false" outlineLevel="0" collapsed="false">
      <c r="A124" s="4" t="s">
        <v>3003</v>
      </c>
      <c r="B124" s="4" t="s">
        <v>3004</v>
      </c>
      <c r="C124" s="4" t="s">
        <v>3005</v>
      </c>
    </row>
    <row r="125" customFormat="false" ht="15" hidden="false" customHeight="false" outlineLevel="0" collapsed="false">
      <c r="A125" s="4" t="s">
        <v>3006</v>
      </c>
      <c r="B125" s="4" t="s">
        <v>3007</v>
      </c>
      <c r="C125" s="4" t="s">
        <v>3008</v>
      </c>
    </row>
    <row r="128" customFormat="false" ht="15" hidden="false" customHeight="false" outlineLevel="0" collapsed="false">
      <c r="A128" s="17" t="s">
        <v>3009</v>
      </c>
      <c r="B128" s="18"/>
      <c r="C128" s="18"/>
      <c r="D128" s="18"/>
    </row>
    <row r="129" customFormat="false" ht="15" hidden="false" customHeight="false" outlineLevel="0" collapsed="false">
      <c r="A129" s="19" t="s">
        <v>3010</v>
      </c>
    </row>
    <row r="130" customFormat="false" ht="15" hidden="false" customHeight="false" outlineLevel="0" collapsed="false">
      <c r="A130" s="19" t="s">
        <v>3011</v>
      </c>
    </row>
    <row r="131" customFormat="false" ht="15" hidden="false" customHeight="false" outlineLevel="0" collapsed="false">
      <c r="A131" s="26" t="s">
        <v>2179</v>
      </c>
    </row>
    <row r="132" customFormat="false" ht="15" hidden="false" customHeight="false" outlineLevel="0" collapsed="false">
      <c r="A132" s="21" t="s">
        <v>3012</v>
      </c>
    </row>
    <row r="133" customFormat="false" ht="15" hidden="false" customHeight="false" outlineLevel="0" collapsed="false">
      <c r="A133" s="21" t="s">
        <v>3013</v>
      </c>
    </row>
    <row r="134" customFormat="false" ht="15" hidden="false" customHeight="false" outlineLevel="0" collapsed="false">
      <c r="A134" s="22" t="s">
        <v>3014</v>
      </c>
      <c r="B134" s="22" t="s">
        <v>1815</v>
      </c>
      <c r="C134" s="22" t="s">
        <v>3015</v>
      </c>
      <c r="D134" s="22" t="s">
        <v>3016</v>
      </c>
    </row>
    <row r="135" customFormat="false" ht="15" hidden="false" customHeight="false" outlineLevel="0" collapsed="false">
      <c r="A135" s="4" t="s">
        <v>3017</v>
      </c>
      <c r="B135" s="4" t="n">
        <v>1.8</v>
      </c>
      <c r="C135" s="4" t="s">
        <v>3018</v>
      </c>
      <c r="D135" s="4" t="s">
        <v>3019</v>
      </c>
    </row>
    <row r="136" customFormat="false" ht="15" hidden="false" customHeight="false" outlineLevel="0" collapsed="false">
      <c r="A136" s="4" t="s">
        <v>3020</v>
      </c>
      <c r="B136" s="4" t="n">
        <v>2.21</v>
      </c>
      <c r="C136" s="4" t="s">
        <v>3021</v>
      </c>
      <c r="D136" s="4" t="s">
        <v>3022</v>
      </c>
    </row>
    <row r="137" customFormat="false" ht="15" hidden="false" customHeight="false" outlineLevel="0" collapsed="false">
      <c r="A137" s="4" t="s">
        <v>3023</v>
      </c>
      <c r="B137" s="4" t="s">
        <v>3024</v>
      </c>
      <c r="C137" s="4" t="s">
        <v>3025</v>
      </c>
      <c r="D137" s="4" t="s">
        <v>3026</v>
      </c>
    </row>
    <row r="138" customFormat="false" ht="15" hidden="false" customHeight="false" outlineLevel="0" collapsed="false">
      <c r="A138" s="4" t="s">
        <v>3027</v>
      </c>
      <c r="B138" s="4" t="n">
        <v>0.4</v>
      </c>
      <c r="C138" s="4" t="s">
        <v>3028</v>
      </c>
      <c r="D138" s="4" t="s">
        <v>3029</v>
      </c>
    </row>
    <row r="139" customFormat="false" ht="15" hidden="false" customHeight="false" outlineLevel="0" collapsed="false">
      <c r="A139" s="4" t="s">
        <v>2138</v>
      </c>
      <c r="B139" s="4" t="n">
        <v>0.05</v>
      </c>
      <c r="C139" s="4" t="s">
        <v>3030</v>
      </c>
      <c r="D139" s="4" t="s">
        <v>3031</v>
      </c>
    </row>
    <row r="142" customFormat="false" ht="15" hidden="false" customHeight="false" outlineLevel="0" collapsed="false">
      <c r="A142" s="17" t="s">
        <v>3032</v>
      </c>
      <c r="B142" s="18"/>
      <c r="C142" s="18"/>
      <c r="D142" s="18"/>
      <c r="E142" s="18"/>
    </row>
    <row r="143" customFormat="false" ht="15" hidden="false" customHeight="false" outlineLevel="0" collapsed="false">
      <c r="A143" s="19" t="s">
        <v>3033</v>
      </c>
    </row>
    <row r="144" customFormat="false" ht="15" hidden="false" customHeight="false" outlineLevel="0" collapsed="false">
      <c r="A144" s="19" t="s">
        <v>3034</v>
      </c>
    </row>
    <row r="145" customFormat="false" ht="15" hidden="false" customHeight="false" outlineLevel="0" collapsed="false">
      <c r="A145" s="26" t="s">
        <v>2179</v>
      </c>
    </row>
    <row r="146" customFormat="false" ht="15" hidden="false" customHeight="false" outlineLevel="0" collapsed="false">
      <c r="A146" s="21" t="s">
        <v>3035</v>
      </c>
    </row>
    <row r="147" customFormat="false" ht="15" hidden="false" customHeight="false" outlineLevel="0" collapsed="false">
      <c r="A147" s="21" t="s">
        <v>3036</v>
      </c>
    </row>
    <row r="148" customFormat="false" ht="15" hidden="false" customHeight="false" outlineLevel="0" collapsed="false">
      <c r="A148" s="22" t="s">
        <v>3037</v>
      </c>
      <c r="B148" s="22" t="s">
        <v>3038</v>
      </c>
      <c r="C148" s="22" t="s">
        <v>3039</v>
      </c>
      <c r="D148" s="22" t="s">
        <v>3040</v>
      </c>
      <c r="E148" s="22" t="s">
        <v>3041</v>
      </c>
    </row>
    <row r="149" customFormat="false" ht="15" hidden="false" customHeight="false" outlineLevel="0" collapsed="false">
      <c r="A149" s="4" t="s">
        <v>3042</v>
      </c>
      <c r="B149" s="4" t="s">
        <v>3043</v>
      </c>
      <c r="C149" s="4" t="s">
        <v>3044</v>
      </c>
      <c r="D149" s="4" t="s">
        <v>3045</v>
      </c>
      <c r="E149" s="4" t="s">
        <v>3046</v>
      </c>
    </row>
    <row r="150" customFormat="false" ht="15" hidden="false" customHeight="false" outlineLevel="0" collapsed="false">
      <c r="A150" s="4" t="s">
        <v>3047</v>
      </c>
      <c r="B150" s="4" t="s">
        <v>3048</v>
      </c>
      <c r="C150" s="4" t="s">
        <v>3049</v>
      </c>
      <c r="D150" s="4" t="s">
        <v>3050</v>
      </c>
      <c r="E150" s="4" t="s">
        <v>3051</v>
      </c>
    </row>
    <row r="151" customFormat="false" ht="15" hidden="false" customHeight="false" outlineLevel="0" collapsed="false">
      <c r="A151" s="4" t="s">
        <v>3052</v>
      </c>
      <c r="B151" s="4" t="s">
        <v>3053</v>
      </c>
      <c r="C151" s="4" t="s">
        <v>3054</v>
      </c>
      <c r="D151" s="4" t="s">
        <v>3055</v>
      </c>
      <c r="E151" s="4" t="s">
        <v>3056</v>
      </c>
    </row>
    <row r="154" customFormat="false" ht="15" hidden="false" customHeight="false" outlineLevel="0" collapsed="false">
      <c r="A154" s="17" t="s">
        <v>3057</v>
      </c>
      <c r="B154" s="18"/>
      <c r="C154" s="18"/>
    </row>
    <row r="155" customFormat="false" ht="15" hidden="false" customHeight="false" outlineLevel="0" collapsed="false">
      <c r="A155" s="19" t="s">
        <v>3058</v>
      </c>
    </row>
    <row r="156" customFormat="false" ht="15" hidden="false" customHeight="false" outlineLevel="0" collapsed="false">
      <c r="A156" s="20" t="s">
        <v>1193</v>
      </c>
    </row>
    <row r="157" customFormat="false" ht="15" hidden="false" customHeight="false" outlineLevel="0" collapsed="false">
      <c r="A157" s="21" t="s">
        <v>3059</v>
      </c>
    </row>
    <row r="158" customFormat="false" ht="15" hidden="false" customHeight="false" outlineLevel="0" collapsed="false">
      <c r="A158" s="21" t="s">
        <v>3060</v>
      </c>
    </row>
    <row r="159" customFormat="false" ht="15" hidden="false" customHeight="false" outlineLevel="0" collapsed="false">
      <c r="A159" s="22" t="s">
        <v>8</v>
      </c>
      <c r="B159" s="22" t="s">
        <v>1963</v>
      </c>
      <c r="C159" s="22" t="s">
        <v>3061</v>
      </c>
    </row>
    <row r="160" customFormat="false" ht="23.85" hidden="false" customHeight="false" outlineLevel="0" collapsed="false">
      <c r="A160" s="4" t="s">
        <v>3062</v>
      </c>
      <c r="B160" s="4" t="s">
        <v>3063</v>
      </c>
      <c r="C160" s="4" t="s">
        <v>3064</v>
      </c>
    </row>
    <row r="161" customFormat="false" ht="15" hidden="false" customHeight="false" outlineLevel="0" collapsed="false">
      <c r="A161" s="4" t="s">
        <v>3065</v>
      </c>
      <c r="B161" s="4" t="s">
        <v>3066</v>
      </c>
      <c r="C161" s="4" t="s">
        <v>3067</v>
      </c>
    </row>
    <row r="162" customFormat="false" ht="23.85" hidden="false" customHeight="false" outlineLevel="0" collapsed="false">
      <c r="A162" s="4" t="s">
        <v>3068</v>
      </c>
      <c r="B162" s="4" t="s">
        <v>3069</v>
      </c>
      <c r="C162" s="4" t="s">
        <v>3070</v>
      </c>
    </row>
    <row r="163" customFormat="false" ht="15" hidden="false" customHeight="false" outlineLevel="0" collapsed="false">
      <c r="A163" s="4" t="s">
        <v>3071</v>
      </c>
      <c r="B163" s="4" t="s">
        <v>3072</v>
      </c>
      <c r="C163" s="4" t="s">
        <v>3073</v>
      </c>
    </row>
    <row r="164" customFormat="false" ht="15" hidden="false" customHeight="false" outlineLevel="0" collapsed="false">
      <c r="A164" s="4" t="s">
        <v>3074</v>
      </c>
      <c r="B164" s="4" t="s">
        <v>3075</v>
      </c>
      <c r="C164" s="4" t="s">
        <v>3076</v>
      </c>
    </row>
    <row r="165" customFormat="false" ht="15" hidden="false" customHeight="false" outlineLevel="0" collapsed="false">
      <c r="A165" s="4" t="s">
        <v>3077</v>
      </c>
      <c r="B165" s="4" t="s">
        <v>3078</v>
      </c>
      <c r="C165" s="4" t="s">
        <v>3079</v>
      </c>
    </row>
    <row r="168" customFormat="false" ht="15" hidden="false" customHeight="false" outlineLevel="0" collapsed="false">
      <c r="A168" s="17" t="s">
        <v>3080</v>
      </c>
      <c r="B168" s="18"/>
    </row>
    <row r="169" customFormat="false" ht="15" hidden="false" customHeight="false" outlineLevel="0" collapsed="false">
      <c r="A169" s="19" t="s">
        <v>3081</v>
      </c>
    </row>
    <row r="170" customFormat="false" ht="15" hidden="false" customHeight="false" outlineLevel="0" collapsed="false">
      <c r="A170" s="24" t="s">
        <v>1459</v>
      </c>
    </row>
    <row r="171" customFormat="false" ht="15" hidden="false" customHeight="false" outlineLevel="0" collapsed="false">
      <c r="A171" s="21" t="s">
        <v>3082</v>
      </c>
    </row>
    <row r="172" customFormat="false" ht="15" hidden="false" customHeight="false" outlineLevel="0" collapsed="false">
      <c r="A172" s="21" t="s">
        <v>3083</v>
      </c>
    </row>
    <row r="173" customFormat="false" ht="15" hidden="false" customHeight="false" outlineLevel="0" collapsed="false">
      <c r="A173" s="22" t="s">
        <v>3084</v>
      </c>
      <c r="B173" s="22" t="s">
        <v>3085</v>
      </c>
    </row>
    <row r="174" customFormat="false" ht="15" hidden="false" customHeight="false" outlineLevel="0" collapsed="false">
      <c r="A174" s="4" t="s">
        <v>2093</v>
      </c>
      <c r="B174" s="4" t="s">
        <v>3086</v>
      </c>
    </row>
    <row r="175" customFormat="false" ht="23.85" hidden="false" customHeight="false" outlineLevel="0" collapsed="false">
      <c r="A175" s="4" t="s">
        <v>3087</v>
      </c>
      <c r="B175" s="4" t="s">
        <v>3088</v>
      </c>
    </row>
    <row r="176" customFormat="false" ht="15" hidden="false" customHeight="false" outlineLevel="0" collapsed="false">
      <c r="A176" s="4" t="s">
        <v>3089</v>
      </c>
      <c r="B176" s="4" t="s">
        <v>3090</v>
      </c>
    </row>
    <row r="177" customFormat="false" ht="23.85" hidden="false" customHeight="false" outlineLevel="0" collapsed="false">
      <c r="A177" s="4" t="s">
        <v>3091</v>
      </c>
      <c r="B177" s="4" t="s">
        <v>3092</v>
      </c>
    </row>
    <row r="178" customFormat="false" ht="15" hidden="false" customHeight="false" outlineLevel="0" collapsed="false">
      <c r="A178" s="4" t="s">
        <v>3093</v>
      </c>
      <c r="B178" s="4" t="s">
        <v>3094</v>
      </c>
    </row>
    <row r="181" customFormat="false" ht="15" hidden="false" customHeight="false" outlineLevel="0" collapsed="false">
      <c r="A181" s="17" t="s">
        <v>3095</v>
      </c>
      <c r="B181" s="18"/>
      <c r="C181" s="18"/>
      <c r="D181" s="18"/>
      <c r="E181" s="18"/>
    </row>
    <row r="182" customFormat="false" ht="15" hidden="false" customHeight="false" outlineLevel="0" collapsed="false">
      <c r="A182" s="19" t="s">
        <v>3096</v>
      </c>
    </row>
    <row r="183" customFormat="false" ht="15" hidden="false" customHeight="false" outlineLevel="0" collapsed="false">
      <c r="A183" s="26" t="s">
        <v>2179</v>
      </c>
    </row>
    <row r="184" customFormat="false" ht="15" hidden="false" customHeight="false" outlineLevel="0" collapsed="false">
      <c r="A184" s="21" t="s">
        <v>3097</v>
      </c>
    </row>
    <row r="185" customFormat="false" ht="15" hidden="false" customHeight="false" outlineLevel="0" collapsed="false">
      <c r="A185" s="21" t="s">
        <v>3098</v>
      </c>
    </row>
    <row r="186" customFormat="false" ht="23.85" hidden="false" customHeight="false" outlineLevel="0" collapsed="false">
      <c r="A186" s="22" t="s">
        <v>1318</v>
      </c>
      <c r="B186" s="22" t="s">
        <v>3099</v>
      </c>
      <c r="C186" s="22" t="s">
        <v>3100</v>
      </c>
      <c r="D186" s="22" t="s">
        <v>3101</v>
      </c>
      <c r="E186" s="22" t="s">
        <v>3102</v>
      </c>
    </row>
    <row r="187" customFormat="false" ht="15" hidden="false" customHeight="false" outlineLevel="0" collapsed="false">
      <c r="A187" s="4" t="s">
        <v>3103</v>
      </c>
      <c r="B187" s="4" t="n">
        <v>122.6</v>
      </c>
      <c r="C187" s="4" t="n">
        <v>350.4</v>
      </c>
      <c r="D187" s="4" t="n">
        <v>350.4</v>
      </c>
      <c r="E187" s="4" t="n">
        <v>744.6</v>
      </c>
    </row>
    <row r="188" customFormat="false" ht="15" hidden="false" customHeight="false" outlineLevel="0" collapsed="false">
      <c r="A188" s="4" t="s">
        <v>3104</v>
      </c>
      <c r="B188" s="4" t="s">
        <v>3105</v>
      </c>
      <c r="C188" s="4" t="s">
        <v>3106</v>
      </c>
      <c r="D188" s="4" t="s">
        <v>3107</v>
      </c>
      <c r="E188" s="4" t="s">
        <v>3108</v>
      </c>
    </row>
    <row r="189" customFormat="false" ht="15" hidden="false" customHeight="false" outlineLevel="0" collapsed="false">
      <c r="A189" s="4" t="s">
        <v>3109</v>
      </c>
      <c r="B189" s="4" t="n">
        <v>0.81</v>
      </c>
      <c r="C189" s="4" t="n">
        <v>2.4</v>
      </c>
      <c r="D189" s="4" t="n">
        <v>0.05</v>
      </c>
      <c r="E189" s="4" t="n">
        <v>0.93</v>
      </c>
    </row>
    <row r="190" customFormat="false" ht="15" hidden="false" customHeight="false" outlineLevel="0" collapsed="false">
      <c r="A190" s="4" t="s">
        <v>3110</v>
      </c>
      <c r="B190" s="4" t="s">
        <v>3111</v>
      </c>
      <c r="C190" s="4" t="s">
        <v>3112</v>
      </c>
      <c r="D190" s="4" t="s">
        <v>3113</v>
      </c>
      <c r="E190" s="4" t="s">
        <v>3114</v>
      </c>
    </row>
    <row r="191" customFormat="false" ht="15" hidden="false" customHeight="false" outlineLevel="0" collapsed="false">
      <c r="A191" s="4" t="s">
        <v>3040</v>
      </c>
      <c r="B191" s="4" t="n">
        <v>2.1</v>
      </c>
      <c r="C191" s="4" t="n">
        <v>1.95</v>
      </c>
      <c r="D191" s="4" t="n">
        <v>2.18</v>
      </c>
      <c r="E191" s="4" t="n">
        <v>1.73</v>
      </c>
    </row>
    <row r="192" customFormat="false" ht="15" hidden="false" customHeight="false" outlineLevel="0" collapsed="false">
      <c r="A192" s="4" t="s">
        <v>3115</v>
      </c>
      <c r="B192" s="4" t="n">
        <v>3.9</v>
      </c>
      <c r="C192" s="4" t="n">
        <v>3.8</v>
      </c>
      <c r="D192" s="4" t="n">
        <v>2.23</v>
      </c>
      <c r="E192" s="4" t="n">
        <v>1.86</v>
      </c>
    </row>
    <row r="193" customFormat="false" ht="15" hidden="false" customHeight="false" outlineLevel="0" collapsed="false">
      <c r="A193" s="4" t="s">
        <v>3116</v>
      </c>
      <c r="B193" s="4" t="n">
        <v>11</v>
      </c>
      <c r="C193" s="4" t="n">
        <v>12.9</v>
      </c>
      <c r="D193" s="4" t="n">
        <v>0.35</v>
      </c>
      <c r="E193" s="4" t="n">
        <v>0.97</v>
      </c>
    </row>
    <row r="194" customFormat="false" ht="15" hidden="false" customHeight="false" outlineLevel="0" collapsed="false">
      <c r="A194" s="4" t="s">
        <v>3117</v>
      </c>
      <c r="B194" s="4" t="s">
        <v>3118</v>
      </c>
      <c r="C194" s="4" t="s">
        <v>3119</v>
      </c>
      <c r="D194" s="4" t="s">
        <v>3120</v>
      </c>
      <c r="E194" s="4" t="s">
        <v>3121</v>
      </c>
    </row>
    <row r="195" customFormat="false" ht="15" hidden="false" customHeight="false" outlineLevel="0" collapsed="false">
      <c r="A195" s="4" t="s">
        <v>3122</v>
      </c>
      <c r="B195" s="4" t="s">
        <v>3123</v>
      </c>
      <c r="C195" s="4" t="s">
        <v>3124</v>
      </c>
      <c r="D195" s="4" t="s">
        <v>3125</v>
      </c>
      <c r="E195" s="4" t="s">
        <v>3126</v>
      </c>
    </row>
    <row r="196" customFormat="false" ht="15" hidden="false" customHeight="false" outlineLevel="0" collapsed="false">
      <c r="A196" s="4" t="s">
        <v>3127</v>
      </c>
      <c r="B196" s="4" t="s">
        <v>3128</v>
      </c>
      <c r="C196" s="4" t="s">
        <v>3129</v>
      </c>
      <c r="D196" s="4" t="s">
        <v>3130</v>
      </c>
      <c r="E196" s="4" t="s">
        <v>3131</v>
      </c>
    </row>
    <row r="199" customFormat="false" ht="15" hidden="false" customHeight="false" outlineLevel="0" collapsed="false">
      <c r="A199" s="17" t="s">
        <v>3132</v>
      </c>
      <c r="B199" s="18"/>
      <c r="C199" s="18"/>
    </row>
    <row r="200" customFormat="false" ht="15" hidden="false" customHeight="false" outlineLevel="0" collapsed="false">
      <c r="A200" s="19" t="s">
        <v>3133</v>
      </c>
    </row>
    <row r="201" customFormat="false" ht="15" hidden="false" customHeight="false" outlineLevel="0" collapsed="false">
      <c r="A201" s="19" t="s">
        <v>3134</v>
      </c>
    </row>
    <row r="202" customFormat="false" ht="15" hidden="false" customHeight="false" outlineLevel="0" collapsed="false">
      <c r="A202" s="23" t="s">
        <v>1246</v>
      </c>
    </row>
    <row r="203" customFormat="false" ht="15" hidden="false" customHeight="false" outlineLevel="0" collapsed="false">
      <c r="A203" s="21" t="s">
        <v>3135</v>
      </c>
    </row>
    <row r="204" customFormat="false" ht="15" hidden="false" customHeight="false" outlineLevel="0" collapsed="false">
      <c r="A204" s="21" t="s">
        <v>3136</v>
      </c>
    </row>
    <row r="205" customFormat="false" ht="15" hidden="false" customHeight="false" outlineLevel="0" collapsed="false">
      <c r="A205" s="22" t="s">
        <v>1531</v>
      </c>
      <c r="B205" s="22" t="s">
        <v>1319</v>
      </c>
      <c r="C205" s="22" t="s">
        <v>2631</v>
      </c>
    </row>
    <row r="206" customFormat="false" ht="15" hidden="false" customHeight="false" outlineLevel="0" collapsed="false">
      <c r="A206" s="4" t="s">
        <v>3137</v>
      </c>
      <c r="B206" s="4" t="s">
        <v>3138</v>
      </c>
      <c r="C206" s="4" t="s">
        <v>3139</v>
      </c>
    </row>
    <row r="207" customFormat="false" ht="15" hidden="false" customHeight="false" outlineLevel="0" collapsed="false">
      <c r="A207" s="4" t="s">
        <v>3140</v>
      </c>
      <c r="B207" s="4" t="s">
        <v>3141</v>
      </c>
      <c r="C207" s="4" t="s">
        <v>3142</v>
      </c>
    </row>
    <row r="208" customFormat="false" ht="15" hidden="false" customHeight="false" outlineLevel="0" collapsed="false">
      <c r="A208" s="4" t="s">
        <v>3143</v>
      </c>
      <c r="B208" s="4" t="s">
        <v>3144</v>
      </c>
      <c r="C208" s="4" t="s">
        <v>3145</v>
      </c>
    </row>
    <row r="209" customFormat="false" ht="15" hidden="false" customHeight="false" outlineLevel="0" collapsed="false">
      <c r="A209" s="4" t="s">
        <v>3146</v>
      </c>
      <c r="B209" s="4" t="s">
        <v>3147</v>
      </c>
      <c r="C209" s="4" t="s">
        <v>3148</v>
      </c>
    </row>
    <row r="210" customFormat="false" ht="23.85" hidden="false" customHeight="false" outlineLevel="0" collapsed="false">
      <c r="A210" s="4" t="s">
        <v>3149</v>
      </c>
      <c r="B210" s="4" t="s">
        <v>3150</v>
      </c>
      <c r="C210" s="4" t="s">
        <v>3151</v>
      </c>
    </row>
    <row r="213" customFormat="false" ht="15" hidden="false" customHeight="false" outlineLevel="0" collapsed="false">
      <c r="A213" s="17" t="s">
        <v>3152</v>
      </c>
      <c r="B213" s="18"/>
    </row>
    <row r="214" customFormat="false" ht="15" hidden="false" customHeight="false" outlineLevel="0" collapsed="false">
      <c r="A214" s="19" t="s">
        <v>3153</v>
      </c>
    </row>
    <row r="215" customFormat="false" ht="15" hidden="false" customHeight="false" outlineLevel="0" collapsed="false">
      <c r="A215" s="26" t="s">
        <v>2179</v>
      </c>
    </row>
    <row r="216" customFormat="false" ht="15" hidden="false" customHeight="false" outlineLevel="0" collapsed="false">
      <c r="A216" s="21" t="s">
        <v>3154</v>
      </c>
    </row>
    <row r="217" customFormat="false" ht="15" hidden="false" customHeight="false" outlineLevel="0" collapsed="false">
      <c r="A217" s="21" t="s">
        <v>3155</v>
      </c>
    </row>
    <row r="218" customFormat="false" ht="15" hidden="false" customHeight="false" outlineLevel="0" collapsed="false">
      <c r="A218" s="22" t="s">
        <v>3156</v>
      </c>
      <c r="B218" s="22" t="s">
        <v>3157</v>
      </c>
    </row>
    <row r="219" customFormat="false" ht="15" hidden="false" customHeight="false" outlineLevel="0" collapsed="false">
      <c r="A219" s="4" t="s">
        <v>3158</v>
      </c>
      <c r="B219" s="4" t="s">
        <v>3159</v>
      </c>
    </row>
    <row r="220" customFormat="false" ht="15" hidden="false" customHeight="false" outlineLevel="0" collapsed="false">
      <c r="A220" s="4" t="s">
        <v>3160</v>
      </c>
      <c r="B220" s="4" t="s">
        <v>3161</v>
      </c>
    </row>
    <row r="221" customFormat="false" ht="23.85" hidden="false" customHeight="false" outlineLevel="0" collapsed="false">
      <c r="A221" s="4" t="s">
        <v>3162</v>
      </c>
      <c r="B221" s="4" t="s">
        <v>3163</v>
      </c>
    </row>
    <row r="222" customFormat="false" ht="15" hidden="false" customHeight="false" outlineLevel="0" collapsed="false">
      <c r="A222" s="4" t="s">
        <v>3164</v>
      </c>
      <c r="B222" s="4" t="s">
        <v>3165</v>
      </c>
    </row>
    <row r="223" customFormat="false" ht="15" hidden="false" customHeight="false" outlineLevel="0" collapsed="false">
      <c r="A223" s="4" t="s">
        <v>3166</v>
      </c>
      <c r="B223" s="4" t="s">
        <v>3167</v>
      </c>
    </row>
    <row r="224" customFormat="false" ht="23.85" hidden="false" customHeight="false" outlineLevel="0" collapsed="false">
      <c r="A224" s="4" t="s">
        <v>3168</v>
      </c>
      <c r="B224" s="4" t="s">
        <v>3169</v>
      </c>
    </row>
    <row r="225" customFormat="false" ht="15" hidden="false" customHeight="false" outlineLevel="0" collapsed="false">
      <c r="A225" s="4" t="s">
        <v>3170</v>
      </c>
      <c r="B225" s="4" t="s">
        <v>3171</v>
      </c>
    </row>
    <row r="226" customFormat="false" ht="15" hidden="false" customHeight="false" outlineLevel="0" collapsed="false">
      <c r="A226" s="4" t="s">
        <v>3172</v>
      </c>
      <c r="B226" s="4" t="s">
        <v>3173</v>
      </c>
    </row>
    <row r="229" customFormat="false" ht="15" hidden="false" customHeight="false" outlineLevel="0" collapsed="false">
      <c r="A229" s="17" t="s">
        <v>3174</v>
      </c>
      <c r="B229" s="18"/>
      <c r="C229" s="18"/>
      <c r="D229" s="18"/>
    </row>
    <row r="230" customFormat="false" ht="15" hidden="false" customHeight="false" outlineLevel="0" collapsed="false">
      <c r="A230" s="19" t="s">
        <v>3175</v>
      </c>
    </row>
    <row r="231" customFormat="false" ht="15" hidden="false" customHeight="false" outlineLevel="0" collapsed="false">
      <c r="A231" s="23" t="s">
        <v>1246</v>
      </c>
    </row>
    <row r="232" customFormat="false" ht="15" hidden="false" customHeight="false" outlineLevel="0" collapsed="false">
      <c r="A232" s="21" t="s">
        <v>3176</v>
      </c>
    </row>
    <row r="233" customFormat="false" ht="15" hidden="false" customHeight="false" outlineLevel="0" collapsed="false">
      <c r="A233" s="21" t="s">
        <v>3177</v>
      </c>
    </row>
    <row r="234" customFormat="false" ht="15" hidden="false" customHeight="false" outlineLevel="0" collapsed="false">
      <c r="A234" s="22" t="s">
        <v>2784</v>
      </c>
      <c r="B234" s="22" t="s">
        <v>1512</v>
      </c>
      <c r="C234" s="22" t="s">
        <v>3178</v>
      </c>
      <c r="D234" s="22" t="s">
        <v>3179</v>
      </c>
    </row>
    <row r="235" customFormat="false" ht="91" hidden="false" customHeight="false" outlineLevel="0" collapsed="false">
      <c r="A235" s="4" t="s">
        <v>3180</v>
      </c>
      <c r="B235" s="4" t="s">
        <v>3181</v>
      </c>
      <c r="C235" s="4" t="s">
        <v>3182</v>
      </c>
      <c r="D235" s="4" t="s">
        <v>3183</v>
      </c>
    </row>
    <row r="236" customFormat="false" ht="35.05" hidden="false" customHeight="false" outlineLevel="0" collapsed="false">
      <c r="A236" s="4" t="s">
        <v>3184</v>
      </c>
      <c r="B236" s="4" t="s">
        <v>3185</v>
      </c>
      <c r="C236" s="4" t="s">
        <v>3186</v>
      </c>
      <c r="D236" s="4" t="s">
        <v>3187</v>
      </c>
    </row>
    <row r="237" customFormat="false" ht="15" hidden="false" customHeight="false" outlineLevel="0" collapsed="false">
      <c r="A237" s="4" t="s">
        <v>3188</v>
      </c>
      <c r="B237" s="4" t="s">
        <v>3189</v>
      </c>
      <c r="C237" s="4" t="s">
        <v>3190</v>
      </c>
      <c r="D237" s="4" t="s">
        <v>3191</v>
      </c>
    </row>
    <row r="238" customFormat="false" ht="15" hidden="false" customHeight="false" outlineLevel="0" collapsed="false">
      <c r="A238" s="4" t="s">
        <v>3192</v>
      </c>
      <c r="B238" s="4" t="s">
        <v>3193</v>
      </c>
      <c r="C238" s="4" t="s">
        <v>3194</v>
      </c>
      <c r="D238" s="4" t="s">
        <v>3195</v>
      </c>
    </row>
    <row r="239" customFormat="false" ht="35.05" hidden="false" customHeight="false" outlineLevel="0" collapsed="false">
      <c r="A239" s="4" t="s">
        <v>3196</v>
      </c>
      <c r="B239" s="4" t="s">
        <v>3197</v>
      </c>
      <c r="C239" s="4" t="s">
        <v>3198</v>
      </c>
      <c r="D239" s="4" t="s">
        <v>3199</v>
      </c>
    </row>
    <row r="242" customFormat="false" ht="15" hidden="false" customHeight="false" outlineLevel="0" collapsed="false">
      <c r="A242" s="17" t="s">
        <v>3200</v>
      </c>
      <c r="B242" s="18"/>
      <c r="C242" s="18"/>
      <c r="D242" s="18"/>
    </row>
    <row r="243" customFormat="false" ht="15" hidden="false" customHeight="false" outlineLevel="0" collapsed="false">
      <c r="A243" s="19" t="s">
        <v>3201</v>
      </c>
    </row>
    <row r="244" customFormat="false" ht="15" hidden="false" customHeight="false" outlineLevel="0" collapsed="false">
      <c r="A244" s="19" t="s">
        <v>3202</v>
      </c>
    </row>
    <row r="245" customFormat="false" ht="15" hidden="false" customHeight="false" outlineLevel="0" collapsed="false">
      <c r="A245" s="24" t="s">
        <v>1459</v>
      </c>
    </row>
    <row r="246" customFormat="false" ht="15" hidden="false" customHeight="false" outlineLevel="0" collapsed="false">
      <c r="A246" s="21" t="s">
        <v>3203</v>
      </c>
    </row>
    <row r="247" customFormat="false" ht="15" hidden="false" customHeight="false" outlineLevel="0" collapsed="false">
      <c r="A247" s="21" t="s">
        <v>3204</v>
      </c>
    </row>
    <row r="248" customFormat="false" ht="15" hidden="false" customHeight="false" outlineLevel="0" collapsed="false">
      <c r="A248" s="22" t="s">
        <v>3205</v>
      </c>
      <c r="B248" s="22" t="s">
        <v>3206</v>
      </c>
      <c r="C248" s="22" t="s">
        <v>3207</v>
      </c>
      <c r="D248" s="22" t="s">
        <v>3208</v>
      </c>
    </row>
    <row r="249" customFormat="false" ht="15" hidden="false" customHeight="false" outlineLevel="0" collapsed="false">
      <c r="A249" s="4" t="s">
        <v>3209</v>
      </c>
      <c r="B249" s="4" t="s">
        <v>3210</v>
      </c>
      <c r="C249" s="4" t="s">
        <v>3211</v>
      </c>
      <c r="D249" s="4" t="s">
        <v>3212</v>
      </c>
    </row>
    <row r="250" customFormat="false" ht="15" hidden="false" customHeight="false" outlineLevel="0" collapsed="false">
      <c r="A250" s="4" t="s">
        <v>3213</v>
      </c>
      <c r="B250" s="4" t="s">
        <v>3211</v>
      </c>
      <c r="C250" s="4" t="s">
        <v>3212</v>
      </c>
      <c r="D250" s="4" t="s">
        <v>3214</v>
      </c>
    </row>
    <row r="251" customFormat="false" ht="15" hidden="false" customHeight="false" outlineLevel="0" collapsed="false">
      <c r="A251" s="4" t="s">
        <v>3215</v>
      </c>
      <c r="B251" s="4" t="s">
        <v>3216</v>
      </c>
      <c r="C251" s="4" t="s">
        <v>3217</v>
      </c>
      <c r="D251" s="4" t="s">
        <v>3218</v>
      </c>
    </row>
    <row r="252" customFormat="false" ht="15" hidden="false" customHeight="false" outlineLevel="0" collapsed="false">
      <c r="A252" s="4" t="s">
        <v>3219</v>
      </c>
      <c r="B252" s="4" t="s">
        <v>3217</v>
      </c>
      <c r="C252" s="4" t="s">
        <v>3220</v>
      </c>
      <c r="D252" s="4" t="s">
        <v>3212</v>
      </c>
    </row>
    <row r="255" customFormat="false" ht="15" hidden="false" customHeight="false" outlineLevel="0" collapsed="false">
      <c r="A255" s="17" t="s">
        <v>3221</v>
      </c>
      <c r="B255" s="18"/>
      <c r="C255" s="18"/>
      <c r="D255" s="18"/>
      <c r="E255" s="18"/>
      <c r="F255" s="18"/>
      <c r="G255" s="18"/>
      <c r="H255" s="18"/>
    </row>
    <row r="256" customFormat="false" ht="15" hidden="false" customHeight="false" outlineLevel="0" collapsed="false">
      <c r="A256" s="19" t="s">
        <v>3222</v>
      </c>
    </row>
    <row r="257" customFormat="false" ht="15" hidden="false" customHeight="false" outlineLevel="0" collapsed="false">
      <c r="A257" s="19" t="s">
        <v>3223</v>
      </c>
    </row>
    <row r="258" customFormat="false" ht="15" hidden="false" customHeight="false" outlineLevel="0" collapsed="false">
      <c r="A258" s="26" t="s">
        <v>2179</v>
      </c>
    </row>
    <row r="259" customFormat="false" ht="15" hidden="false" customHeight="false" outlineLevel="0" collapsed="false">
      <c r="A259" s="21" t="s">
        <v>3224</v>
      </c>
    </row>
    <row r="260" customFormat="false" ht="15" hidden="false" customHeight="false" outlineLevel="0" collapsed="false">
      <c r="A260" s="21" t="s">
        <v>3225</v>
      </c>
    </row>
    <row r="261" customFormat="false" ht="15" hidden="false" customHeight="false" outlineLevel="0" collapsed="false">
      <c r="A261" s="22" t="s">
        <v>2655</v>
      </c>
      <c r="B261" s="22" t="s">
        <v>3226</v>
      </c>
      <c r="C261" s="22" t="s">
        <v>3227</v>
      </c>
      <c r="D261" s="22" t="s">
        <v>3228</v>
      </c>
      <c r="E261" s="22" t="s">
        <v>3229</v>
      </c>
      <c r="F261" s="22" t="s">
        <v>3230</v>
      </c>
      <c r="G261" s="22" t="s">
        <v>3231</v>
      </c>
      <c r="H261" s="22" t="s">
        <v>3232</v>
      </c>
    </row>
    <row r="262" customFormat="false" ht="15" hidden="false" customHeight="false" outlineLevel="0" collapsed="false">
      <c r="A262" s="4" t="s">
        <v>3233</v>
      </c>
      <c r="B262" s="4" t="n">
        <v>508.7</v>
      </c>
      <c r="C262" s="4" t="n">
        <v>100</v>
      </c>
      <c r="D262" s="4" t="n">
        <v>50.9</v>
      </c>
      <c r="E262" s="4" t="n">
        <v>683</v>
      </c>
      <c r="F262" s="4" t="n">
        <v>34.2</v>
      </c>
      <c r="G262" s="4" t="n">
        <v>85</v>
      </c>
      <c r="H262" s="4" t="s">
        <v>3234</v>
      </c>
    </row>
    <row r="263" customFormat="false" ht="15" hidden="false" customHeight="false" outlineLevel="0" collapsed="false">
      <c r="A263" s="4" t="s">
        <v>3235</v>
      </c>
      <c r="B263" s="4" t="n">
        <v>508.7</v>
      </c>
      <c r="C263" s="4" t="n">
        <v>60</v>
      </c>
      <c r="D263" s="4" t="n">
        <v>30.5</v>
      </c>
      <c r="E263" s="4" t="n">
        <v>683</v>
      </c>
      <c r="F263" s="4" t="n">
        <v>34.2</v>
      </c>
      <c r="G263" s="4" t="n">
        <v>64.7</v>
      </c>
      <c r="H263" s="4" t="s">
        <v>3236</v>
      </c>
    </row>
    <row r="264" customFormat="false" ht="15" hidden="false" customHeight="false" outlineLevel="0" collapsed="false">
      <c r="A264" s="4" t="s">
        <v>3237</v>
      </c>
      <c r="B264" s="4" t="n">
        <v>508.7</v>
      </c>
      <c r="C264" s="4" t="n">
        <v>30</v>
      </c>
      <c r="D264" s="4" t="n">
        <v>15.3</v>
      </c>
      <c r="E264" s="4" t="n">
        <v>683</v>
      </c>
      <c r="F264" s="4" t="n">
        <v>34.2</v>
      </c>
      <c r="G264" s="4" t="n">
        <v>49.4</v>
      </c>
      <c r="H264" s="4" t="s">
        <v>3238</v>
      </c>
    </row>
    <row r="265" customFormat="false" ht="15" hidden="false" customHeight="false" outlineLevel="0" collapsed="false">
      <c r="A265" s="4" t="s">
        <v>3239</v>
      </c>
      <c r="B265" s="4" t="n">
        <v>17.5</v>
      </c>
      <c r="C265" s="4" t="n">
        <v>60</v>
      </c>
      <c r="D265" s="4" t="n">
        <v>1.1</v>
      </c>
      <c r="E265" s="4" t="n">
        <v>762</v>
      </c>
      <c r="F265" s="4" t="n">
        <v>38.1</v>
      </c>
      <c r="G265" s="4" t="n">
        <v>39.2</v>
      </c>
      <c r="H265" s="4" t="s">
        <v>3240</v>
      </c>
    </row>
    <row r="266" customFormat="false" ht="15" hidden="false" customHeight="false" outlineLevel="0" collapsed="false">
      <c r="A266" s="4" t="s">
        <v>3241</v>
      </c>
      <c r="B266" s="4" t="n">
        <v>17.5</v>
      </c>
      <c r="C266" s="4" t="n">
        <v>60</v>
      </c>
      <c r="D266" s="4" t="n">
        <v>1.1</v>
      </c>
      <c r="E266" s="4" t="n">
        <v>51</v>
      </c>
      <c r="F266" s="4" t="n">
        <v>2.5</v>
      </c>
      <c r="G266" s="4" t="n">
        <v>3.6</v>
      </c>
      <c r="H266" s="4" t="s">
        <v>3242</v>
      </c>
    </row>
    <row r="267" customFormat="false" ht="15" hidden="false" customHeight="false" outlineLevel="0" collapsed="false">
      <c r="A267" s="4" t="s">
        <v>3243</v>
      </c>
      <c r="B267" s="4" t="s">
        <v>3244</v>
      </c>
      <c r="C267" s="4" t="n">
        <v>30</v>
      </c>
      <c r="D267" s="4" t="n">
        <v>2.4</v>
      </c>
      <c r="E267" s="4" t="n">
        <v>1284</v>
      </c>
      <c r="F267" s="4" t="n">
        <v>64.2</v>
      </c>
      <c r="G267" s="4" t="s">
        <v>3245</v>
      </c>
      <c r="H267" s="4" t="s">
        <v>3246</v>
      </c>
    </row>
    <row r="270" customFormat="false" ht="15" hidden="false" customHeight="false" outlineLevel="0" collapsed="false">
      <c r="A270" s="17" t="s">
        <v>3247</v>
      </c>
      <c r="B270" s="18"/>
      <c r="C270" s="18"/>
      <c r="D270" s="18"/>
      <c r="E270" s="18"/>
      <c r="F270" s="18"/>
      <c r="G270" s="18"/>
    </row>
    <row r="271" customFormat="false" ht="15" hidden="false" customHeight="false" outlineLevel="0" collapsed="false">
      <c r="A271" s="19" t="s">
        <v>3248</v>
      </c>
    </row>
    <row r="272" customFormat="false" ht="15" hidden="false" customHeight="false" outlineLevel="0" collapsed="false">
      <c r="A272" s="19" t="s">
        <v>3249</v>
      </c>
    </row>
    <row r="273" customFormat="false" ht="15" hidden="false" customHeight="false" outlineLevel="0" collapsed="false">
      <c r="A273" s="24" t="s">
        <v>1459</v>
      </c>
    </row>
    <row r="274" customFormat="false" ht="15" hidden="false" customHeight="false" outlineLevel="0" collapsed="false">
      <c r="A274" s="21" t="s">
        <v>3250</v>
      </c>
    </row>
    <row r="275" customFormat="false" ht="15" hidden="false" customHeight="false" outlineLevel="0" collapsed="false">
      <c r="A275" s="21" t="s">
        <v>3251</v>
      </c>
    </row>
    <row r="276" customFormat="false" ht="15" hidden="false" customHeight="false" outlineLevel="0" collapsed="false">
      <c r="A276" s="22" t="s">
        <v>3252</v>
      </c>
      <c r="B276" s="22" t="s">
        <v>3253</v>
      </c>
      <c r="C276" s="22" t="s">
        <v>3254</v>
      </c>
      <c r="D276" s="22" t="s">
        <v>3237</v>
      </c>
      <c r="E276" s="22" t="s">
        <v>3255</v>
      </c>
      <c r="F276" s="22" t="s">
        <v>3256</v>
      </c>
      <c r="G276" s="22" t="s">
        <v>3257</v>
      </c>
    </row>
    <row r="277" customFormat="false" ht="15" hidden="false" customHeight="false" outlineLevel="0" collapsed="false">
      <c r="A277" s="4" t="s">
        <v>3258</v>
      </c>
      <c r="B277" s="4" t="n">
        <v>5</v>
      </c>
      <c r="C277" s="4" t="n">
        <v>5</v>
      </c>
      <c r="D277" s="4" t="n">
        <v>5</v>
      </c>
      <c r="E277" s="4" t="n">
        <v>1</v>
      </c>
      <c r="F277" s="4" t="n">
        <v>2</v>
      </c>
      <c r="G277" s="4" t="n">
        <v>1</v>
      </c>
    </row>
    <row r="278" customFormat="false" ht="15" hidden="false" customHeight="false" outlineLevel="0" collapsed="false">
      <c r="A278" s="4" t="s">
        <v>3259</v>
      </c>
      <c r="B278" s="4" t="n">
        <v>5</v>
      </c>
      <c r="C278" s="4" t="n">
        <v>4</v>
      </c>
      <c r="D278" s="4" t="n">
        <v>3</v>
      </c>
      <c r="E278" s="4" t="n">
        <v>2</v>
      </c>
      <c r="F278" s="4" t="n">
        <v>3</v>
      </c>
      <c r="G278" s="4" t="n">
        <v>2</v>
      </c>
    </row>
    <row r="279" customFormat="false" ht="15" hidden="false" customHeight="false" outlineLevel="0" collapsed="false">
      <c r="A279" s="4" t="s">
        <v>3260</v>
      </c>
      <c r="B279" s="4" t="n">
        <v>4</v>
      </c>
      <c r="C279" s="4" t="n">
        <v>4</v>
      </c>
      <c r="D279" s="4" t="n">
        <v>4</v>
      </c>
      <c r="E279" s="4" t="n">
        <v>1</v>
      </c>
      <c r="F279" s="4" t="n">
        <v>4</v>
      </c>
      <c r="G279" s="4" t="n">
        <v>1</v>
      </c>
    </row>
    <row r="280" customFormat="false" ht="15" hidden="false" customHeight="false" outlineLevel="0" collapsed="false">
      <c r="A280" s="4" t="s">
        <v>3261</v>
      </c>
      <c r="B280" s="4" t="n">
        <v>5</v>
      </c>
      <c r="C280" s="4" t="n">
        <v>4</v>
      </c>
      <c r="D280" s="4" t="n">
        <v>4</v>
      </c>
      <c r="E280" s="4" t="n">
        <v>4</v>
      </c>
      <c r="F280" s="4" t="n">
        <v>4</v>
      </c>
      <c r="G280" s="4" t="n">
        <v>4</v>
      </c>
    </row>
    <row r="281" customFormat="false" ht="15" hidden="false" customHeight="false" outlineLevel="0" collapsed="false">
      <c r="A281" s="4" t="s">
        <v>3262</v>
      </c>
      <c r="B281" s="4" t="n">
        <v>3</v>
      </c>
      <c r="C281" s="4" t="n">
        <v>3</v>
      </c>
      <c r="D281" s="4" t="n">
        <v>3</v>
      </c>
      <c r="E281" s="4" t="n">
        <v>4</v>
      </c>
      <c r="F281" s="4" t="n">
        <v>3</v>
      </c>
      <c r="G281" s="4" t="n">
        <v>1</v>
      </c>
    </row>
    <row r="282" customFormat="false" ht="15" hidden="false" customHeight="false" outlineLevel="0" collapsed="false">
      <c r="A282" s="4" t="s">
        <v>2776</v>
      </c>
      <c r="B282" s="4" t="n">
        <v>4.6</v>
      </c>
      <c r="C282" s="4" t="n">
        <v>4</v>
      </c>
      <c r="D282" s="4" t="n">
        <v>3.8</v>
      </c>
      <c r="E282" s="4" t="n">
        <v>2.6</v>
      </c>
      <c r="F282" s="4" t="n">
        <v>3.3</v>
      </c>
      <c r="G282" s="4" t="n">
        <v>1.9</v>
      </c>
    </row>
    <row r="283" customFormat="false" ht="15" hidden="false" customHeight="false" outlineLevel="0" collapsed="false">
      <c r="A283" s="4" t="s">
        <v>3263</v>
      </c>
      <c r="B283" s="4" t="s">
        <v>3264</v>
      </c>
      <c r="C283" s="4" t="s">
        <v>3265</v>
      </c>
      <c r="D283" s="4" t="s">
        <v>3266</v>
      </c>
      <c r="E283" s="4" t="s">
        <v>3267</v>
      </c>
      <c r="F283" s="4" t="s">
        <v>3268</v>
      </c>
      <c r="G283" s="4" t="s">
        <v>3269</v>
      </c>
    </row>
    <row r="286" customFormat="false" ht="15" hidden="false" customHeight="false" outlineLevel="0" collapsed="false">
      <c r="A286" s="17" t="s">
        <v>3270</v>
      </c>
      <c r="B286" s="18"/>
      <c r="C286" s="18"/>
    </row>
    <row r="287" customFormat="false" ht="15" hidden="false" customHeight="false" outlineLevel="0" collapsed="false">
      <c r="A287" s="19" t="s">
        <v>3271</v>
      </c>
    </row>
    <row r="288" customFormat="false" ht="15" hidden="false" customHeight="false" outlineLevel="0" collapsed="false">
      <c r="A288" s="23" t="s">
        <v>1246</v>
      </c>
    </row>
    <row r="289" customFormat="false" ht="15" hidden="false" customHeight="false" outlineLevel="0" collapsed="false">
      <c r="A289" s="21" t="s">
        <v>3272</v>
      </c>
    </row>
    <row r="290" customFormat="false" ht="15" hidden="false" customHeight="false" outlineLevel="0" collapsed="false">
      <c r="A290" s="21" t="s">
        <v>3273</v>
      </c>
    </row>
    <row r="291" customFormat="false" ht="15" hidden="false" customHeight="false" outlineLevel="0" collapsed="false">
      <c r="A291" s="22" t="s">
        <v>1986</v>
      </c>
      <c r="B291" s="22" t="s">
        <v>3274</v>
      </c>
      <c r="C291" s="22" t="s">
        <v>3275</v>
      </c>
    </row>
    <row r="292" customFormat="false" ht="68.65" hidden="false" customHeight="false" outlineLevel="0" collapsed="false">
      <c r="A292" s="4" t="s">
        <v>3276</v>
      </c>
      <c r="B292" s="4" t="s">
        <v>3277</v>
      </c>
      <c r="C292" s="4" t="s">
        <v>3278</v>
      </c>
    </row>
    <row r="293" customFormat="false" ht="57.45" hidden="false" customHeight="false" outlineLevel="0" collapsed="false">
      <c r="A293" s="4" t="s">
        <v>3279</v>
      </c>
      <c r="B293" s="4" t="s">
        <v>3280</v>
      </c>
      <c r="C293" s="4" t="s">
        <v>3281</v>
      </c>
    </row>
    <row r="294" customFormat="false" ht="35.05" hidden="false" customHeight="false" outlineLevel="0" collapsed="false">
      <c r="A294" s="4" t="s">
        <v>3282</v>
      </c>
      <c r="B294" s="4" t="s">
        <v>3283</v>
      </c>
      <c r="C294" s="4" t="s">
        <v>3284</v>
      </c>
    </row>
    <row r="295" customFormat="false" ht="35.05" hidden="false" customHeight="false" outlineLevel="0" collapsed="false">
      <c r="A295" s="4" t="s">
        <v>3285</v>
      </c>
      <c r="B295" s="4" t="s">
        <v>3286</v>
      </c>
      <c r="C295" s="4" t="s">
        <v>3287</v>
      </c>
    </row>
    <row r="298" customFormat="false" ht="15" hidden="false" customHeight="false" outlineLevel="0" collapsed="false">
      <c r="A298" s="17" t="s">
        <v>3288</v>
      </c>
      <c r="B298" s="18"/>
      <c r="C298" s="18"/>
      <c r="D298" s="18"/>
    </row>
    <row r="299" customFormat="false" ht="15" hidden="false" customHeight="false" outlineLevel="0" collapsed="false">
      <c r="A299" s="19" t="s">
        <v>3289</v>
      </c>
    </row>
    <row r="300" customFormat="false" ht="15" hidden="false" customHeight="false" outlineLevel="0" collapsed="false">
      <c r="A300" s="24" t="s">
        <v>1459</v>
      </c>
    </row>
    <row r="301" customFormat="false" ht="15" hidden="false" customHeight="false" outlineLevel="0" collapsed="false">
      <c r="A301" s="21" t="s">
        <v>3290</v>
      </c>
    </row>
    <row r="302" customFormat="false" ht="15" hidden="false" customHeight="false" outlineLevel="0" collapsed="false">
      <c r="A302" s="21" t="s">
        <v>3291</v>
      </c>
    </row>
    <row r="303" customFormat="false" ht="15" hidden="false" customHeight="false" outlineLevel="0" collapsed="false">
      <c r="A303" s="22" t="s">
        <v>2</v>
      </c>
      <c r="B303" s="22" t="s">
        <v>1318</v>
      </c>
      <c r="C303" s="22" t="s">
        <v>3292</v>
      </c>
      <c r="D303" s="22" t="s">
        <v>2631</v>
      </c>
    </row>
    <row r="304" customFormat="false" ht="15" hidden="false" customHeight="false" outlineLevel="0" collapsed="false">
      <c r="A304" s="4" t="n">
        <v>1</v>
      </c>
      <c r="B304" s="4" t="s">
        <v>3293</v>
      </c>
      <c r="C304" s="4" t="s">
        <v>3294</v>
      </c>
      <c r="D304" s="4" t="s">
        <v>3295</v>
      </c>
    </row>
    <row r="305" customFormat="false" ht="15" hidden="false" customHeight="false" outlineLevel="0" collapsed="false">
      <c r="A305" s="4" t="n">
        <v>2</v>
      </c>
      <c r="B305" s="4" t="s">
        <v>3296</v>
      </c>
      <c r="C305" s="4" t="s">
        <v>3297</v>
      </c>
      <c r="D305" s="4" t="s">
        <v>3298</v>
      </c>
    </row>
    <row r="306" customFormat="false" ht="15" hidden="false" customHeight="false" outlineLevel="0" collapsed="false">
      <c r="A306" s="4" t="n">
        <v>3</v>
      </c>
      <c r="B306" s="4" t="s">
        <v>3299</v>
      </c>
      <c r="C306" s="4" t="s">
        <v>3300</v>
      </c>
      <c r="D306" s="4" t="s">
        <v>3301</v>
      </c>
    </row>
    <row r="307" customFormat="false" ht="23.85" hidden="false" customHeight="false" outlineLevel="0" collapsed="false">
      <c r="A307" s="4" t="n">
        <v>4</v>
      </c>
      <c r="B307" s="4" t="s">
        <v>3302</v>
      </c>
      <c r="C307" s="4" t="s">
        <v>3303</v>
      </c>
      <c r="D307" s="4" t="s">
        <v>3304</v>
      </c>
    </row>
    <row r="308" customFormat="false" ht="15" hidden="false" customHeight="false" outlineLevel="0" collapsed="false">
      <c r="A308" s="4" t="n">
        <v>5</v>
      </c>
      <c r="B308" s="4" t="s">
        <v>3305</v>
      </c>
      <c r="C308" s="4" t="s">
        <v>3306</v>
      </c>
      <c r="D308" s="4" t="s">
        <v>3304</v>
      </c>
    </row>
    <row r="309" customFormat="false" ht="15" hidden="false" customHeight="false" outlineLevel="0" collapsed="false">
      <c r="A309" s="4" t="n">
        <v>6</v>
      </c>
      <c r="B309" s="4" t="s">
        <v>3307</v>
      </c>
      <c r="C309" s="4" t="s">
        <v>3308</v>
      </c>
      <c r="D309" s="4" t="s">
        <v>3309</v>
      </c>
    </row>
    <row r="310" customFormat="false" ht="15" hidden="false" customHeight="false" outlineLevel="0" collapsed="false">
      <c r="A310" s="4" t="n">
        <v>7</v>
      </c>
      <c r="B310" s="4" t="s">
        <v>3310</v>
      </c>
      <c r="C310" s="4" t="s">
        <v>3311</v>
      </c>
      <c r="D310" s="4" t="s">
        <v>1555</v>
      </c>
    </row>
    <row r="311" customFormat="false" ht="15" hidden="false" customHeight="false" outlineLevel="0" collapsed="false">
      <c r="A311" s="4" t="s">
        <v>3312</v>
      </c>
      <c r="B311" s="4" t="s">
        <v>3313</v>
      </c>
      <c r="C311" s="4" t="s">
        <v>3314</v>
      </c>
      <c r="D311" s="4" t="s">
        <v>3315</v>
      </c>
    </row>
    <row r="314" customFormat="false" ht="15" hidden="false" customHeight="false" outlineLevel="0" collapsed="false">
      <c r="A314" s="17" t="s">
        <v>3316</v>
      </c>
      <c r="B314" s="18"/>
      <c r="C314" s="18"/>
      <c r="D314" s="18"/>
    </row>
    <row r="315" customFormat="false" ht="15" hidden="false" customHeight="false" outlineLevel="0" collapsed="false">
      <c r="A315" s="19" t="s">
        <v>3317</v>
      </c>
    </row>
    <row r="316" customFormat="false" ht="15" hidden="false" customHeight="false" outlineLevel="0" collapsed="false">
      <c r="A316" s="24" t="s">
        <v>1459</v>
      </c>
    </row>
    <row r="317" customFormat="false" ht="15" hidden="false" customHeight="false" outlineLevel="0" collapsed="false">
      <c r="A317" s="21" t="s">
        <v>3318</v>
      </c>
    </row>
    <row r="318" customFormat="false" ht="15" hidden="false" customHeight="false" outlineLevel="0" collapsed="false">
      <c r="A318" s="21" t="s">
        <v>3319</v>
      </c>
    </row>
    <row r="319" customFormat="false" ht="15" hidden="false" customHeight="false" outlineLevel="0" collapsed="false">
      <c r="A319" s="22" t="s">
        <v>3320</v>
      </c>
      <c r="B319" s="22" t="s">
        <v>3321</v>
      </c>
      <c r="C319" s="22" t="s">
        <v>3322</v>
      </c>
      <c r="D319" s="22" t="s">
        <v>3323</v>
      </c>
    </row>
    <row r="320" customFormat="false" ht="15" hidden="false" customHeight="false" outlineLevel="0" collapsed="false">
      <c r="A320" s="4" t="s">
        <v>3324</v>
      </c>
      <c r="B320" s="4" t="s">
        <v>3325</v>
      </c>
      <c r="C320" s="4" t="s">
        <v>3326</v>
      </c>
      <c r="D320" s="4" t="s">
        <v>3327</v>
      </c>
    </row>
    <row r="321" customFormat="false" ht="15" hidden="false" customHeight="false" outlineLevel="0" collapsed="false">
      <c r="A321" s="4" t="s">
        <v>3328</v>
      </c>
      <c r="B321" s="4" t="s">
        <v>3329</v>
      </c>
      <c r="C321" s="4" t="s">
        <v>1555</v>
      </c>
      <c r="D321" s="4" t="s">
        <v>3330</v>
      </c>
    </row>
    <row r="322" customFormat="false" ht="15" hidden="false" customHeight="false" outlineLevel="0" collapsed="false">
      <c r="A322" s="4" t="s">
        <v>3331</v>
      </c>
      <c r="B322" s="4" t="s">
        <v>3332</v>
      </c>
      <c r="C322" s="4" t="s">
        <v>3333</v>
      </c>
      <c r="D322" s="4" t="s">
        <v>3211</v>
      </c>
    </row>
    <row r="323" customFormat="false" ht="15" hidden="false" customHeight="false" outlineLevel="0" collapsed="false">
      <c r="A323" s="4" t="s">
        <v>3334</v>
      </c>
      <c r="B323" s="4" t="s">
        <v>3335</v>
      </c>
      <c r="C323" s="4" t="s">
        <v>3336</v>
      </c>
      <c r="D323" s="4" t="s">
        <v>3337</v>
      </c>
    </row>
    <row r="324" customFormat="false" ht="15" hidden="false" customHeight="false" outlineLevel="0" collapsed="false">
      <c r="A324" s="4" t="s">
        <v>3338</v>
      </c>
      <c r="B324" s="4" t="s">
        <v>3339</v>
      </c>
      <c r="C324" s="4" t="s">
        <v>3340</v>
      </c>
      <c r="D324" s="4" t="s">
        <v>3341</v>
      </c>
    </row>
    <row r="325" customFormat="false" ht="15" hidden="false" customHeight="false" outlineLevel="0" collapsed="false">
      <c r="A325" s="4" t="s">
        <v>3342</v>
      </c>
      <c r="B325" s="4" t="s">
        <v>3343</v>
      </c>
      <c r="C325" s="4" t="s">
        <v>3344</v>
      </c>
      <c r="D325" s="4" t="s">
        <v>3345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56"/>
    <col collapsed="false" customWidth="true" hidden="false" outlineLevel="0" max="4" min="4" style="0" width="53.3"/>
    <col collapsed="false" customWidth="true" hidden="false" outlineLevel="0" max="5" min="5" style="0" width="56"/>
    <col collapsed="false" customWidth="true" hidden="false" outlineLevel="0" max="6" min="6" style="0" width="45.2"/>
    <col collapsed="false" customWidth="true" hidden="false" outlineLevel="0" max="7" min="7" style="0" width="12"/>
  </cols>
  <sheetData>
    <row r="1" customFormat="false" ht="17.35" hidden="false" customHeight="false" outlineLevel="0" collapsed="false">
      <c r="A1" s="1" t="s">
        <v>369</v>
      </c>
    </row>
    <row r="2" customFormat="false" ht="15" hidden="false" customHeight="false" outlineLevel="0" collapsed="false">
      <c r="A2" s="14" t="s">
        <v>3346</v>
      </c>
    </row>
    <row r="4" customFormat="false" ht="15" hidden="false" customHeight="false" outlineLevel="0" collapsed="false">
      <c r="A4" s="17" t="s">
        <v>3347</v>
      </c>
      <c r="B4" s="18"/>
      <c r="C4" s="18"/>
      <c r="D4" s="18"/>
    </row>
    <row r="5" customFormat="false" ht="15" hidden="false" customHeight="false" outlineLevel="0" collapsed="false">
      <c r="A5" s="19" t="s">
        <v>3348</v>
      </c>
    </row>
    <row r="6" customFormat="false" ht="15" hidden="false" customHeight="false" outlineLevel="0" collapsed="false">
      <c r="A6" s="19" t="s">
        <v>3349</v>
      </c>
    </row>
    <row r="7" customFormat="false" ht="15" hidden="false" customHeight="false" outlineLevel="0" collapsed="false">
      <c r="A7" s="23" t="s">
        <v>1246</v>
      </c>
    </row>
    <row r="8" customFormat="false" ht="15" hidden="false" customHeight="false" outlineLevel="0" collapsed="false">
      <c r="A8" s="21" t="s">
        <v>3350</v>
      </c>
    </row>
    <row r="9" customFormat="false" ht="15" hidden="false" customHeight="false" outlineLevel="0" collapsed="false">
      <c r="A9" s="21" t="s">
        <v>3351</v>
      </c>
    </row>
    <row r="10" customFormat="false" ht="15" hidden="false" customHeight="false" outlineLevel="0" collapsed="false">
      <c r="A10" s="22" t="s">
        <v>3352</v>
      </c>
      <c r="B10" s="22" t="s">
        <v>3353</v>
      </c>
      <c r="C10" s="22" t="s">
        <v>3354</v>
      </c>
      <c r="D10" s="22" t="s">
        <v>2508</v>
      </c>
    </row>
    <row r="11" customFormat="false" ht="15" hidden="false" customHeight="false" outlineLevel="0" collapsed="false">
      <c r="A11" s="4" t="s">
        <v>3355</v>
      </c>
      <c r="B11" s="4" t="n">
        <v>15.2</v>
      </c>
      <c r="C11" s="4" t="n">
        <v>137</v>
      </c>
      <c r="D11" s="4" t="s">
        <v>3356</v>
      </c>
    </row>
    <row r="12" customFormat="false" ht="15" hidden="false" customHeight="false" outlineLevel="0" collapsed="false">
      <c r="A12" s="4" t="s">
        <v>3357</v>
      </c>
      <c r="B12" s="4" t="n">
        <v>14.5</v>
      </c>
      <c r="C12" s="4" t="n">
        <v>131</v>
      </c>
      <c r="D12" s="4" t="s">
        <v>3358</v>
      </c>
    </row>
    <row r="13" customFormat="false" ht="15" hidden="false" customHeight="false" outlineLevel="0" collapsed="false">
      <c r="A13" s="4" t="s">
        <v>3359</v>
      </c>
      <c r="B13" s="4" t="n">
        <v>14.2</v>
      </c>
      <c r="C13" s="4" t="n">
        <v>128</v>
      </c>
      <c r="D13" s="4" t="s">
        <v>3360</v>
      </c>
    </row>
    <row r="14" customFormat="false" ht="15" hidden="false" customHeight="false" outlineLevel="0" collapsed="false">
      <c r="A14" s="4" t="s">
        <v>3361</v>
      </c>
      <c r="B14" s="4" t="n">
        <v>13.3</v>
      </c>
      <c r="C14" s="4" t="n">
        <v>120</v>
      </c>
      <c r="D14" s="4" t="s">
        <v>3362</v>
      </c>
    </row>
    <row r="15" customFormat="false" ht="15" hidden="false" customHeight="false" outlineLevel="0" collapsed="false">
      <c r="A15" s="4" t="s">
        <v>3363</v>
      </c>
      <c r="B15" s="4" t="n">
        <v>12.9</v>
      </c>
      <c r="C15" s="4" t="n">
        <v>116</v>
      </c>
      <c r="D15" s="4"/>
    </row>
    <row r="16" customFormat="false" ht="15" hidden="false" customHeight="false" outlineLevel="0" collapsed="false">
      <c r="A16" s="4" t="s">
        <v>3364</v>
      </c>
      <c r="B16" s="4" t="n">
        <v>12.4</v>
      </c>
      <c r="C16" s="4" t="n">
        <v>112</v>
      </c>
      <c r="D16" s="4" t="s">
        <v>3365</v>
      </c>
    </row>
    <row r="17" customFormat="false" ht="15" hidden="false" customHeight="false" outlineLevel="0" collapsed="false">
      <c r="A17" s="4" t="s">
        <v>3366</v>
      </c>
      <c r="B17" s="4" t="n">
        <v>12</v>
      </c>
      <c r="C17" s="4" t="n">
        <v>108</v>
      </c>
      <c r="D17" s="4"/>
    </row>
    <row r="18" customFormat="false" ht="15" hidden="false" customHeight="false" outlineLevel="0" collapsed="false">
      <c r="A18" s="4" t="s">
        <v>3367</v>
      </c>
      <c r="B18" s="4" t="n">
        <v>11.6</v>
      </c>
      <c r="C18" s="4" t="n">
        <v>104</v>
      </c>
      <c r="D18" s="4"/>
    </row>
    <row r="19" customFormat="false" ht="15" hidden="false" customHeight="false" outlineLevel="0" collapsed="false">
      <c r="A19" s="4" t="s">
        <v>3368</v>
      </c>
      <c r="B19" s="4" t="n">
        <v>9.9</v>
      </c>
      <c r="C19" s="4" t="n">
        <v>89</v>
      </c>
      <c r="D19" s="4"/>
    </row>
    <row r="20" customFormat="false" ht="15" hidden="false" customHeight="false" outlineLevel="0" collapsed="false">
      <c r="A20" s="4" t="s">
        <v>3369</v>
      </c>
      <c r="B20" s="4" t="n">
        <v>9.8</v>
      </c>
      <c r="C20" s="4" t="n">
        <v>88</v>
      </c>
      <c r="D20" s="4"/>
    </row>
    <row r="21" customFormat="false" ht="15" hidden="false" customHeight="false" outlineLevel="0" collapsed="false">
      <c r="A21" s="4" t="s">
        <v>3370</v>
      </c>
      <c r="B21" s="4" t="n">
        <v>9.5</v>
      </c>
      <c r="C21" s="4" t="n">
        <v>86</v>
      </c>
      <c r="D21" s="4"/>
    </row>
    <row r="22" customFormat="false" ht="15" hidden="false" customHeight="false" outlineLevel="0" collapsed="false">
      <c r="A22" s="4" t="s">
        <v>3371</v>
      </c>
      <c r="B22" s="4" t="n">
        <v>6.64</v>
      </c>
      <c r="C22" s="4" t="n">
        <v>60</v>
      </c>
      <c r="D22" s="4" t="s">
        <v>3372</v>
      </c>
    </row>
    <row r="25" customFormat="false" ht="15" hidden="false" customHeight="false" outlineLevel="0" collapsed="false">
      <c r="A25" s="17" t="s">
        <v>3373</v>
      </c>
      <c r="B25" s="18"/>
      <c r="C25" s="18"/>
    </row>
    <row r="26" customFormat="false" ht="15" hidden="false" customHeight="false" outlineLevel="0" collapsed="false">
      <c r="A26" s="19" t="s">
        <v>3374</v>
      </c>
    </row>
    <row r="27" customFormat="false" ht="15" hidden="false" customHeight="false" outlineLevel="0" collapsed="false">
      <c r="A27" s="19" t="s">
        <v>3375</v>
      </c>
    </row>
    <row r="28" customFormat="false" ht="15" hidden="false" customHeight="false" outlineLevel="0" collapsed="false">
      <c r="A28" s="20" t="s">
        <v>1193</v>
      </c>
    </row>
    <row r="29" customFormat="false" ht="15" hidden="false" customHeight="false" outlineLevel="0" collapsed="false">
      <c r="A29" s="21" t="s">
        <v>3376</v>
      </c>
    </row>
    <row r="30" customFormat="false" ht="15" hidden="false" customHeight="false" outlineLevel="0" collapsed="false">
      <c r="A30" s="21" t="s">
        <v>3377</v>
      </c>
    </row>
    <row r="31" customFormat="false" ht="15" hidden="false" customHeight="false" outlineLevel="0" collapsed="false">
      <c r="A31" s="22" t="s">
        <v>1389</v>
      </c>
      <c r="B31" s="22" t="s">
        <v>3378</v>
      </c>
      <c r="C31" s="22" t="s">
        <v>3379</v>
      </c>
    </row>
    <row r="32" customFormat="false" ht="35.05" hidden="false" customHeight="false" outlineLevel="0" collapsed="false">
      <c r="A32" s="4" t="s">
        <v>3380</v>
      </c>
      <c r="B32" s="4" t="s">
        <v>3381</v>
      </c>
      <c r="C32" s="4" t="s">
        <v>3382</v>
      </c>
    </row>
    <row r="33" customFormat="false" ht="35.05" hidden="false" customHeight="false" outlineLevel="0" collapsed="false">
      <c r="A33" s="4" t="s">
        <v>3383</v>
      </c>
      <c r="B33" s="4" t="s">
        <v>3384</v>
      </c>
      <c r="C33" s="4" t="s">
        <v>3385</v>
      </c>
    </row>
    <row r="34" customFormat="false" ht="15" hidden="false" customHeight="false" outlineLevel="0" collapsed="false">
      <c r="A34" s="4" t="s">
        <v>3386</v>
      </c>
      <c r="B34" s="4" t="s">
        <v>3387</v>
      </c>
      <c r="C34" s="4" t="s">
        <v>3388</v>
      </c>
    </row>
    <row r="35" customFormat="false" ht="15" hidden="false" customHeight="false" outlineLevel="0" collapsed="false">
      <c r="A35" s="4" t="s">
        <v>1406</v>
      </c>
      <c r="B35" s="4" t="s">
        <v>3389</v>
      </c>
      <c r="C35" s="4" t="s">
        <v>3390</v>
      </c>
    </row>
    <row r="36" customFormat="false" ht="15" hidden="false" customHeight="false" outlineLevel="0" collapsed="false">
      <c r="A36" s="4" t="s">
        <v>3391</v>
      </c>
      <c r="B36" s="4" t="s">
        <v>3392</v>
      </c>
      <c r="C36" s="4" t="s">
        <v>3393</v>
      </c>
    </row>
    <row r="37" customFormat="false" ht="15" hidden="false" customHeight="false" outlineLevel="0" collapsed="false">
      <c r="A37" s="4" t="s">
        <v>3394</v>
      </c>
      <c r="B37" s="4" t="s">
        <v>3395</v>
      </c>
      <c r="C37" s="4"/>
    </row>
    <row r="38" customFormat="false" ht="15" hidden="false" customHeight="false" outlineLevel="0" collapsed="false">
      <c r="A38" s="4" t="s">
        <v>3396</v>
      </c>
      <c r="B38" s="4" t="s">
        <v>3397</v>
      </c>
      <c r="C38" s="4"/>
    </row>
    <row r="39" customFormat="false" ht="15" hidden="false" customHeight="false" outlineLevel="0" collapsed="false">
      <c r="A39" s="4" t="s">
        <v>3398</v>
      </c>
      <c r="B39" s="4" t="s">
        <v>3399</v>
      </c>
      <c r="C39" s="4"/>
    </row>
    <row r="42" customFormat="false" ht="15" hidden="false" customHeight="false" outlineLevel="0" collapsed="false">
      <c r="A42" s="17" t="s">
        <v>3400</v>
      </c>
      <c r="B42" s="18"/>
      <c r="C42" s="18"/>
      <c r="D42" s="18"/>
    </row>
    <row r="43" customFormat="false" ht="15" hidden="false" customHeight="false" outlineLevel="0" collapsed="false">
      <c r="A43" s="19" t="s">
        <v>3401</v>
      </c>
    </row>
    <row r="44" customFormat="false" ht="15" hidden="false" customHeight="false" outlineLevel="0" collapsed="false">
      <c r="A44" s="20" t="s">
        <v>1193</v>
      </c>
    </row>
    <row r="45" customFormat="false" ht="15" hidden="false" customHeight="false" outlineLevel="0" collapsed="false">
      <c r="A45" s="21" t="s">
        <v>3402</v>
      </c>
    </row>
    <row r="46" customFormat="false" ht="15" hidden="false" customHeight="false" outlineLevel="0" collapsed="false">
      <c r="A46" s="21" t="s">
        <v>3403</v>
      </c>
    </row>
    <row r="47" customFormat="false" ht="15" hidden="false" customHeight="false" outlineLevel="0" collapsed="false">
      <c r="A47" s="22" t="s">
        <v>2952</v>
      </c>
      <c r="B47" s="22" t="s">
        <v>3404</v>
      </c>
      <c r="C47" s="22" t="s">
        <v>3405</v>
      </c>
      <c r="D47" s="22" t="s">
        <v>1426</v>
      </c>
    </row>
    <row r="48" customFormat="false" ht="15" hidden="false" customHeight="false" outlineLevel="0" collapsed="false">
      <c r="A48" s="4" t="s">
        <v>3406</v>
      </c>
      <c r="B48" s="4" t="s">
        <v>3407</v>
      </c>
      <c r="C48" s="4" t="s">
        <v>3408</v>
      </c>
      <c r="D48" s="4" t="s">
        <v>3409</v>
      </c>
    </row>
    <row r="49" customFormat="false" ht="15" hidden="false" customHeight="false" outlineLevel="0" collapsed="false">
      <c r="A49" s="4" t="s">
        <v>3410</v>
      </c>
      <c r="B49" s="4" t="s">
        <v>3411</v>
      </c>
      <c r="C49" s="4"/>
      <c r="D49" s="4" t="s">
        <v>3412</v>
      </c>
    </row>
    <row r="50" customFormat="false" ht="15" hidden="false" customHeight="false" outlineLevel="0" collapsed="false">
      <c r="A50" s="4" t="s">
        <v>3413</v>
      </c>
      <c r="B50" s="4" t="s">
        <v>3414</v>
      </c>
      <c r="C50" s="4" t="s">
        <v>3415</v>
      </c>
      <c r="D50" s="4" t="s">
        <v>3416</v>
      </c>
    </row>
    <row r="51" customFormat="false" ht="15" hidden="false" customHeight="false" outlineLevel="0" collapsed="false">
      <c r="A51" s="4" t="s">
        <v>3417</v>
      </c>
      <c r="B51" s="4" t="s">
        <v>3418</v>
      </c>
      <c r="C51" s="4" t="s">
        <v>3419</v>
      </c>
      <c r="D51" s="4"/>
    </row>
    <row r="52" customFormat="false" ht="15" hidden="false" customHeight="false" outlineLevel="0" collapsed="false">
      <c r="A52" s="4" t="s">
        <v>3420</v>
      </c>
      <c r="B52" s="4" t="s">
        <v>3421</v>
      </c>
      <c r="C52" s="4" t="s">
        <v>3422</v>
      </c>
      <c r="D52" s="4" t="s">
        <v>3423</v>
      </c>
    </row>
    <row r="53" customFormat="false" ht="15" hidden="false" customHeight="false" outlineLevel="0" collapsed="false">
      <c r="A53" s="4" t="s">
        <v>3424</v>
      </c>
      <c r="B53" s="4" t="s">
        <v>3425</v>
      </c>
      <c r="C53" s="4" t="s">
        <v>3426</v>
      </c>
      <c r="D53" s="4"/>
    </row>
    <row r="54" customFormat="false" ht="15" hidden="false" customHeight="false" outlineLevel="0" collapsed="false">
      <c r="A54" s="4" t="s">
        <v>3427</v>
      </c>
      <c r="B54" s="4" t="s">
        <v>3428</v>
      </c>
      <c r="C54" s="4" t="s">
        <v>3429</v>
      </c>
      <c r="D54" s="4" t="s">
        <v>3430</v>
      </c>
    </row>
    <row r="55" customFormat="false" ht="35.05" hidden="false" customHeight="false" outlineLevel="0" collapsed="false">
      <c r="A55" s="4" t="s">
        <v>3431</v>
      </c>
      <c r="B55" s="4" t="s">
        <v>3432</v>
      </c>
      <c r="C55" s="4" t="s">
        <v>3433</v>
      </c>
      <c r="D55" s="4" t="s">
        <v>3434</v>
      </c>
    </row>
    <row r="58" customFormat="false" ht="15" hidden="false" customHeight="false" outlineLevel="0" collapsed="false">
      <c r="A58" s="17" t="s">
        <v>3435</v>
      </c>
      <c r="B58" s="18"/>
      <c r="C58" s="18"/>
    </row>
    <row r="59" customFormat="false" ht="15" hidden="false" customHeight="false" outlineLevel="0" collapsed="false">
      <c r="A59" s="19" t="s">
        <v>3436</v>
      </c>
    </row>
    <row r="60" customFormat="false" ht="15" hidden="false" customHeight="false" outlineLevel="0" collapsed="false">
      <c r="A60" s="25" t="s">
        <v>2043</v>
      </c>
    </row>
    <row r="61" customFormat="false" ht="15" hidden="false" customHeight="false" outlineLevel="0" collapsed="false">
      <c r="A61" s="21" t="s">
        <v>3437</v>
      </c>
    </row>
    <row r="62" customFormat="false" ht="15" hidden="false" customHeight="false" outlineLevel="0" collapsed="false">
      <c r="A62" s="21" t="s">
        <v>3438</v>
      </c>
    </row>
    <row r="63" customFormat="false" ht="15" hidden="false" customHeight="false" outlineLevel="0" collapsed="false">
      <c r="A63" s="22" t="s">
        <v>2952</v>
      </c>
      <c r="B63" s="22" t="s">
        <v>3439</v>
      </c>
      <c r="C63" s="22" t="s">
        <v>3440</v>
      </c>
    </row>
    <row r="64" customFormat="false" ht="15" hidden="false" customHeight="false" outlineLevel="0" collapsed="false">
      <c r="A64" s="4" t="s">
        <v>3441</v>
      </c>
      <c r="B64" s="4" t="s">
        <v>3442</v>
      </c>
      <c r="C64" s="4" t="s">
        <v>3443</v>
      </c>
    </row>
    <row r="65" customFormat="false" ht="15" hidden="false" customHeight="false" outlineLevel="0" collapsed="false">
      <c r="A65" s="4" t="s">
        <v>3444</v>
      </c>
      <c r="B65" s="4" t="s">
        <v>1475</v>
      </c>
      <c r="C65" s="4" t="s">
        <v>3445</v>
      </c>
    </row>
    <row r="66" customFormat="false" ht="15" hidden="false" customHeight="false" outlineLevel="0" collapsed="false">
      <c r="A66" s="4" t="s">
        <v>3446</v>
      </c>
      <c r="B66" s="4" t="s">
        <v>3447</v>
      </c>
      <c r="C66" s="4" t="s">
        <v>3448</v>
      </c>
    </row>
    <row r="69" customFormat="false" ht="15" hidden="false" customHeight="false" outlineLevel="0" collapsed="false">
      <c r="A69" s="17" t="s">
        <v>3449</v>
      </c>
      <c r="B69" s="18"/>
      <c r="C69" s="18"/>
      <c r="D69" s="18"/>
    </row>
    <row r="70" customFormat="false" ht="15" hidden="false" customHeight="false" outlineLevel="0" collapsed="false">
      <c r="A70" s="19" t="s">
        <v>3450</v>
      </c>
    </row>
    <row r="71" customFormat="false" ht="15" hidden="false" customHeight="false" outlineLevel="0" collapsed="false">
      <c r="A71" s="19" t="s">
        <v>3451</v>
      </c>
    </row>
    <row r="72" customFormat="false" ht="15" hidden="false" customHeight="false" outlineLevel="0" collapsed="false">
      <c r="A72" s="26" t="s">
        <v>2179</v>
      </c>
    </row>
    <row r="73" customFormat="false" ht="15" hidden="false" customHeight="false" outlineLevel="0" collapsed="false">
      <c r="A73" s="21" t="s">
        <v>3452</v>
      </c>
    </row>
    <row r="74" customFormat="false" ht="15" hidden="false" customHeight="false" outlineLevel="0" collapsed="false">
      <c r="A74" s="21" t="s">
        <v>3453</v>
      </c>
    </row>
    <row r="75" customFormat="false" ht="15" hidden="false" customHeight="false" outlineLevel="0" collapsed="false">
      <c r="A75" s="22" t="s">
        <v>2952</v>
      </c>
      <c r="B75" s="22" t="s">
        <v>3454</v>
      </c>
      <c r="C75" s="22" t="s">
        <v>3455</v>
      </c>
      <c r="D75" s="22" t="s">
        <v>3456</v>
      </c>
    </row>
    <row r="76" customFormat="false" ht="15" hidden="false" customHeight="false" outlineLevel="0" collapsed="false">
      <c r="A76" s="4" t="s">
        <v>3457</v>
      </c>
      <c r="B76" s="4" t="n">
        <v>5</v>
      </c>
      <c r="C76" s="4" t="n">
        <v>100</v>
      </c>
      <c r="D76" s="4" t="s">
        <v>1555</v>
      </c>
    </row>
    <row r="77" customFormat="false" ht="15" hidden="false" customHeight="false" outlineLevel="0" collapsed="false">
      <c r="A77" s="4" t="s">
        <v>3458</v>
      </c>
      <c r="B77" s="4" t="n">
        <v>8.5</v>
      </c>
      <c r="C77" s="4" t="n">
        <v>170</v>
      </c>
      <c r="D77" s="4" t="s">
        <v>3459</v>
      </c>
    </row>
    <row r="78" customFormat="false" ht="23.85" hidden="false" customHeight="false" outlineLevel="0" collapsed="false">
      <c r="A78" s="4" t="s">
        <v>3460</v>
      </c>
      <c r="B78" s="4" t="n">
        <v>22</v>
      </c>
      <c r="C78" s="4" t="n">
        <v>440</v>
      </c>
      <c r="D78" s="4" t="s">
        <v>3461</v>
      </c>
    </row>
    <row r="79" customFormat="false" ht="15" hidden="false" customHeight="false" outlineLevel="0" collapsed="false">
      <c r="A79" s="4" t="s">
        <v>3462</v>
      </c>
      <c r="B79" s="4" t="n">
        <v>10</v>
      </c>
      <c r="C79" s="4" t="n">
        <v>200</v>
      </c>
      <c r="D79" s="4" t="s">
        <v>3463</v>
      </c>
    </row>
    <row r="80" customFormat="false" ht="15" hidden="false" customHeight="false" outlineLevel="0" collapsed="false">
      <c r="A80" s="4" t="s">
        <v>3464</v>
      </c>
      <c r="B80" s="4" t="n">
        <v>4.2</v>
      </c>
      <c r="C80" s="4" t="n">
        <v>84</v>
      </c>
      <c r="D80" s="4" t="s">
        <v>3465</v>
      </c>
    </row>
    <row r="81" customFormat="false" ht="15" hidden="false" customHeight="false" outlineLevel="0" collapsed="false">
      <c r="A81" s="4" t="s">
        <v>3466</v>
      </c>
      <c r="B81" s="4" t="n">
        <v>2</v>
      </c>
      <c r="C81" s="4" t="n">
        <v>40</v>
      </c>
      <c r="D81" s="4" t="s">
        <v>3467</v>
      </c>
    </row>
    <row r="82" customFormat="false" ht="15" hidden="false" customHeight="false" outlineLevel="0" collapsed="false">
      <c r="A82" s="4" t="s">
        <v>3468</v>
      </c>
      <c r="B82" s="4" t="n">
        <v>1</v>
      </c>
      <c r="C82" s="4" t="n">
        <v>20</v>
      </c>
      <c r="D82" s="4" t="s">
        <v>3469</v>
      </c>
    </row>
    <row r="83" customFormat="false" ht="15" hidden="false" customHeight="false" outlineLevel="0" collapsed="false">
      <c r="A83" s="4" t="s">
        <v>3470</v>
      </c>
      <c r="B83" s="4" t="n">
        <v>47.7</v>
      </c>
      <c r="C83" s="4" t="n">
        <v>954</v>
      </c>
      <c r="D83" s="4" t="s">
        <v>3471</v>
      </c>
    </row>
    <row r="84" customFormat="false" ht="15" hidden="false" customHeight="false" outlineLevel="0" collapsed="false">
      <c r="A84" s="4" t="s">
        <v>3472</v>
      </c>
      <c r="B84" s="4" t="n">
        <v>3</v>
      </c>
      <c r="C84" s="4" t="n">
        <v>60</v>
      </c>
      <c r="D84" s="4" t="s">
        <v>3473</v>
      </c>
    </row>
    <row r="85" customFormat="false" ht="15" hidden="false" customHeight="false" outlineLevel="0" collapsed="false">
      <c r="A85" s="4" t="s">
        <v>3474</v>
      </c>
      <c r="B85" s="4" t="n">
        <v>2.5</v>
      </c>
      <c r="C85" s="4" t="n">
        <v>50</v>
      </c>
      <c r="D85" s="4" t="s">
        <v>3475</v>
      </c>
    </row>
    <row r="86" customFormat="false" ht="15" hidden="false" customHeight="false" outlineLevel="0" collapsed="false">
      <c r="A86" s="4" t="s">
        <v>3476</v>
      </c>
      <c r="B86" s="4" t="n">
        <v>2.9</v>
      </c>
      <c r="C86" s="4" t="n">
        <v>58</v>
      </c>
      <c r="D86" s="4" t="s">
        <v>2231</v>
      </c>
    </row>
    <row r="87" customFormat="false" ht="15" hidden="false" customHeight="false" outlineLevel="0" collapsed="false">
      <c r="A87" s="4" t="s">
        <v>3477</v>
      </c>
      <c r="B87" s="4" t="n">
        <v>56.1</v>
      </c>
      <c r="C87" s="4" t="n">
        <v>1122</v>
      </c>
      <c r="D87" s="4" t="s">
        <v>3478</v>
      </c>
    </row>
    <row r="88" customFormat="false" ht="15" hidden="false" customHeight="false" outlineLevel="0" collapsed="false">
      <c r="A88" s="4" t="s">
        <v>3479</v>
      </c>
      <c r="B88" s="4" t="n">
        <v>61.1</v>
      </c>
      <c r="C88" s="4" t="s">
        <v>3480</v>
      </c>
      <c r="D88" s="4" t="s">
        <v>3481</v>
      </c>
    </row>
    <row r="91" customFormat="false" ht="15" hidden="false" customHeight="false" outlineLevel="0" collapsed="false">
      <c r="A91" s="17" t="s">
        <v>3482</v>
      </c>
      <c r="B91" s="18"/>
      <c r="C91" s="18"/>
      <c r="D91" s="18"/>
    </row>
    <row r="92" customFormat="false" ht="15" hidden="false" customHeight="false" outlineLevel="0" collapsed="false">
      <c r="A92" s="19" t="s">
        <v>3450</v>
      </c>
    </row>
    <row r="93" customFormat="false" ht="15" hidden="false" customHeight="false" outlineLevel="0" collapsed="false">
      <c r="A93" s="19" t="s">
        <v>3483</v>
      </c>
    </row>
    <row r="94" customFormat="false" ht="15" hidden="false" customHeight="false" outlineLevel="0" collapsed="false">
      <c r="A94" s="26" t="s">
        <v>2179</v>
      </c>
    </row>
    <row r="95" customFormat="false" ht="15" hidden="false" customHeight="false" outlineLevel="0" collapsed="false">
      <c r="A95" s="21" t="s">
        <v>3484</v>
      </c>
    </row>
    <row r="96" customFormat="false" ht="15" hidden="false" customHeight="false" outlineLevel="0" collapsed="false">
      <c r="A96" s="21" t="s">
        <v>3485</v>
      </c>
    </row>
    <row r="97" customFormat="false" ht="15" hidden="false" customHeight="false" outlineLevel="0" collapsed="false">
      <c r="A97" s="22" t="s">
        <v>2952</v>
      </c>
      <c r="B97" s="22" t="s">
        <v>3454</v>
      </c>
      <c r="C97" s="22" t="s">
        <v>3486</v>
      </c>
      <c r="D97" s="22" t="s">
        <v>3456</v>
      </c>
    </row>
    <row r="98" customFormat="false" ht="15" hidden="false" customHeight="false" outlineLevel="0" collapsed="false">
      <c r="A98" s="4" t="s">
        <v>3487</v>
      </c>
      <c r="B98" s="4" t="n">
        <v>3.2</v>
      </c>
      <c r="C98" s="4" t="n">
        <v>160</v>
      </c>
      <c r="D98" s="4" t="s">
        <v>1555</v>
      </c>
    </row>
    <row r="99" customFormat="false" ht="15" hidden="false" customHeight="false" outlineLevel="0" collapsed="false">
      <c r="A99" s="4" t="s">
        <v>3488</v>
      </c>
      <c r="B99" s="4" t="n">
        <v>5.5</v>
      </c>
      <c r="C99" s="4" t="n">
        <v>275</v>
      </c>
      <c r="D99" s="4" t="s">
        <v>3489</v>
      </c>
    </row>
    <row r="100" customFormat="false" ht="15" hidden="false" customHeight="false" outlineLevel="0" collapsed="false">
      <c r="A100" s="4" t="s">
        <v>3490</v>
      </c>
      <c r="B100" s="4" t="n">
        <v>15.5</v>
      </c>
      <c r="C100" s="4" t="n">
        <v>775</v>
      </c>
      <c r="D100" s="4" t="s">
        <v>3491</v>
      </c>
    </row>
    <row r="101" customFormat="false" ht="15" hidden="false" customHeight="false" outlineLevel="0" collapsed="false">
      <c r="A101" s="4" t="s">
        <v>1603</v>
      </c>
      <c r="B101" s="4" t="n">
        <v>7.5</v>
      </c>
      <c r="C101" s="4" t="n">
        <v>375</v>
      </c>
      <c r="D101" s="4" t="s">
        <v>3492</v>
      </c>
    </row>
    <row r="102" customFormat="false" ht="15" hidden="false" customHeight="false" outlineLevel="0" collapsed="false">
      <c r="A102" s="4" t="s">
        <v>3493</v>
      </c>
      <c r="B102" s="4" t="n">
        <v>3.3</v>
      </c>
      <c r="C102" s="4" t="n">
        <v>165</v>
      </c>
      <c r="D102" s="4" t="s">
        <v>3494</v>
      </c>
    </row>
    <row r="103" customFormat="false" ht="15" hidden="false" customHeight="false" outlineLevel="0" collapsed="false">
      <c r="A103" s="4" t="s">
        <v>3495</v>
      </c>
      <c r="B103" s="4" t="n">
        <v>1.4</v>
      </c>
      <c r="C103" s="4" t="n">
        <v>70</v>
      </c>
      <c r="D103" s="4" t="s">
        <v>3467</v>
      </c>
    </row>
    <row r="104" customFormat="false" ht="15" hidden="false" customHeight="false" outlineLevel="0" collapsed="false">
      <c r="A104" s="4" t="s">
        <v>3496</v>
      </c>
      <c r="B104" s="4" t="n">
        <v>0.3</v>
      </c>
      <c r="C104" s="4" t="n">
        <v>15</v>
      </c>
      <c r="D104" s="4" t="s">
        <v>3497</v>
      </c>
    </row>
    <row r="105" customFormat="false" ht="15" hidden="false" customHeight="false" outlineLevel="0" collapsed="false">
      <c r="A105" s="4" t="s">
        <v>3470</v>
      </c>
      <c r="B105" s="4" t="n">
        <v>33.5</v>
      </c>
      <c r="C105" s="4" t="n">
        <v>1675</v>
      </c>
      <c r="D105" s="4" t="s">
        <v>3498</v>
      </c>
    </row>
    <row r="106" customFormat="false" ht="15" hidden="false" customHeight="false" outlineLevel="0" collapsed="false">
      <c r="A106" s="4" t="s">
        <v>3499</v>
      </c>
      <c r="B106" s="4" t="n">
        <v>1.7</v>
      </c>
      <c r="C106" s="4" t="n">
        <v>85</v>
      </c>
      <c r="D106" s="4" t="s">
        <v>3500</v>
      </c>
    </row>
    <row r="107" customFormat="false" ht="15" hidden="false" customHeight="false" outlineLevel="0" collapsed="false">
      <c r="A107" s="4" t="s">
        <v>3501</v>
      </c>
      <c r="B107" s="4" t="n">
        <v>1.7</v>
      </c>
      <c r="C107" s="4" t="n">
        <v>85</v>
      </c>
      <c r="D107" s="4" t="s">
        <v>3500</v>
      </c>
    </row>
    <row r="108" customFormat="false" ht="15" hidden="false" customHeight="false" outlineLevel="0" collapsed="false">
      <c r="A108" s="4" t="s">
        <v>3476</v>
      </c>
      <c r="B108" s="4" t="n">
        <v>2.3</v>
      </c>
      <c r="C108" s="4" t="n">
        <v>115</v>
      </c>
      <c r="D108" s="4" t="s">
        <v>3502</v>
      </c>
    </row>
    <row r="109" customFormat="false" ht="15" hidden="false" customHeight="false" outlineLevel="0" collapsed="false">
      <c r="A109" s="4" t="s">
        <v>3503</v>
      </c>
      <c r="B109" s="4" t="n">
        <v>39.2</v>
      </c>
      <c r="C109" s="4" t="n">
        <v>1960</v>
      </c>
      <c r="D109" s="4" t="s">
        <v>3478</v>
      </c>
    </row>
    <row r="110" customFormat="false" ht="15" hidden="false" customHeight="false" outlineLevel="0" collapsed="false">
      <c r="A110" s="4" t="s">
        <v>3479</v>
      </c>
      <c r="B110" s="4" t="n">
        <v>42.4</v>
      </c>
      <c r="C110" s="4" t="s">
        <v>3504</v>
      </c>
      <c r="D110" s="4" t="s">
        <v>3505</v>
      </c>
    </row>
    <row r="113" customFormat="false" ht="15" hidden="false" customHeight="false" outlineLevel="0" collapsed="false">
      <c r="A113" s="17" t="s">
        <v>3506</v>
      </c>
      <c r="B113" s="18"/>
      <c r="C113" s="18"/>
      <c r="D113" s="18"/>
    </row>
    <row r="114" customFormat="false" ht="15" hidden="false" customHeight="false" outlineLevel="0" collapsed="false">
      <c r="A114" s="19" t="s">
        <v>3450</v>
      </c>
    </row>
    <row r="115" customFormat="false" ht="15" hidden="false" customHeight="false" outlineLevel="0" collapsed="false">
      <c r="A115" s="19" t="s">
        <v>3507</v>
      </c>
    </row>
    <row r="116" customFormat="false" ht="15" hidden="false" customHeight="false" outlineLevel="0" collapsed="false">
      <c r="A116" s="26" t="s">
        <v>2179</v>
      </c>
    </row>
    <row r="117" customFormat="false" ht="15" hidden="false" customHeight="false" outlineLevel="0" collapsed="false">
      <c r="A117" s="21" t="s">
        <v>3508</v>
      </c>
    </row>
    <row r="118" customFormat="false" ht="15" hidden="false" customHeight="false" outlineLevel="0" collapsed="false">
      <c r="A118" s="21" t="s">
        <v>3509</v>
      </c>
    </row>
    <row r="119" customFormat="false" ht="15" hidden="false" customHeight="false" outlineLevel="0" collapsed="false">
      <c r="A119" s="22" t="s">
        <v>2952</v>
      </c>
      <c r="B119" s="22" t="s">
        <v>3454</v>
      </c>
      <c r="C119" s="22" t="s">
        <v>3510</v>
      </c>
      <c r="D119" s="22" t="s">
        <v>3511</v>
      </c>
    </row>
    <row r="120" customFormat="false" ht="15" hidden="false" customHeight="false" outlineLevel="0" collapsed="false">
      <c r="A120" s="4" t="s">
        <v>3512</v>
      </c>
      <c r="B120" s="4" t="n">
        <v>1.5</v>
      </c>
      <c r="C120" s="4" t="n">
        <v>150</v>
      </c>
      <c r="D120" s="4" t="s">
        <v>3513</v>
      </c>
    </row>
    <row r="121" customFormat="false" ht="15" hidden="false" customHeight="false" outlineLevel="0" collapsed="false">
      <c r="A121" s="4" t="s">
        <v>3488</v>
      </c>
      <c r="B121" s="4" t="n">
        <v>7</v>
      </c>
      <c r="C121" s="4" t="n">
        <v>700</v>
      </c>
      <c r="D121" s="4" t="s">
        <v>3514</v>
      </c>
    </row>
    <row r="122" customFormat="false" ht="15" hidden="false" customHeight="false" outlineLevel="0" collapsed="false">
      <c r="A122" s="4" t="s">
        <v>3515</v>
      </c>
      <c r="B122" s="4" t="n">
        <v>28</v>
      </c>
      <c r="C122" s="4" t="n">
        <v>2800</v>
      </c>
      <c r="D122" s="4" t="s">
        <v>3516</v>
      </c>
    </row>
    <row r="123" customFormat="false" ht="15" hidden="false" customHeight="false" outlineLevel="0" collapsed="false">
      <c r="A123" s="4" t="s">
        <v>3517</v>
      </c>
      <c r="B123" s="4" t="n">
        <v>17</v>
      </c>
      <c r="C123" s="4" t="n">
        <v>1700</v>
      </c>
      <c r="D123" s="4" t="s">
        <v>3518</v>
      </c>
    </row>
    <row r="124" customFormat="false" ht="15" hidden="false" customHeight="false" outlineLevel="0" collapsed="false">
      <c r="A124" s="4" t="s">
        <v>3519</v>
      </c>
      <c r="B124" s="4" t="n">
        <v>6</v>
      </c>
      <c r="C124" s="4" t="n">
        <v>600</v>
      </c>
      <c r="D124" s="4" t="s">
        <v>3520</v>
      </c>
    </row>
    <row r="125" customFormat="false" ht="15" hidden="false" customHeight="false" outlineLevel="0" collapsed="false">
      <c r="A125" s="4" t="s">
        <v>3521</v>
      </c>
      <c r="B125" s="4" t="n">
        <v>2</v>
      </c>
      <c r="C125" s="4" t="n">
        <v>200</v>
      </c>
      <c r="D125" s="4" t="s">
        <v>2230</v>
      </c>
    </row>
    <row r="126" customFormat="false" ht="15" hidden="false" customHeight="false" outlineLevel="0" collapsed="false">
      <c r="A126" s="4" t="s">
        <v>3522</v>
      </c>
      <c r="B126" s="4" t="n">
        <v>1</v>
      </c>
      <c r="C126" s="4" t="n">
        <v>100</v>
      </c>
      <c r="D126" s="4" t="s">
        <v>3523</v>
      </c>
    </row>
    <row r="127" customFormat="false" ht="15" hidden="false" customHeight="false" outlineLevel="0" collapsed="false">
      <c r="A127" s="4" t="s">
        <v>3524</v>
      </c>
      <c r="B127" s="4" t="s">
        <v>3525</v>
      </c>
      <c r="C127" s="4" t="s">
        <v>3526</v>
      </c>
      <c r="D127" s="4" t="s">
        <v>3527</v>
      </c>
    </row>
    <row r="128" customFormat="false" ht="15" hidden="false" customHeight="false" outlineLevel="0" collapsed="false">
      <c r="A128" s="4" t="s">
        <v>3477</v>
      </c>
      <c r="B128" s="4" t="n">
        <v>72.5</v>
      </c>
      <c r="C128" s="4" t="n">
        <v>7250</v>
      </c>
      <c r="D128" s="4" t="s">
        <v>3528</v>
      </c>
    </row>
    <row r="129" customFormat="false" ht="15" hidden="false" customHeight="false" outlineLevel="0" collapsed="false">
      <c r="A129" s="4" t="s">
        <v>3529</v>
      </c>
      <c r="B129" s="4" t="n">
        <v>223</v>
      </c>
      <c r="C129" s="4" t="n">
        <v>22300</v>
      </c>
      <c r="D129" s="4"/>
    </row>
    <row r="130" customFormat="false" ht="15" hidden="false" customHeight="false" outlineLevel="0" collapsed="false">
      <c r="A130" s="4" t="s">
        <v>3530</v>
      </c>
      <c r="B130" s="4" t="n">
        <v>32</v>
      </c>
      <c r="C130" s="4" t="n">
        <v>3240</v>
      </c>
      <c r="D130" s="4"/>
    </row>
    <row r="131" customFormat="false" ht="15" hidden="false" customHeight="false" outlineLevel="0" collapsed="false">
      <c r="A131" s="4" t="s">
        <v>3531</v>
      </c>
      <c r="B131" s="4" t="n">
        <v>11</v>
      </c>
      <c r="C131" s="4" t="n">
        <v>1080</v>
      </c>
      <c r="D131" s="4"/>
    </row>
    <row r="132" customFormat="false" ht="15" hidden="false" customHeight="false" outlineLevel="0" collapsed="false">
      <c r="A132" s="4" t="s">
        <v>3532</v>
      </c>
      <c r="B132" s="4" t="n">
        <v>266</v>
      </c>
      <c r="C132" s="4" t="n">
        <v>26620</v>
      </c>
      <c r="D132" s="4" t="s">
        <v>3533</v>
      </c>
    </row>
    <row r="133" customFormat="false" ht="15" hidden="false" customHeight="false" outlineLevel="0" collapsed="false">
      <c r="A133" s="4" t="s">
        <v>3534</v>
      </c>
      <c r="B133" s="4" t="s">
        <v>3535</v>
      </c>
      <c r="C133" s="4" t="s">
        <v>3536</v>
      </c>
      <c r="D133" s="4" t="s">
        <v>3537</v>
      </c>
    </row>
    <row r="136" customFormat="false" ht="15" hidden="false" customHeight="false" outlineLevel="0" collapsed="false">
      <c r="A136" s="17" t="s">
        <v>3538</v>
      </c>
      <c r="B136" s="18"/>
      <c r="C136" s="18"/>
      <c r="D136" s="18"/>
      <c r="E136" s="18"/>
    </row>
    <row r="137" customFormat="false" ht="15" hidden="false" customHeight="false" outlineLevel="0" collapsed="false">
      <c r="A137" s="19" t="s">
        <v>3539</v>
      </c>
    </row>
    <row r="138" customFormat="false" ht="15" hidden="false" customHeight="false" outlineLevel="0" collapsed="false">
      <c r="A138" s="19" t="s">
        <v>3540</v>
      </c>
    </row>
    <row r="139" customFormat="false" ht="15" hidden="false" customHeight="false" outlineLevel="0" collapsed="false">
      <c r="A139" s="20" t="s">
        <v>1193</v>
      </c>
    </row>
    <row r="140" customFormat="false" ht="15" hidden="false" customHeight="false" outlineLevel="0" collapsed="false">
      <c r="A140" s="21" t="s">
        <v>3541</v>
      </c>
    </row>
    <row r="141" customFormat="false" ht="15" hidden="false" customHeight="false" outlineLevel="0" collapsed="false">
      <c r="A141" s="21" t="s">
        <v>3542</v>
      </c>
    </row>
    <row r="142" customFormat="false" ht="15" hidden="false" customHeight="false" outlineLevel="0" collapsed="false">
      <c r="A142" s="22" t="s">
        <v>1423</v>
      </c>
      <c r="B142" s="22" t="s">
        <v>3543</v>
      </c>
      <c r="C142" s="22" t="s">
        <v>3544</v>
      </c>
      <c r="D142" s="22" t="s">
        <v>3545</v>
      </c>
      <c r="E142" s="22" t="s">
        <v>3546</v>
      </c>
    </row>
    <row r="143" customFormat="false" ht="15" hidden="false" customHeight="false" outlineLevel="0" collapsed="false">
      <c r="A143" s="4" t="s">
        <v>3547</v>
      </c>
      <c r="B143" s="4" t="s">
        <v>3548</v>
      </c>
      <c r="C143" s="4" t="s">
        <v>3549</v>
      </c>
      <c r="D143" s="4" t="s">
        <v>3550</v>
      </c>
      <c r="E143" s="4" t="s">
        <v>3551</v>
      </c>
    </row>
    <row r="144" customFormat="false" ht="57.45" hidden="false" customHeight="false" outlineLevel="0" collapsed="false">
      <c r="A144" s="4" t="s">
        <v>3552</v>
      </c>
      <c r="B144" s="4" t="s">
        <v>3553</v>
      </c>
      <c r="C144" s="4" t="n">
        <v>7.27</v>
      </c>
      <c r="D144" s="4" t="n">
        <v>560</v>
      </c>
      <c r="E144" s="4" t="s">
        <v>3554</v>
      </c>
    </row>
    <row r="145" customFormat="false" ht="23.85" hidden="false" customHeight="false" outlineLevel="0" collapsed="false">
      <c r="A145" s="4" t="s">
        <v>3555</v>
      </c>
      <c r="B145" s="4" t="s">
        <v>3556</v>
      </c>
      <c r="C145" s="4" t="n">
        <v>7.5</v>
      </c>
      <c r="D145" s="4" t="s">
        <v>3557</v>
      </c>
      <c r="E145" s="4" t="s">
        <v>3558</v>
      </c>
    </row>
    <row r="146" customFormat="false" ht="23.85" hidden="false" customHeight="false" outlineLevel="0" collapsed="false">
      <c r="A146" s="4" t="s">
        <v>3559</v>
      </c>
      <c r="B146" s="4" t="s">
        <v>3560</v>
      </c>
      <c r="C146" s="4" t="s">
        <v>3561</v>
      </c>
      <c r="D146" s="4" t="n">
        <v>500</v>
      </c>
      <c r="E146" s="4" t="s">
        <v>3562</v>
      </c>
    </row>
    <row r="147" customFormat="false" ht="23.85" hidden="false" customHeight="false" outlineLevel="0" collapsed="false">
      <c r="A147" s="4" t="s">
        <v>3563</v>
      </c>
      <c r="B147" s="4" t="s">
        <v>3564</v>
      </c>
      <c r="C147" s="4" t="s">
        <v>3565</v>
      </c>
      <c r="D147" s="4" t="s">
        <v>1555</v>
      </c>
      <c r="E147" s="4" t="s">
        <v>3566</v>
      </c>
    </row>
    <row r="150" customFormat="false" ht="15" hidden="false" customHeight="false" outlineLevel="0" collapsed="false">
      <c r="A150" s="17" t="s">
        <v>3567</v>
      </c>
      <c r="B150" s="18"/>
      <c r="C150" s="18"/>
      <c r="D150" s="18"/>
      <c r="E150" s="18"/>
    </row>
    <row r="151" customFormat="false" ht="15" hidden="false" customHeight="false" outlineLevel="0" collapsed="false">
      <c r="A151" s="19" t="s">
        <v>3539</v>
      </c>
    </row>
    <row r="152" customFormat="false" ht="15" hidden="false" customHeight="false" outlineLevel="0" collapsed="false">
      <c r="A152" s="19" t="s">
        <v>3568</v>
      </c>
    </row>
    <row r="153" customFormat="false" ht="15" hidden="false" customHeight="false" outlineLevel="0" collapsed="false">
      <c r="A153" s="26" t="s">
        <v>2179</v>
      </c>
    </row>
    <row r="154" customFormat="false" ht="15" hidden="false" customHeight="false" outlineLevel="0" collapsed="false">
      <c r="A154" s="21" t="s">
        <v>3569</v>
      </c>
    </row>
    <row r="155" customFormat="false" ht="15" hidden="false" customHeight="false" outlineLevel="0" collapsed="false">
      <c r="A155" s="21" t="s">
        <v>3570</v>
      </c>
    </row>
    <row r="156" customFormat="false" ht="15" hidden="false" customHeight="false" outlineLevel="0" collapsed="false">
      <c r="A156" s="22" t="s">
        <v>3571</v>
      </c>
      <c r="B156" s="22" t="s">
        <v>3572</v>
      </c>
      <c r="C156" s="22" t="s">
        <v>3573</v>
      </c>
      <c r="D156" s="22" t="s">
        <v>3574</v>
      </c>
      <c r="E156" s="22" t="s">
        <v>3575</v>
      </c>
    </row>
    <row r="157" customFormat="false" ht="15" hidden="false" customHeight="false" outlineLevel="0" collapsed="false">
      <c r="A157" s="4" t="s">
        <v>3576</v>
      </c>
      <c r="B157" s="4" t="n">
        <v>190.5</v>
      </c>
      <c r="C157" s="4" t="n">
        <v>444.5</v>
      </c>
      <c r="D157" s="4" t="n">
        <v>794.1</v>
      </c>
      <c r="E157" s="4" t="s">
        <v>3577</v>
      </c>
    </row>
    <row r="158" customFormat="false" ht="15" hidden="false" customHeight="false" outlineLevel="0" collapsed="false">
      <c r="A158" s="4" t="s">
        <v>3578</v>
      </c>
      <c r="B158" s="4" t="n">
        <v>213.3</v>
      </c>
      <c r="C158" s="4" t="n">
        <v>497.5</v>
      </c>
      <c r="D158" s="4" t="n">
        <v>888.8</v>
      </c>
      <c r="E158" s="4" t="s">
        <v>3579</v>
      </c>
    </row>
    <row r="159" customFormat="false" ht="15" hidden="false" customHeight="false" outlineLevel="0" collapsed="false">
      <c r="A159" s="4" t="s">
        <v>3580</v>
      </c>
      <c r="B159" s="4" t="n">
        <v>221.2</v>
      </c>
      <c r="C159" s="4" t="n">
        <v>516.1</v>
      </c>
      <c r="D159" s="4" t="n">
        <v>922</v>
      </c>
      <c r="E159" s="4" t="s">
        <v>3581</v>
      </c>
    </row>
    <row r="160" customFormat="false" ht="15" hidden="false" customHeight="false" outlineLevel="0" collapsed="false">
      <c r="A160" s="4" t="s">
        <v>3582</v>
      </c>
      <c r="B160" s="4" t="n">
        <v>194.6</v>
      </c>
      <c r="C160" s="4" t="n">
        <v>454</v>
      </c>
      <c r="D160" s="4" t="n">
        <v>811</v>
      </c>
      <c r="E160" s="4" t="s">
        <v>3583</v>
      </c>
    </row>
    <row r="161" customFormat="false" ht="15" hidden="false" customHeight="false" outlineLevel="0" collapsed="false">
      <c r="A161" s="4" t="s">
        <v>3584</v>
      </c>
      <c r="B161" s="4" t="s">
        <v>3585</v>
      </c>
      <c r="C161" s="4" t="s">
        <v>3586</v>
      </c>
      <c r="D161" s="4" t="s">
        <v>3587</v>
      </c>
      <c r="E161" s="4" t="s">
        <v>3577</v>
      </c>
    </row>
    <row r="164" customFormat="false" ht="15" hidden="false" customHeight="false" outlineLevel="0" collapsed="false">
      <c r="A164" s="17" t="s">
        <v>3588</v>
      </c>
      <c r="B164" s="18"/>
      <c r="C164" s="18"/>
      <c r="D164" s="18"/>
      <c r="E164" s="18"/>
    </row>
    <row r="165" customFormat="false" ht="15" hidden="false" customHeight="false" outlineLevel="0" collapsed="false">
      <c r="A165" s="19" t="s">
        <v>3589</v>
      </c>
    </row>
    <row r="166" customFormat="false" ht="15" hidden="false" customHeight="false" outlineLevel="0" collapsed="false">
      <c r="A166" s="19" t="s">
        <v>3590</v>
      </c>
    </row>
    <row r="167" customFormat="false" ht="15" hidden="false" customHeight="false" outlineLevel="0" collapsed="false">
      <c r="A167" s="26" t="s">
        <v>2179</v>
      </c>
    </row>
    <row r="168" customFormat="false" ht="15" hidden="false" customHeight="false" outlineLevel="0" collapsed="false">
      <c r="A168" s="21" t="s">
        <v>3591</v>
      </c>
    </row>
    <row r="169" customFormat="false" ht="15" hidden="false" customHeight="false" outlineLevel="0" collapsed="false">
      <c r="A169" s="21" t="s">
        <v>3592</v>
      </c>
    </row>
    <row r="170" customFormat="false" ht="15" hidden="false" customHeight="false" outlineLevel="0" collapsed="false">
      <c r="A170" s="22" t="s">
        <v>3014</v>
      </c>
      <c r="B170" s="22" t="s">
        <v>3593</v>
      </c>
      <c r="C170" s="22" t="s">
        <v>3594</v>
      </c>
      <c r="D170" s="22" t="s">
        <v>3595</v>
      </c>
      <c r="E170" s="22" t="s">
        <v>3596</v>
      </c>
    </row>
    <row r="171" customFormat="false" ht="15" hidden="false" customHeight="false" outlineLevel="0" collapsed="false">
      <c r="A171" s="4" t="s">
        <v>3597</v>
      </c>
      <c r="B171" s="4" t="s">
        <v>3598</v>
      </c>
      <c r="C171" s="4" t="n">
        <v>109500</v>
      </c>
      <c r="D171" s="4" t="s">
        <v>3599</v>
      </c>
      <c r="E171" s="4" t="s">
        <v>3600</v>
      </c>
    </row>
    <row r="172" customFormat="false" ht="15" hidden="false" customHeight="false" outlineLevel="0" collapsed="false">
      <c r="A172" s="4" t="s">
        <v>3601</v>
      </c>
      <c r="B172" s="4" t="s">
        <v>3602</v>
      </c>
      <c r="C172" s="4" t="n">
        <v>219000</v>
      </c>
      <c r="D172" s="4" t="s">
        <v>3603</v>
      </c>
      <c r="E172" s="4" t="s">
        <v>3604</v>
      </c>
    </row>
    <row r="173" customFormat="false" ht="15" hidden="false" customHeight="false" outlineLevel="0" collapsed="false">
      <c r="A173" s="4" t="s">
        <v>3605</v>
      </c>
      <c r="B173" s="4" t="s">
        <v>3606</v>
      </c>
      <c r="C173" s="4" t="s">
        <v>3607</v>
      </c>
      <c r="D173" s="4" t="s">
        <v>3608</v>
      </c>
      <c r="E173" s="4" t="s">
        <v>3609</v>
      </c>
    </row>
    <row r="176" customFormat="false" ht="15" hidden="false" customHeight="false" outlineLevel="0" collapsed="false">
      <c r="A176" s="17" t="s">
        <v>3610</v>
      </c>
      <c r="B176" s="18"/>
      <c r="C176" s="18"/>
    </row>
    <row r="177" customFormat="false" ht="15" hidden="false" customHeight="false" outlineLevel="0" collapsed="false">
      <c r="A177" s="19" t="s">
        <v>3611</v>
      </c>
    </row>
    <row r="178" customFormat="false" ht="15" hidden="false" customHeight="false" outlineLevel="0" collapsed="false">
      <c r="A178" s="23" t="s">
        <v>1246</v>
      </c>
    </row>
    <row r="179" customFormat="false" ht="15" hidden="false" customHeight="false" outlineLevel="0" collapsed="false">
      <c r="A179" s="21" t="s">
        <v>3612</v>
      </c>
    </row>
    <row r="180" customFormat="false" ht="15" hidden="false" customHeight="false" outlineLevel="0" collapsed="false">
      <c r="A180" s="21" t="s">
        <v>3613</v>
      </c>
    </row>
    <row r="181" customFormat="false" ht="15" hidden="false" customHeight="false" outlineLevel="0" collapsed="false">
      <c r="A181" s="22" t="s">
        <v>3614</v>
      </c>
      <c r="B181" s="22" t="s">
        <v>3615</v>
      </c>
      <c r="C181" s="22" t="s">
        <v>8</v>
      </c>
    </row>
    <row r="182" customFormat="false" ht="15" hidden="false" customHeight="false" outlineLevel="0" collapsed="false">
      <c r="A182" s="4" t="s">
        <v>3616</v>
      </c>
      <c r="B182" s="4" t="s">
        <v>3617</v>
      </c>
      <c r="C182" s="4" t="s">
        <v>3618</v>
      </c>
    </row>
    <row r="183" customFormat="false" ht="15" hidden="false" customHeight="false" outlineLevel="0" collapsed="false">
      <c r="A183" s="4" t="s">
        <v>3619</v>
      </c>
      <c r="B183" s="4" t="s">
        <v>3620</v>
      </c>
      <c r="C183" s="4" t="s">
        <v>3621</v>
      </c>
    </row>
    <row r="184" customFormat="false" ht="15" hidden="false" customHeight="false" outlineLevel="0" collapsed="false">
      <c r="A184" s="4" t="s">
        <v>3619</v>
      </c>
      <c r="B184" s="4" t="s">
        <v>3622</v>
      </c>
      <c r="C184" s="4" t="s">
        <v>3623</v>
      </c>
    </row>
    <row r="185" customFormat="false" ht="15" hidden="false" customHeight="false" outlineLevel="0" collapsed="false">
      <c r="A185" s="4" t="s">
        <v>3624</v>
      </c>
      <c r="B185" s="4" t="s">
        <v>3625</v>
      </c>
      <c r="C185" s="4" t="s">
        <v>3626</v>
      </c>
    </row>
    <row r="186" customFormat="false" ht="23.85" hidden="false" customHeight="false" outlineLevel="0" collapsed="false">
      <c r="A186" s="4" t="s">
        <v>3627</v>
      </c>
      <c r="B186" s="4" t="s">
        <v>3628</v>
      </c>
      <c r="C186" s="4" t="s">
        <v>3629</v>
      </c>
    </row>
    <row r="189" customFormat="false" ht="15" hidden="false" customHeight="false" outlineLevel="0" collapsed="false">
      <c r="A189" s="17" t="s">
        <v>3630</v>
      </c>
      <c r="B189" s="18"/>
    </row>
    <row r="190" customFormat="false" ht="15" hidden="false" customHeight="false" outlineLevel="0" collapsed="false">
      <c r="A190" s="19" t="s">
        <v>3631</v>
      </c>
    </row>
    <row r="191" customFormat="false" ht="15" hidden="false" customHeight="false" outlineLevel="0" collapsed="false">
      <c r="A191" s="19" t="s">
        <v>3632</v>
      </c>
    </row>
    <row r="192" customFormat="false" ht="15" hidden="false" customHeight="false" outlineLevel="0" collapsed="false">
      <c r="A192" s="26" t="s">
        <v>2179</v>
      </c>
    </row>
    <row r="193" customFormat="false" ht="15" hidden="false" customHeight="false" outlineLevel="0" collapsed="false">
      <c r="A193" s="21" t="s">
        <v>3633</v>
      </c>
    </row>
    <row r="194" customFormat="false" ht="15" hidden="false" customHeight="false" outlineLevel="0" collapsed="false">
      <c r="A194" s="21" t="s">
        <v>3634</v>
      </c>
    </row>
    <row r="195" customFormat="false" ht="15" hidden="false" customHeight="false" outlineLevel="0" collapsed="false">
      <c r="A195" s="22" t="s">
        <v>3635</v>
      </c>
      <c r="B195" s="22" t="s">
        <v>3636</v>
      </c>
    </row>
    <row r="196" customFormat="false" ht="15" hidden="false" customHeight="false" outlineLevel="0" collapsed="false">
      <c r="A196" s="4" t="s">
        <v>3637</v>
      </c>
      <c r="B196" s="4" t="n">
        <v>129</v>
      </c>
    </row>
    <row r="197" customFormat="false" ht="15" hidden="false" customHeight="false" outlineLevel="0" collapsed="false">
      <c r="A197" s="4" t="s">
        <v>1630</v>
      </c>
      <c r="B197" s="4" t="n">
        <v>0.6</v>
      </c>
    </row>
    <row r="198" customFormat="false" ht="15" hidden="false" customHeight="false" outlineLevel="0" collapsed="false">
      <c r="A198" s="4" t="s">
        <v>3638</v>
      </c>
      <c r="B198" s="4" t="n">
        <v>0.4</v>
      </c>
    </row>
    <row r="199" customFormat="false" ht="15" hidden="false" customHeight="false" outlineLevel="0" collapsed="false">
      <c r="A199" s="4" t="s">
        <v>3639</v>
      </c>
      <c r="B199" s="4" t="n">
        <v>15.3</v>
      </c>
    </row>
    <row r="200" customFormat="false" ht="15" hidden="false" customHeight="false" outlineLevel="0" collapsed="false">
      <c r="A200" s="4" t="s">
        <v>3640</v>
      </c>
      <c r="B200" s="4" t="n">
        <v>1.5</v>
      </c>
    </row>
    <row r="201" customFormat="false" ht="15" hidden="false" customHeight="false" outlineLevel="0" collapsed="false">
      <c r="A201" s="4" t="s">
        <v>3641</v>
      </c>
      <c r="B201" s="4" t="n">
        <v>7.5</v>
      </c>
    </row>
    <row r="202" customFormat="false" ht="15" hidden="false" customHeight="false" outlineLevel="0" collapsed="false">
      <c r="A202" s="4" t="s">
        <v>3642</v>
      </c>
      <c r="B202" s="4" t="n">
        <v>2.2</v>
      </c>
    </row>
    <row r="203" customFormat="false" ht="15" hidden="false" customHeight="false" outlineLevel="0" collapsed="false">
      <c r="A203" s="4" t="s">
        <v>3643</v>
      </c>
      <c r="B203" s="4" t="n">
        <v>1.5</v>
      </c>
    </row>
    <row r="204" customFormat="false" ht="15" hidden="false" customHeight="false" outlineLevel="0" collapsed="false">
      <c r="A204" s="4" t="s">
        <v>1680</v>
      </c>
      <c r="B204" s="4" t="n">
        <v>1</v>
      </c>
    </row>
    <row r="205" customFormat="false" ht="15" hidden="false" customHeight="false" outlineLevel="0" collapsed="false">
      <c r="A205" s="4" t="s">
        <v>3644</v>
      </c>
      <c r="B205" s="4" t="n">
        <v>15</v>
      </c>
    </row>
    <row r="206" customFormat="false" ht="15" hidden="false" customHeight="false" outlineLevel="0" collapsed="false">
      <c r="A206" s="4" t="s">
        <v>3645</v>
      </c>
      <c r="B206" s="4" t="n">
        <v>174</v>
      </c>
    </row>
    <row r="207" customFormat="false" ht="15" hidden="false" customHeight="false" outlineLevel="0" collapsed="false">
      <c r="A207" s="4" t="s">
        <v>3646</v>
      </c>
      <c r="B207" s="4" t="s">
        <v>3647</v>
      </c>
    </row>
    <row r="210" customFormat="false" ht="15" hidden="false" customHeight="false" outlineLevel="0" collapsed="false">
      <c r="A210" s="17" t="s">
        <v>3648</v>
      </c>
      <c r="B210" s="18"/>
    </row>
    <row r="211" customFormat="false" ht="15" hidden="false" customHeight="false" outlineLevel="0" collapsed="false">
      <c r="A211" s="19" t="s">
        <v>3631</v>
      </c>
    </row>
    <row r="212" customFormat="false" ht="15" hidden="false" customHeight="false" outlineLevel="0" collapsed="false">
      <c r="A212" s="19" t="s">
        <v>3649</v>
      </c>
    </row>
    <row r="213" customFormat="false" ht="15" hidden="false" customHeight="false" outlineLevel="0" collapsed="false">
      <c r="A213" s="26" t="s">
        <v>2179</v>
      </c>
    </row>
    <row r="214" customFormat="false" ht="15" hidden="false" customHeight="false" outlineLevel="0" collapsed="false">
      <c r="A214" s="21" t="s">
        <v>3650</v>
      </c>
    </row>
    <row r="215" customFormat="false" ht="15" hidden="false" customHeight="false" outlineLevel="0" collapsed="false">
      <c r="A215" s="21" t="s">
        <v>3651</v>
      </c>
    </row>
    <row r="216" customFormat="false" ht="15" hidden="false" customHeight="false" outlineLevel="0" collapsed="false">
      <c r="A216" s="22" t="s">
        <v>3635</v>
      </c>
      <c r="B216" s="22" t="s">
        <v>3636</v>
      </c>
    </row>
    <row r="217" customFormat="false" ht="15" hidden="false" customHeight="false" outlineLevel="0" collapsed="false">
      <c r="A217" s="4" t="s">
        <v>3652</v>
      </c>
      <c r="B217" s="4" t="n">
        <v>304</v>
      </c>
    </row>
    <row r="218" customFormat="false" ht="15" hidden="false" customHeight="false" outlineLevel="0" collapsed="false">
      <c r="A218" s="4" t="s">
        <v>1630</v>
      </c>
      <c r="B218" s="4" t="n">
        <v>1.2</v>
      </c>
    </row>
    <row r="219" customFormat="false" ht="15" hidden="false" customHeight="false" outlineLevel="0" collapsed="false">
      <c r="A219" s="4" t="s">
        <v>3653</v>
      </c>
      <c r="B219" s="4" t="n">
        <v>24.2</v>
      </c>
    </row>
    <row r="220" customFormat="false" ht="15" hidden="false" customHeight="false" outlineLevel="0" collapsed="false">
      <c r="A220" s="4" t="s">
        <v>3640</v>
      </c>
      <c r="B220" s="4" t="n">
        <v>2.5</v>
      </c>
    </row>
    <row r="221" customFormat="false" ht="15" hidden="false" customHeight="false" outlineLevel="0" collapsed="false">
      <c r="A221" s="4" t="s">
        <v>3654</v>
      </c>
      <c r="B221" s="4" t="n">
        <v>8.5</v>
      </c>
    </row>
    <row r="222" customFormat="false" ht="15" hidden="false" customHeight="false" outlineLevel="0" collapsed="false">
      <c r="A222" s="4" t="s">
        <v>3655</v>
      </c>
      <c r="B222" s="4" t="s">
        <v>3656</v>
      </c>
    </row>
    <row r="223" customFormat="false" ht="15" hidden="false" customHeight="false" outlineLevel="0" collapsed="false">
      <c r="A223" s="4" t="s">
        <v>3644</v>
      </c>
      <c r="B223" s="4" t="n">
        <v>10</v>
      </c>
    </row>
    <row r="224" customFormat="false" ht="15" hidden="false" customHeight="false" outlineLevel="0" collapsed="false">
      <c r="A224" s="4" t="s">
        <v>3657</v>
      </c>
      <c r="B224" s="4" t="n">
        <v>5</v>
      </c>
    </row>
    <row r="225" customFormat="false" ht="15" hidden="false" customHeight="false" outlineLevel="0" collapsed="false">
      <c r="A225" s="4" t="s">
        <v>3658</v>
      </c>
      <c r="B225" s="4" t="n">
        <v>0.6</v>
      </c>
    </row>
    <row r="226" customFormat="false" ht="15" hidden="false" customHeight="false" outlineLevel="0" collapsed="false">
      <c r="A226" s="4" t="s">
        <v>3659</v>
      </c>
      <c r="B226" s="4" t="n">
        <v>58.5</v>
      </c>
    </row>
    <row r="227" customFormat="false" ht="15" hidden="false" customHeight="false" outlineLevel="0" collapsed="false">
      <c r="A227" s="4" t="s">
        <v>3660</v>
      </c>
      <c r="B227" s="4" t="n">
        <v>362.5</v>
      </c>
    </row>
    <row r="228" customFormat="false" ht="15" hidden="false" customHeight="false" outlineLevel="0" collapsed="false">
      <c r="A228" s="4" t="s">
        <v>3661</v>
      </c>
      <c r="B228" s="4" t="s">
        <v>3662</v>
      </c>
    </row>
    <row r="231" customFormat="false" ht="15" hidden="false" customHeight="false" outlineLevel="0" collapsed="false">
      <c r="A231" s="17" t="s">
        <v>3663</v>
      </c>
      <c r="B231" s="18"/>
    </row>
    <row r="232" customFormat="false" ht="15" hidden="false" customHeight="false" outlineLevel="0" collapsed="false">
      <c r="A232" s="19" t="s">
        <v>3631</v>
      </c>
    </row>
    <row r="233" customFormat="false" ht="15" hidden="false" customHeight="false" outlineLevel="0" collapsed="false">
      <c r="A233" s="19" t="s">
        <v>3664</v>
      </c>
    </row>
    <row r="234" customFormat="false" ht="15" hidden="false" customHeight="false" outlineLevel="0" collapsed="false">
      <c r="A234" s="26" t="s">
        <v>2179</v>
      </c>
    </row>
    <row r="235" customFormat="false" ht="15" hidden="false" customHeight="false" outlineLevel="0" collapsed="false">
      <c r="A235" s="21" t="s">
        <v>3665</v>
      </c>
    </row>
    <row r="236" customFormat="false" ht="15" hidden="false" customHeight="false" outlineLevel="0" collapsed="false">
      <c r="A236" s="21" t="s">
        <v>3666</v>
      </c>
    </row>
    <row r="237" customFormat="false" ht="15" hidden="false" customHeight="false" outlineLevel="0" collapsed="false">
      <c r="A237" s="22" t="s">
        <v>3635</v>
      </c>
      <c r="B237" s="22" t="s">
        <v>3636</v>
      </c>
    </row>
    <row r="238" customFormat="false" ht="15" hidden="false" customHeight="false" outlineLevel="0" collapsed="false">
      <c r="A238" s="4" t="s">
        <v>3667</v>
      </c>
      <c r="B238" s="4" t="n">
        <v>592</v>
      </c>
    </row>
    <row r="239" customFormat="false" ht="15" hidden="false" customHeight="false" outlineLevel="0" collapsed="false">
      <c r="A239" s="4" t="s">
        <v>1630</v>
      </c>
      <c r="B239" s="4" t="n">
        <v>2</v>
      </c>
    </row>
    <row r="240" customFormat="false" ht="15" hidden="false" customHeight="false" outlineLevel="0" collapsed="false">
      <c r="A240" s="4" t="s">
        <v>3668</v>
      </c>
      <c r="B240" s="4" t="n">
        <v>106</v>
      </c>
    </row>
    <row r="241" customFormat="false" ht="15" hidden="false" customHeight="false" outlineLevel="0" collapsed="false">
      <c r="A241" s="4" t="s">
        <v>3669</v>
      </c>
      <c r="B241" s="4" t="n">
        <v>266</v>
      </c>
    </row>
    <row r="242" customFormat="false" ht="15" hidden="false" customHeight="false" outlineLevel="0" collapsed="false">
      <c r="A242" s="4" t="s">
        <v>3670</v>
      </c>
      <c r="B242" s="4" t="n">
        <v>25</v>
      </c>
    </row>
    <row r="243" customFormat="false" ht="15" hidden="false" customHeight="false" outlineLevel="0" collapsed="false">
      <c r="A243" s="4" t="s">
        <v>3642</v>
      </c>
      <c r="B243" s="4" t="n">
        <v>68</v>
      </c>
    </row>
    <row r="244" customFormat="false" ht="15" hidden="false" customHeight="false" outlineLevel="0" collapsed="false">
      <c r="A244" s="4" t="s">
        <v>3671</v>
      </c>
      <c r="B244" s="4" t="n">
        <v>20</v>
      </c>
    </row>
    <row r="245" customFormat="false" ht="15" hidden="false" customHeight="false" outlineLevel="0" collapsed="false">
      <c r="A245" s="4" t="s">
        <v>3672</v>
      </c>
      <c r="B245" s="4" t="n">
        <v>5</v>
      </c>
    </row>
    <row r="246" customFormat="false" ht="15" hidden="false" customHeight="false" outlineLevel="0" collapsed="false">
      <c r="A246" s="4" t="s">
        <v>3644</v>
      </c>
      <c r="B246" s="4" t="n">
        <v>100</v>
      </c>
    </row>
    <row r="247" customFormat="false" ht="15" hidden="false" customHeight="false" outlineLevel="0" collapsed="false">
      <c r="A247" s="4" t="s">
        <v>3673</v>
      </c>
      <c r="B247" s="4" t="n">
        <v>3</v>
      </c>
    </row>
    <row r="248" customFormat="false" ht="15" hidden="false" customHeight="false" outlineLevel="0" collapsed="false">
      <c r="A248" s="4" t="s">
        <v>3645</v>
      </c>
      <c r="B248" s="4" t="n">
        <v>1187</v>
      </c>
    </row>
    <row r="249" customFormat="false" ht="15" hidden="false" customHeight="false" outlineLevel="0" collapsed="false">
      <c r="A249" s="4" t="s">
        <v>3661</v>
      </c>
      <c r="B249" s="4" t="s">
        <v>3674</v>
      </c>
    </row>
    <row r="252" customFormat="false" ht="15" hidden="false" customHeight="false" outlineLevel="0" collapsed="false">
      <c r="A252" s="17" t="s">
        <v>3675</v>
      </c>
      <c r="B252" s="18"/>
      <c r="C252" s="18"/>
    </row>
    <row r="253" customFormat="false" ht="15" hidden="false" customHeight="false" outlineLevel="0" collapsed="false">
      <c r="A253" s="19" t="s">
        <v>3676</v>
      </c>
    </row>
    <row r="254" customFormat="false" ht="15" hidden="false" customHeight="false" outlineLevel="0" collapsed="false">
      <c r="A254" s="23" t="s">
        <v>1246</v>
      </c>
    </row>
    <row r="255" customFormat="false" ht="15" hidden="false" customHeight="false" outlineLevel="0" collapsed="false">
      <c r="A255" s="21" t="s">
        <v>3677</v>
      </c>
    </row>
    <row r="256" customFormat="false" ht="15" hidden="false" customHeight="false" outlineLevel="0" collapsed="false">
      <c r="A256" s="21" t="s">
        <v>3678</v>
      </c>
    </row>
    <row r="257" customFormat="false" ht="15" hidden="false" customHeight="false" outlineLevel="0" collapsed="false">
      <c r="A257" s="22" t="s">
        <v>3679</v>
      </c>
      <c r="B257" s="22" t="s">
        <v>3680</v>
      </c>
      <c r="C257" s="22" t="s">
        <v>8</v>
      </c>
    </row>
    <row r="258" customFormat="false" ht="15" hidden="false" customHeight="false" outlineLevel="0" collapsed="false">
      <c r="A258" s="4" t="s">
        <v>3681</v>
      </c>
      <c r="B258" s="4" t="s">
        <v>3682</v>
      </c>
      <c r="C258" s="4" t="s">
        <v>3683</v>
      </c>
    </row>
    <row r="259" customFormat="false" ht="15" hidden="false" customHeight="false" outlineLevel="0" collapsed="false">
      <c r="A259" s="4" t="s">
        <v>3684</v>
      </c>
      <c r="B259" s="4" t="s">
        <v>3685</v>
      </c>
      <c r="C259" s="4" t="s">
        <v>3686</v>
      </c>
    </row>
    <row r="260" customFormat="false" ht="15" hidden="false" customHeight="false" outlineLevel="0" collapsed="false">
      <c r="A260" s="4" t="s">
        <v>3687</v>
      </c>
      <c r="B260" s="4" t="s">
        <v>3688</v>
      </c>
      <c r="C260" s="4" t="s">
        <v>3686</v>
      </c>
    </row>
    <row r="261" customFormat="false" ht="15" hidden="false" customHeight="false" outlineLevel="0" collapsed="false">
      <c r="A261" s="4" t="s">
        <v>3689</v>
      </c>
      <c r="B261" s="4" t="s">
        <v>3690</v>
      </c>
      <c r="C261" s="4" t="s">
        <v>3686</v>
      </c>
    </row>
    <row r="262" customFormat="false" ht="15" hidden="false" customHeight="false" outlineLevel="0" collapsed="false">
      <c r="A262" s="4" t="s">
        <v>3691</v>
      </c>
      <c r="B262" s="4" t="s">
        <v>3692</v>
      </c>
      <c r="C262" s="4" t="s">
        <v>3686</v>
      </c>
    </row>
    <row r="263" customFormat="false" ht="15" hidden="false" customHeight="false" outlineLevel="0" collapsed="false">
      <c r="A263" s="4" t="s">
        <v>3693</v>
      </c>
      <c r="B263" s="4" t="s">
        <v>3694</v>
      </c>
      <c r="C263" s="4" t="s">
        <v>3695</v>
      </c>
    </row>
    <row r="264" customFormat="false" ht="15" hidden="false" customHeight="false" outlineLevel="0" collapsed="false">
      <c r="A264" s="4" t="s">
        <v>3696</v>
      </c>
      <c r="B264" s="4" t="s">
        <v>3697</v>
      </c>
      <c r="C264" s="4" t="s">
        <v>3698</v>
      </c>
    </row>
    <row r="267" customFormat="false" ht="15" hidden="false" customHeight="false" outlineLevel="0" collapsed="false">
      <c r="A267" s="17" t="s">
        <v>3699</v>
      </c>
      <c r="B267" s="18"/>
      <c r="C267" s="18"/>
      <c r="D267" s="18"/>
    </row>
    <row r="268" customFormat="false" ht="15" hidden="false" customHeight="false" outlineLevel="0" collapsed="false">
      <c r="A268" s="19" t="s">
        <v>3676</v>
      </c>
    </row>
    <row r="269" customFormat="false" ht="15" hidden="false" customHeight="false" outlineLevel="0" collapsed="false">
      <c r="A269" s="19" t="s">
        <v>3700</v>
      </c>
    </row>
    <row r="270" customFormat="false" ht="15" hidden="false" customHeight="false" outlineLevel="0" collapsed="false">
      <c r="A270" s="26" t="s">
        <v>2179</v>
      </c>
    </row>
    <row r="271" customFormat="false" ht="15" hidden="false" customHeight="false" outlineLevel="0" collapsed="false">
      <c r="A271" s="21" t="s">
        <v>3701</v>
      </c>
    </row>
    <row r="272" customFormat="false" ht="15" hidden="false" customHeight="false" outlineLevel="0" collapsed="false">
      <c r="A272" s="21" t="s">
        <v>3702</v>
      </c>
    </row>
    <row r="273" customFormat="false" ht="15" hidden="false" customHeight="false" outlineLevel="0" collapsed="false">
      <c r="A273" s="22" t="s">
        <v>1318</v>
      </c>
      <c r="B273" s="22" t="s">
        <v>3703</v>
      </c>
      <c r="C273" s="22" t="s">
        <v>3704</v>
      </c>
      <c r="D273" s="22" t="s">
        <v>3705</v>
      </c>
    </row>
    <row r="274" customFormat="false" ht="15" hidden="false" customHeight="false" outlineLevel="0" collapsed="false">
      <c r="A274" s="4" t="s">
        <v>3706</v>
      </c>
      <c r="B274" s="4" t="s">
        <v>3707</v>
      </c>
      <c r="C274" s="4" t="s">
        <v>3708</v>
      </c>
      <c r="D274" s="4" t="s">
        <v>3709</v>
      </c>
    </row>
    <row r="275" customFormat="false" ht="15" hidden="false" customHeight="false" outlineLevel="0" collapsed="false">
      <c r="A275" s="4" t="s">
        <v>3710</v>
      </c>
      <c r="B275" s="4" t="s">
        <v>3711</v>
      </c>
      <c r="C275" s="4" t="s">
        <v>3712</v>
      </c>
      <c r="D275" s="4" t="s">
        <v>3713</v>
      </c>
    </row>
    <row r="276" customFormat="false" ht="15" hidden="false" customHeight="false" outlineLevel="0" collapsed="false">
      <c r="A276" s="4" t="s">
        <v>3714</v>
      </c>
      <c r="B276" s="4" t="s">
        <v>3715</v>
      </c>
      <c r="C276" s="4" t="s">
        <v>3716</v>
      </c>
      <c r="D276" s="4" t="s">
        <v>3717</v>
      </c>
    </row>
    <row r="277" customFormat="false" ht="15" hidden="false" customHeight="false" outlineLevel="0" collapsed="false">
      <c r="A277" s="4" t="s">
        <v>3718</v>
      </c>
      <c r="B277" s="4" t="s">
        <v>3719</v>
      </c>
      <c r="C277" s="4" t="s">
        <v>3720</v>
      </c>
      <c r="D277" s="4" t="n">
        <v>11908</v>
      </c>
    </row>
    <row r="278" customFormat="false" ht="15" hidden="false" customHeight="false" outlineLevel="0" collapsed="false">
      <c r="A278" s="4" t="s">
        <v>3721</v>
      </c>
      <c r="B278" s="4" t="n">
        <v>174</v>
      </c>
      <c r="C278" s="4" t="n">
        <v>362.5</v>
      </c>
      <c r="D278" s="4" t="n">
        <v>1187</v>
      </c>
    </row>
    <row r="279" customFormat="false" ht="15" hidden="false" customHeight="false" outlineLevel="0" collapsed="false">
      <c r="A279" s="4" t="s">
        <v>3722</v>
      </c>
      <c r="B279" s="4" t="s">
        <v>3723</v>
      </c>
      <c r="C279" s="4" t="s">
        <v>3724</v>
      </c>
      <c r="D279" s="4" t="s">
        <v>3725</v>
      </c>
    </row>
    <row r="280" customFormat="false" ht="15" hidden="false" customHeight="false" outlineLevel="0" collapsed="false">
      <c r="A280" s="4" t="s">
        <v>3726</v>
      </c>
      <c r="B280" s="4" t="s">
        <v>3727</v>
      </c>
      <c r="C280" s="4" t="s">
        <v>3728</v>
      </c>
      <c r="D280" s="4" t="s">
        <v>3729</v>
      </c>
    </row>
    <row r="281" customFormat="false" ht="15" hidden="false" customHeight="false" outlineLevel="0" collapsed="false">
      <c r="A281" s="4" t="s">
        <v>3730</v>
      </c>
      <c r="B281" s="4" t="s">
        <v>3731</v>
      </c>
      <c r="C281" s="4" t="s">
        <v>3489</v>
      </c>
      <c r="D281" s="4" t="s">
        <v>3732</v>
      </c>
    </row>
    <row r="282" customFormat="false" ht="15" hidden="false" customHeight="false" outlineLevel="0" collapsed="false">
      <c r="A282" s="4" t="s">
        <v>3733</v>
      </c>
      <c r="B282" s="4" t="s">
        <v>3734</v>
      </c>
      <c r="C282" s="4" t="s">
        <v>3735</v>
      </c>
      <c r="D282" s="4" t="s">
        <v>3736</v>
      </c>
    </row>
    <row r="283" customFormat="false" ht="15" hidden="false" customHeight="false" outlineLevel="0" collapsed="false">
      <c r="A283" s="4" t="s">
        <v>3737</v>
      </c>
      <c r="B283" s="4" t="s">
        <v>3738</v>
      </c>
      <c r="C283" s="4" t="s">
        <v>3739</v>
      </c>
      <c r="D283" s="4" t="s">
        <v>3740</v>
      </c>
    </row>
    <row r="286" customFormat="false" ht="15" hidden="false" customHeight="false" outlineLevel="0" collapsed="false">
      <c r="A286" s="17" t="s">
        <v>3741</v>
      </c>
      <c r="B286" s="18"/>
    </row>
    <row r="287" customFormat="false" ht="15" hidden="false" customHeight="false" outlineLevel="0" collapsed="false">
      <c r="A287" s="19" t="s">
        <v>3676</v>
      </c>
    </row>
    <row r="288" customFormat="false" ht="15" hidden="false" customHeight="false" outlineLevel="0" collapsed="false">
      <c r="A288" s="23" t="s">
        <v>1246</v>
      </c>
    </row>
    <row r="289" customFormat="false" ht="15" hidden="false" customHeight="false" outlineLevel="0" collapsed="false">
      <c r="A289" s="21" t="s">
        <v>3742</v>
      </c>
    </row>
    <row r="290" customFormat="false" ht="15" hidden="false" customHeight="false" outlineLevel="0" collapsed="false">
      <c r="A290" s="21" t="s">
        <v>3743</v>
      </c>
    </row>
    <row r="291" customFormat="false" ht="15" hidden="false" customHeight="false" outlineLevel="0" collapsed="false">
      <c r="A291" s="22" t="s">
        <v>3744</v>
      </c>
      <c r="B291" s="22" t="s">
        <v>3745</v>
      </c>
    </row>
    <row r="292" customFormat="false" ht="46.25" hidden="false" customHeight="false" outlineLevel="0" collapsed="false">
      <c r="A292" s="4" t="s">
        <v>3746</v>
      </c>
      <c r="B292" s="4" t="s">
        <v>3747</v>
      </c>
    </row>
    <row r="293" customFormat="false" ht="35.05" hidden="false" customHeight="false" outlineLevel="0" collapsed="false">
      <c r="A293" s="4" t="s">
        <v>3748</v>
      </c>
      <c r="B293" s="4" t="s">
        <v>3749</v>
      </c>
    </row>
    <row r="294" customFormat="false" ht="35.05" hidden="false" customHeight="false" outlineLevel="0" collapsed="false">
      <c r="A294" s="4" t="s">
        <v>3750</v>
      </c>
      <c r="B294" s="4" t="s">
        <v>3751</v>
      </c>
    </row>
    <row r="295" customFormat="false" ht="23.85" hidden="false" customHeight="false" outlineLevel="0" collapsed="false">
      <c r="A295" s="4" t="s">
        <v>3752</v>
      </c>
      <c r="B295" s="4" t="s">
        <v>3753</v>
      </c>
    </row>
    <row r="298" customFormat="false" ht="15" hidden="false" customHeight="false" outlineLevel="0" collapsed="false">
      <c r="A298" s="17" t="s">
        <v>3754</v>
      </c>
      <c r="B298" s="18"/>
      <c r="C298" s="18"/>
      <c r="D298" s="18"/>
      <c r="E298" s="18"/>
      <c r="F298" s="18"/>
    </row>
    <row r="299" customFormat="false" ht="15" hidden="false" customHeight="false" outlineLevel="0" collapsed="false">
      <c r="A299" s="19" t="s">
        <v>3755</v>
      </c>
    </row>
    <row r="300" customFormat="false" ht="15" hidden="false" customHeight="false" outlineLevel="0" collapsed="false">
      <c r="A300" s="19" t="s">
        <v>3756</v>
      </c>
    </row>
    <row r="301" customFormat="false" ht="15" hidden="false" customHeight="false" outlineLevel="0" collapsed="false">
      <c r="A301" s="26" t="s">
        <v>2179</v>
      </c>
    </row>
    <row r="302" customFormat="false" ht="15" hidden="false" customHeight="false" outlineLevel="0" collapsed="false">
      <c r="A302" s="21" t="s">
        <v>3757</v>
      </c>
    </row>
    <row r="303" customFormat="false" ht="15" hidden="false" customHeight="false" outlineLevel="0" collapsed="false">
      <c r="A303" s="21" t="s">
        <v>3758</v>
      </c>
    </row>
    <row r="304" customFormat="false" ht="15" hidden="false" customHeight="false" outlineLevel="0" collapsed="false">
      <c r="A304" s="22" t="s">
        <v>3759</v>
      </c>
      <c r="B304" s="22" t="s">
        <v>3760</v>
      </c>
      <c r="C304" s="22" t="s">
        <v>3761</v>
      </c>
      <c r="D304" s="22" t="s">
        <v>3762</v>
      </c>
      <c r="E304" s="22" t="s">
        <v>3763</v>
      </c>
      <c r="F304" s="22" t="s">
        <v>3764</v>
      </c>
    </row>
    <row r="305" customFormat="false" ht="15" hidden="false" customHeight="false" outlineLevel="0" collapsed="false">
      <c r="A305" s="4" t="s">
        <v>3765</v>
      </c>
      <c r="B305" s="4" t="s">
        <v>3766</v>
      </c>
      <c r="C305" s="4" t="s">
        <v>3767</v>
      </c>
      <c r="D305" s="4" t="s">
        <v>3768</v>
      </c>
      <c r="E305" s="4" t="s">
        <v>3769</v>
      </c>
      <c r="F305" s="4" t="s">
        <v>3770</v>
      </c>
    </row>
    <row r="306" customFormat="false" ht="15" hidden="false" customHeight="false" outlineLevel="0" collapsed="false">
      <c r="A306" s="4" t="s">
        <v>3771</v>
      </c>
      <c r="B306" s="4" t="s">
        <v>3772</v>
      </c>
      <c r="C306" s="4" t="s">
        <v>3773</v>
      </c>
      <c r="D306" s="4" t="s">
        <v>3774</v>
      </c>
      <c r="E306" s="4" t="s">
        <v>3775</v>
      </c>
      <c r="F306" s="4" t="s">
        <v>3776</v>
      </c>
    </row>
    <row r="307" customFormat="false" ht="15" hidden="false" customHeight="false" outlineLevel="0" collapsed="false">
      <c r="A307" s="4" t="s">
        <v>3777</v>
      </c>
      <c r="B307" s="4" t="s">
        <v>3778</v>
      </c>
      <c r="C307" s="4" t="s">
        <v>3779</v>
      </c>
      <c r="D307" s="4" t="s">
        <v>3780</v>
      </c>
      <c r="E307" s="4" t="s">
        <v>3781</v>
      </c>
      <c r="F307" s="4" t="s">
        <v>3782</v>
      </c>
    </row>
    <row r="308" customFormat="false" ht="15" hidden="false" customHeight="false" outlineLevel="0" collapsed="false">
      <c r="A308" s="4" t="s">
        <v>3783</v>
      </c>
      <c r="B308" s="4" t="s">
        <v>3784</v>
      </c>
      <c r="C308" s="4" t="s">
        <v>3785</v>
      </c>
      <c r="D308" s="4" t="s">
        <v>3786</v>
      </c>
      <c r="E308" s="4" t="s">
        <v>3787</v>
      </c>
      <c r="F308" s="4" t="s">
        <v>3788</v>
      </c>
    </row>
    <row r="311" customFormat="false" ht="15" hidden="false" customHeight="false" outlineLevel="0" collapsed="false">
      <c r="A311" s="17" t="s">
        <v>3789</v>
      </c>
      <c r="B311" s="18"/>
      <c r="C311" s="18"/>
      <c r="D311" s="18"/>
      <c r="E311" s="18"/>
      <c r="F311" s="18"/>
      <c r="G311" s="18"/>
    </row>
    <row r="312" customFormat="false" ht="15" hidden="false" customHeight="false" outlineLevel="0" collapsed="false">
      <c r="A312" s="19" t="s">
        <v>3790</v>
      </c>
    </row>
    <row r="313" customFormat="false" ht="15" hidden="false" customHeight="false" outlineLevel="0" collapsed="false">
      <c r="A313" s="19" t="s">
        <v>3791</v>
      </c>
    </row>
    <row r="314" customFormat="false" ht="15" hidden="false" customHeight="false" outlineLevel="0" collapsed="false">
      <c r="A314" s="26" t="s">
        <v>2179</v>
      </c>
    </row>
    <row r="315" customFormat="false" ht="15" hidden="false" customHeight="false" outlineLevel="0" collapsed="false">
      <c r="A315" s="21" t="s">
        <v>3792</v>
      </c>
    </row>
    <row r="316" customFormat="false" ht="15" hidden="false" customHeight="false" outlineLevel="0" collapsed="false">
      <c r="A316" s="21" t="s">
        <v>3793</v>
      </c>
    </row>
    <row r="317" customFormat="false" ht="15" hidden="false" customHeight="false" outlineLevel="0" collapsed="false">
      <c r="A317" s="22" t="s">
        <v>3014</v>
      </c>
      <c r="B317" s="22" t="s">
        <v>3794</v>
      </c>
      <c r="C317" s="22" t="s">
        <v>3795</v>
      </c>
      <c r="D317" s="22" t="s">
        <v>3796</v>
      </c>
      <c r="E317" s="22" t="s">
        <v>3797</v>
      </c>
      <c r="F317" s="22" t="s">
        <v>3798</v>
      </c>
      <c r="G317" s="22" t="s">
        <v>3799</v>
      </c>
    </row>
    <row r="318" customFormat="false" ht="15" hidden="false" customHeight="false" outlineLevel="0" collapsed="false">
      <c r="A318" s="4" t="s">
        <v>3800</v>
      </c>
      <c r="B318" s="4" t="s">
        <v>3801</v>
      </c>
      <c r="C318" s="4" t="n">
        <v>174</v>
      </c>
      <c r="D318" s="4" t="n">
        <v>110.4</v>
      </c>
      <c r="E318" s="4" t="s">
        <v>3802</v>
      </c>
      <c r="F318" s="4" t="n">
        <v>11.7</v>
      </c>
      <c r="G318" s="4" t="s">
        <v>3803</v>
      </c>
    </row>
    <row r="319" customFormat="false" ht="15" hidden="false" customHeight="false" outlineLevel="0" collapsed="false">
      <c r="A319" s="4" t="s">
        <v>3804</v>
      </c>
      <c r="B319" s="4" t="s">
        <v>3805</v>
      </c>
      <c r="C319" s="4" t="n">
        <v>362.5</v>
      </c>
      <c r="D319" s="4" t="n">
        <v>311.9</v>
      </c>
      <c r="E319" s="4" t="n">
        <v>20.2</v>
      </c>
      <c r="F319" s="4" t="n">
        <v>9.7</v>
      </c>
      <c r="G319" s="4" t="s">
        <v>3806</v>
      </c>
    </row>
    <row r="320" customFormat="false" ht="15" hidden="false" customHeight="false" outlineLevel="0" collapsed="false">
      <c r="A320" s="4" t="s">
        <v>3807</v>
      </c>
      <c r="B320" s="4" t="s">
        <v>3808</v>
      </c>
      <c r="C320" s="4" t="s">
        <v>3809</v>
      </c>
      <c r="D320" s="4" t="n">
        <v>700.8</v>
      </c>
      <c r="E320" s="4" t="n">
        <v>26.4</v>
      </c>
      <c r="F320" s="4" t="n">
        <v>8.45</v>
      </c>
      <c r="G320" s="4" t="s">
        <v>3810</v>
      </c>
    </row>
    <row r="321" customFormat="false" ht="15" hidden="false" customHeight="false" outlineLevel="0" collapsed="false">
      <c r="A321" s="4" t="s">
        <v>3811</v>
      </c>
      <c r="B321" s="4" t="s">
        <v>3812</v>
      </c>
      <c r="C321" s="4" t="n">
        <v>1187</v>
      </c>
      <c r="D321" s="4" t="n">
        <v>700.8</v>
      </c>
      <c r="E321" s="4" t="s">
        <v>3813</v>
      </c>
      <c r="F321" s="4" t="n">
        <v>8.45</v>
      </c>
      <c r="G321" s="4" t="s">
        <v>3814</v>
      </c>
    </row>
    <row r="324" customFormat="false" ht="15" hidden="false" customHeight="false" outlineLevel="0" collapsed="false">
      <c r="A324" s="17" t="s">
        <v>3815</v>
      </c>
      <c r="B324" s="18"/>
      <c r="C324" s="18"/>
      <c r="D324" s="18"/>
      <c r="E324" s="18"/>
      <c r="F324" s="18"/>
    </row>
    <row r="325" customFormat="false" ht="15" hidden="false" customHeight="false" outlineLevel="0" collapsed="false">
      <c r="A325" s="19" t="s">
        <v>3816</v>
      </c>
    </row>
    <row r="326" customFormat="false" ht="15" hidden="false" customHeight="false" outlineLevel="0" collapsed="false">
      <c r="A326" s="19" t="s">
        <v>3817</v>
      </c>
    </row>
    <row r="327" customFormat="false" ht="15" hidden="false" customHeight="false" outlineLevel="0" collapsed="false">
      <c r="A327" s="26" t="s">
        <v>2179</v>
      </c>
    </row>
    <row r="328" customFormat="false" ht="15" hidden="false" customHeight="false" outlineLevel="0" collapsed="false">
      <c r="A328" s="21" t="s">
        <v>3818</v>
      </c>
    </row>
    <row r="329" customFormat="false" ht="15" hidden="false" customHeight="false" outlineLevel="0" collapsed="false">
      <c r="A329" s="21" t="s">
        <v>3819</v>
      </c>
    </row>
    <row r="330" customFormat="false" ht="15" hidden="false" customHeight="false" outlineLevel="0" collapsed="false">
      <c r="A330" s="22" t="s">
        <v>3820</v>
      </c>
      <c r="B330" s="22" t="s">
        <v>3821</v>
      </c>
      <c r="C330" s="22" t="s">
        <v>3478</v>
      </c>
      <c r="D330" s="22" t="s">
        <v>3822</v>
      </c>
      <c r="E330" s="22" t="s">
        <v>3823</v>
      </c>
      <c r="F330" s="22" t="s">
        <v>3824</v>
      </c>
    </row>
    <row r="331" customFormat="false" ht="15" hidden="false" customHeight="false" outlineLevel="0" collapsed="false">
      <c r="A331" s="4" t="s">
        <v>3825</v>
      </c>
      <c r="B331" s="4" t="n">
        <v>112.8</v>
      </c>
      <c r="C331" s="4" t="n">
        <v>145</v>
      </c>
      <c r="D331" s="4" t="s">
        <v>3826</v>
      </c>
      <c r="E331" s="4" t="n">
        <v>232</v>
      </c>
      <c r="F331" s="4" t="n">
        <v>343</v>
      </c>
    </row>
    <row r="332" customFormat="false" ht="15" hidden="false" customHeight="false" outlineLevel="0" collapsed="false">
      <c r="A332" s="4" t="s">
        <v>3827</v>
      </c>
      <c r="B332" s="4" t="n">
        <v>129.1</v>
      </c>
      <c r="C332" s="4" t="n">
        <v>161</v>
      </c>
      <c r="D332" s="4" t="n">
        <v>198</v>
      </c>
      <c r="E332" s="4" t="n">
        <v>259</v>
      </c>
      <c r="F332" s="4" t="n">
        <v>384</v>
      </c>
    </row>
    <row r="333" customFormat="false" ht="15" hidden="false" customHeight="false" outlineLevel="0" collapsed="false">
      <c r="A333" s="4" t="s">
        <v>3828</v>
      </c>
      <c r="B333" s="4" t="n">
        <v>184.5</v>
      </c>
      <c r="C333" s="4" t="n">
        <v>229</v>
      </c>
      <c r="D333" s="4" t="s">
        <v>3829</v>
      </c>
      <c r="E333" s="4" t="n">
        <v>368</v>
      </c>
      <c r="F333" s="4" t="n">
        <v>545</v>
      </c>
    </row>
    <row r="334" customFormat="false" ht="15" hidden="false" customHeight="false" outlineLevel="0" collapsed="false">
      <c r="A334" s="4" t="s">
        <v>3830</v>
      </c>
      <c r="B334" s="4" t="s">
        <v>3831</v>
      </c>
      <c r="C334" s="4" t="n">
        <v>251</v>
      </c>
      <c r="D334" s="4" t="s">
        <v>3832</v>
      </c>
      <c r="E334" s="4" t="n">
        <v>404</v>
      </c>
      <c r="F334" s="4" t="n">
        <v>598</v>
      </c>
    </row>
    <row r="337" customFormat="false" ht="15" hidden="false" customHeight="false" outlineLevel="0" collapsed="false">
      <c r="A337" s="17" t="s">
        <v>3833</v>
      </c>
      <c r="B337" s="18"/>
      <c r="C337" s="18"/>
    </row>
    <row r="338" customFormat="false" ht="15" hidden="false" customHeight="false" outlineLevel="0" collapsed="false">
      <c r="A338" s="19" t="s">
        <v>3816</v>
      </c>
    </row>
    <row r="339" customFormat="false" ht="15" hidden="false" customHeight="false" outlineLevel="0" collapsed="false">
      <c r="A339" s="19" t="s">
        <v>3834</v>
      </c>
    </row>
    <row r="340" customFormat="false" ht="15" hidden="false" customHeight="false" outlineLevel="0" collapsed="false">
      <c r="A340" s="23" t="s">
        <v>1246</v>
      </c>
    </row>
    <row r="341" customFormat="false" ht="15" hidden="false" customHeight="false" outlineLevel="0" collapsed="false">
      <c r="A341" s="21" t="s">
        <v>3835</v>
      </c>
    </row>
    <row r="342" customFormat="false" ht="15" hidden="false" customHeight="false" outlineLevel="0" collapsed="false">
      <c r="A342" s="21" t="s">
        <v>3836</v>
      </c>
    </row>
    <row r="343" customFormat="false" ht="15" hidden="false" customHeight="false" outlineLevel="0" collapsed="false">
      <c r="A343" s="22" t="s">
        <v>3837</v>
      </c>
      <c r="B343" s="22" t="s">
        <v>3820</v>
      </c>
      <c r="C343" s="22" t="s">
        <v>3838</v>
      </c>
    </row>
    <row r="344" customFormat="false" ht="57.45" hidden="false" customHeight="false" outlineLevel="0" collapsed="false">
      <c r="A344" s="4" t="s">
        <v>3839</v>
      </c>
      <c r="B344" s="4" t="n">
        <v>150</v>
      </c>
      <c r="C344" s="4" t="s">
        <v>3840</v>
      </c>
    </row>
    <row r="345" customFormat="false" ht="15" hidden="false" customHeight="false" outlineLevel="0" collapsed="false">
      <c r="A345" s="4" t="s">
        <v>3841</v>
      </c>
      <c r="B345" s="4" t="n">
        <v>217.89</v>
      </c>
      <c r="C345" s="4" t="s">
        <v>3842</v>
      </c>
    </row>
    <row r="346" customFormat="false" ht="15" hidden="false" customHeight="false" outlineLevel="0" collapsed="false">
      <c r="A346" s="4" t="s">
        <v>3843</v>
      </c>
      <c r="B346" s="4" t="s">
        <v>3844</v>
      </c>
      <c r="C346" s="4" t="s">
        <v>3845</v>
      </c>
    </row>
    <row r="347" customFormat="false" ht="15" hidden="false" customHeight="false" outlineLevel="0" collapsed="false">
      <c r="A347" s="4" t="s">
        <v>3846</v>
      </c>
      <c r="B347" s="4" t="n">
        <v>255.55</v>
      </c>
      <c r="C347" s="4" t="s">
        <v>3847</v>
      </c>
    </row>
    <row r="348" customFormat="false" ht="15" hidden="false" customHeight="false" outlineLevel="0" collapsed="false">
      <c r="A348" s="4" t="s">
        <v>3848</v>
      </c>
      <c r="B348" s="4" t="s">
        <v>3849</v>
      </c>
      <c r="C348" s="4" t="s">
        <v>3850</v>
      </c>
    </row>
    <row r="349" customFormat="false" ht="15" hidden="false" customHeight="false" outlineLevel="0" collapsed="false">
      <c r="A349" s="4" t="s">
        <v>3851</v>
      </c>
      <c r="B349" s="4" t="n">
        <v>356</v>
      </c>
      <c r="C349" s="4" t="s">
        <v>3852</v>
      </c>
    </row>
    <row r="350" customFormat="false" ht="15" hidden="false" customHeight="false" outlineLevel="0" collapsed="false">
      <c r="A350" s="4" t="s">
        <v>3853</v>
      </c>
      <c r="B350" s="4" t="s">
        <v>3854</v>
      </c>
      <c r="C350" s="4" t="s">
        <v>3855</v>
      </c>
    </row>
    <row r="351" customFormat="false" ht="15" hidden="false" customHeight="false" outlineLevel="0" collapsed="false">
      <c r="A351" s="4" t="s">
        <v>3856</v>
      </c>
      <c r="B351" s="4" t="s">
        <v>3857</v>
      </c>
      <c r="C351" s="4" t="s">
        <v>3858</v>
      </c>
    </row>
    <row r="352" customFormat="false" ht="15" hidden="false" customHeight="false" outlineLevel="0" collapsed="false">
      <c r="A352" s="4" t="s">
        <v>3859</v>
      </c>
      <c r="B352" s="4" t="s">
        <v>3860</v>
      </c>
      <c r="C352" s="4" t="s">
        <v>3861</v>
      </c>
    </row>
    <row r="355" customFormat="false" ht="15" hidden="false" customHeight="false" outlineLevel="0" collapsed="false">
      <c r="A355" s="17" t="s">
        <v>3862</v>
      </c>
      <c r="B355" s="18"/>
      <c r="C355" s="18"/>
      <c r="D355" s="18"/>
    </row>
    <row r="356" customFormat="false" ht="15" hidden="false" customHeight="false" outlineLevel="0" collapsed="false">
      <c r="A356" s="19" t="s">
        <v>3863</v>
      </c>
    </row>
    <row r="357" customFormat="false" ht="15" hidden="false" customHeight="false" outlineLevel="0" collapsed="false">
      <c r="A357" s="26" t="s">
        <v>2179</v>
      </c>
    </row>
    <row r="358" customFormat="false" ht="15" hidden="false" customHeight="false" outlineLevel="0" collapsed="false">
      <c r="A358" s="21" t="s">
        <v>3864</v>
      </c>
    </row>
    <row r="359" customFormat="false" ht="15" hidden="false" customHeight="false" outlineLevel="0" collapsed="false">
      <c r="A359" s="21" t="s">
        <v>3865</v>
      </c>
    </row>
    <row r="360" customFormat="false" ht="15" hidden="false" customHeight="false" outlineLevel="0" collapsed="false">
      <c r="A360" s="22" t="s">
        <v>3866</v>
      </c>
      <c r="B360" s="22" t="s">
        <v>3867</v>
      </c>
      <c r="C360" s="22" t="s">
        <v>3868</v>
      </c>
      <c r="D360" s="22" t="s">
        <v>3869</v>
      </c>
    </row>
    <row r="361" customFormat="false" ht="23.85" hidden="false" customHeight="false" outlineLevel="0" collapsed="false">
      <c r="A361" s="4" t="s">
        <v>3571</v>
      </c>
      <c r="B361" s="4" t="s">
        <v>3870</v>
      </c>
      <c r="C361" s="4" t="s">
        <v>3871</v>
      </c>
      <c r="D361" s="4" t="s">
        <v>3872</v>
      </c>
    </row>
    <row r="362" customFormat="false" ht="15" hidden="false" customHeight="false" outlineLevel="0" collapsed="false">
      <c r="A362" s="4" t="s">
        <v>3873</v>
      </c>
      <c r="B362" s="4" t="s">
        <v>3874</v>
      </c>
      <c r="C362" s="4" t="s">
        <v>3875</v>
      </c>
      <c r="D362" s="4" t="s">
        <v>3876</v>
      </c>
    </row>
    <row r="363" customFormat="false" ht="15" hidden="false" customHeight="false" outlineLevel="0" collapsed="false">
      <c r="A363" s="4" t="s">
        <v>1627</v>
      </c>
      <c r="B363" s="4" t="s">
        <v>3877</v>
      </c>
      <c r="C363" s="4" t="s">
        <v>3878</v>
      </c>
      <c r="D363" s="4" t="s">
        <v>3879</v>
      </c>
    </row>
    <row r="364" customFormat="false" ht="15" hidden="false" customHeight="false" outlineLevel="0" collapsed="false">
      <c r="A364" s="4" t="s">
        <v>3880</v>
      </c>
      <c r="B364" s="4" t="s">
        <v>3881</v>
      </c>
      <c r="C364" s="4" t="s">
        <v>3882</v>
      </c>
      <c r="D364" s="4" t="s">
        <v>3883</v>
      </c>
    </row>
    <row r="365" customFormat="false" ht="23.85" hidden="false" customHeight="false" outlineLevel="0" collapsed="false">
      <c r="A365" s="4" t="s">
        <v>3884</v>
      </c>
      <c r="B365" s="4" t="s">
        <v>3885</v>
      </c>
      <c r="C365" s="4" t="s">
        <v>3886</v>
      </c>
      <c r="D365" s="4" t="s">
        <v>3887</v>
      </c>
    </row>
    <row r="366" customFormat="false" ht="23.85" hidden="false" customHeight="false" outlineLevel="0" collapsed="false">
      <c r="A366" s="4" t="s">
        <v>3888</v>
      </c>
      <c r="B366" s="4" t="s">
        <v>3889</v>
      </c>
      <c r="C366" s="4" t="s">
        <v>1555</v>
      </c>
      <c r="D366" s="4" t="s">
        <v>3890</v>
      </c>
    </row>
    <row r="367" customFormat="false" ht="15" hidden="false" customHeight="false" outlineLevel="0" collapsed="false">
      <c r="A367" s="4" t="s">
        <v>3891</v>
      </c>
      <c r="B367" s="4" t="s">
        <v>3892</v>
      </c>
      <c r="C367" s="4" t="s">
        <v>1555</v>
      </c>
      <c r="D367" s="4" t="s">
        <v>3893</v>
      </c>
    </row>
    <row r="370" customFormat="false" ht="15" hidden="false" customHeight="false" outlineLevel="0" collapsed="false">
      <c r="A370" s="17" t="s">
        <v>3894</v>
      </c>
      <c r="B370" s="18"/>
      <c r="C370" s="18"/>
      <c r="D370" s="18"/>
    </row>
    <row r="371" customFormat="false" ht="15" hidden="false" customHeight="false" outlineLevel="0" collapsed="false">
      <c r="A371" s="19" t="s">
        <v>3895</v>
      </c>
    </row>
    <row r="372" customFormat="false" ht="15" hidden="false" customHeight="false" outlineLevel="0" collapsed="false">
      <c r="A372" s="19" t="s">
        <v>3896</v>
      </c>
    </row>
    <row r="373" customFormat="false" ht="15" hidden="false" customHeight="false" outlineLevel="0" collapsed="false">
      <c r="A373" s="23" t="s">
        <v>1246</v>
      </c>
    </row>
    <row r="374" customFormat="false" ht="15" hidden="false" customHeight="false" outlineLevel="0" collapsed="false">
      <c r="A374" s="21" t="s">
        <v>3897</v>
      </c>
    </row>
    <row r="375" customFormat="false" ht="15" hidden="false" customHeight="false" outlineLevel="0" collapsed="false">
      <c r="A375" s="21" t="s">
        <v>3898</v>
      </c>
    </row>
    <row r="376" customFormat="false" ht="15" hidden="false" customHeight="false" outlineLevel="0" collapsed="false">
      <c r="A376" s="22" t="s">
        <v>1318</v>
      </c>
      <c r="B376" s="22" t="s">
        <v>1356</v>
      </c>
      <c r="C376" s="22" t="s">
        <v>3899</v>
      </c>
      <c r="D376" s="22" t="s">
        <v>3357</v>
      </c>
    </row>
    <row r="377" customFormat="false" ht="15" hidden="false" customHeight="false" outlineLevel="0" collapsed="false">
      <c r="A377" s="4" t="s">
        <v>3900</v>
      </c>
      <c r="B377" s="4" t="s">
        <v>3901</v>
      </c>
      <c r="C377" s="4" t="s">
        <v>3902</v>
      </c>
      <c r="D377" s="4" t="n">
        <v>14.5</v>
      </c>
    </row>
    <row r="378" customFormat="false" ht="15" hidden="false" customHeight="false" outlineLevel="0" collapsed="false">
      <c r="A378" s="4" t="s">
        <v>3903</v>
      </c>
      <c r="B378" s="4" t="s">
        <v>3904</v>
      </c>
      <c r="C378" s="4" t="s">
        <v>3905</v>
      </c>
      <c r="D378" s="4" t="s">
        <v>3906</v>
      </c>
    </row>
    <row r="379" customFormat="false" ht="15" hidden="false" customHeight="false" outlineLevel="0" collapsed="false">
      <c r="A379" s="4" t="s">
        <v>3907</v>
      </c>
      <c r="B379" s="4" t="s">
        <v>3908</v>
      </c>
      <c r="C379" s="4" t="s">
        <v>3909</v>
      </c>
      <c r="D379" s="4" t="s">
        <v>3910</v>
      </c>
    </row>
    <row r="380" customFormat="false" ht="15" hidden="false" customHeight="false" outlineLevel="0" collapsed="false">
      <c r="A380" s="4" t="s">
        <v>3911</v>
      </c>
      <c r="B380" s="4" t="s">
        <v>3912</v>
      </c>
      <c r="C380" s="4" t="s">
        <v>3913</v>
      </c>
      <c r="D380" s="4" t="s">
        <v>2343</v>
      </c>
    </row>
    <row r="381" customFormat="false" ht="23.85" hidden="false" customHeight="false" outlineLevel="0" collapsed="false">
      <c r="A381" s="4" t="s">
        <v>3914</v>
      </c>
      <c r="B381" s="4" t="s">
        <v>3915</v>
      </c>
      <c r="C381" s="4" t="s">
        <v>3916</v>
      </c>
      <c r="D381" s="4" t="s">
        <v>3917</v>
      </c>
    </row>
    <row r="382" customFormat="false" ht="15" hidden="false" customHeight="false" outlineLevel="0" collapsed="false">
      <c r="A382" s="4" t="s">
        <v>3918</v>
      </c>
      <c r="B382" s="4" t="s">
        <v>3919</v>
      </c>
      <c r="C382" s="4" t="s">
        <v>3920</v>
      </c>
      <c r="D382" s="4" t="s">
        <v>3921</v>
      </c>
    </row>
    <row r="383" customFormat="false" ht="15" hidden="false" customHeight="false" outlineLevel="0" collapsed="false">
      <c r="A383" s="4" t="s">
        <v>3922</v>
      </c>
      <c r="B383" s="4" t="s">
        <v>3923</v>
      </c>
      <c r="C383" s="4" t="s">
        <v>3924</v>
      </c>
      <c r="D383" s="4" t="s">
        <v>3925</v>
      </c>
    </row>
    <row r="386" customFormat="false" ht="15" hidden="false" customHeight="false" outlineLevel="0" collapsed="false">
      <c r="A386" s="17" t="s">
        <v>3926</v>
      </c>
      <c r="B386" s="18"/>
      <c r="C386" s="18"/>
      <c r="D386" s="18"/>
    </row>
    <row r="387" customFormat="false" ht="15" hidden="false" customHeight="false" outlineLevel="0" collapsed="false">
      <c r="A387" s="19" t="s">
        <v>3895</v>
      </c>
    </row>
    <row r="388" customFormat="false" ht="15" hidden="false" customHeight="false" outlineLevel="0" collapsed="false">
      <c r="A388" s="19" t="s">
        <v>3927</v>
      </c>
    </row>
    <row r="389" customFormat="false" ht="15" hidden="false" customHeight="false" outlineLevel="0" collapsed="false">
      <c r="A389" s="26" t="s">
        <v>2179</v>
      </c>
    </row>
    <row r="390" customFormat="false" ht="15" hidden="false" customHeight="false" outlineLevel="0" collapsed="false">
      <c r="A390" s="21" t="s">
        <v>3928</v>
      </c>
    </row>
    <row r="391" customFormat="false" ht="15" hidden="false" customHeight="false" outlineLevel="0" collapsed="false">
      <c r="A391" s="21" t="s">
        <v>3929</v>
      </c>
    </row>
    <row r="392" customFormat="false" ht="15" hidden="false" customHeight="false" outlineLevel="0" collapsed="false">
      <c r="A392" s="22"/>
      <c r="B392" s="22" t="s">
        <v>3930</v>
      </c>
      <c r="C392" s="22" t="s">
        <v>3931</v>
      </c>
      <c r="D392" s="22" t="s">
        <v>3932</v>
      </c>
    </row>
    <row r="393" customFormat="false" ht="15" hidden="false" customHeight="false" outlineLevel="0" collapsed="false">
      <c r="A393" s="4" t="s">
        <v>3933</v>
      </c>
      <c r="B393" s="4" t="s">
        <v>3934</v>
      </c>
      <c r="C393" s="4" t="s">
        <v>3935</v>
      </c>
      <c r="D393" s="4" t="s">
        <v>3936</v>
      </c>
    </row>
    <row r="394" customFormat="false" ht="15" hidden="false" customHeight="false" outlineLevel="0" collapsed="false">
      <c r="A394" s="4" t="s">
        <v>3937</v>
      </c>
      <c r="B394" s="4" t="s">
        <v>3938</v>
      </c>
      <c r="C394" s="4" t="s">
        <v>3939</v>
      </c>
      <c r="D394" s="4" t="s">
        <v>3940</v>
      </c>
    </row>
    <row r="395" customFormat="false" ht="15" hidden="false" customHeight="false" outlineLevel="0" collapsed="false">
      <c r="A395" s="4" t="s">
        <v>3941</v>
      </c>
      <c r="B395" s="4" t="s">
        <v>3942</v>
      </c>
      <c r="C395" s="4" t="s">
        <v>3943</v>
      </c>
      <c r="D395" s="4" t="s">
        <v>3944</v>
      </c>
    </row>
    <row r="396" customFormat="false" ht="15" hidden="false" customHeight="false" outlineLevel="0" collapsed="false">
      <c r="A396" s="4" t="s">
        <v>3945</v>
      </c>
      <c r="B396" s="4" t="s">
        <v>3946</v>
      </c>
      <c r="C396" s="4" t="s">
        <v>3947</v>
      </c>
      <c r="D396" s="4" t="s">
        <v>3948</v>
      </c>
    </row>
    <row r="397" customFormat="false" ht="15" hidden="false" customHeight="false" outlineLevel="0" collapsed="false">
      <c r="A397" s="4" t="s">
        <v>3949</v>
      </c>
      <c r="B397" s="4" t="s">
        <v>3950</v>
      </c>
      <c r="C397" s="4" t="s">
        <v>3951</v>
      </c>
      <c r="D397" s="4" t="s">
        <v>3952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56"/>
    <col collapsed="false" customWidth="true" hidden="false" outlineLevel="0" max="6" min="6" style="0" width="50.6"/>
  </cols>
  <sheetData>
    <row r="1" customFormat="false" ht="17.35" hidden="false" customHeight="false" outlineLevel="0" collapsed="false">
      <c r="A1" s="1" t="s">
        <v>482</v>
      </c>
    </row>
    <row r="2" customFormat="false" ht="15" hidden="false" customHeight="false" outlineLevel="0" collapsed="false">
      <c r="A2" s="14" t="s">
        <v>3953</v>
      </c>
    </row>
    <row r="4" customFormat="false" ht="15" hidden="false" customHeight="false" outlineLevel="0" collapsed="false">
      <c r="A4" s="17" t="s">
        <v>3954</v>
      </c>
      <c r="B4" s="18"/>
      <c r="C4" s="18"/>
      <c r="D4" s="18"/>
      <c r="E4" s="18"/>
    </row>
    <row r="5" customFormat="false" ht="15" hidden="false" customHeight="false" outlineLevel="0" collapsed="false">
      <c r="A5" s="19" t="s">
        <v>3955</v>
      </c>
    </row>
    <row r="6" customFormat="false" ht="15" hidden="false" customHeight="false" outlineLevel="0" collapsed="false">
      <c r="A6" s="24" t="s">
        <v>1459</v>
      </c>
    </row>
    <row r="7" customFormat="false" ht="15" hidden="false" customHeight="false" outlineLevel="0" collapsed="false">
      <c r="A7" s="21" t="s">
        <v>3956</v>
      </c>
    </row>
    <row r="8" customFormat="false" ht="15" hidden="false" customHeight="false" outlineLevel="0" collapsed="false">
      <c r="A8" s="21" t="s">
        <v>3957</v>
      </c>
    </row>
    <row r="9" customFormat="false" ht="15" hidden="false" customHeight="false" outlineLevel="0" collapsed="false">
      <c r="A9" s="22" t="s">
        <v>2</v>
      </c>
      <c r="B9" s="22" t="s">
        <v>3958</v>
      </c>
      <c r="C9" s="22" t="s">
        <v>3959</v>
      </c>
      <c r="D9" s="22" t="s">
        <v>3960</v>
      </c>
      <c r="E9" s="22" t="s">
        <v>3961</v>
      </c>
    </row>
    <row r="10" customFormat="false" ht="15" hidden="false" customHeight="false" outlineLevel="0" collapsed="false">
      <c r="A10" s="4" t="n">
        <v>1</v>
      </c>
      <c r="B10" s="4" t="s">
        <v>3962</v>
      </c>
      <c r="C10" s="4" t="s">
        <v>3963</v>
      </c>
      <c r="D10" s="4" t="s">
        <v>3964</v>
      </c>
      <c r="E10" s="4" t="s">
        <v>3965</v>
      </c>
    </row>
    <row r="11" customFormat="false" ht="23.85" hidden="false" customHeight="false" outlineLevel="0" collapsed="false">
      <c r="A11" s="4" t="n">
        <v>2</v>
      </c>
      <c r="B11" s="4" t="s">
        <v>3966</v>
      </c>
      <c r="C11" s="4" t="s">
        <v>3967</v>
      </c>
      <c r="D11" s="4" t="s">
        <v>3968</v>
      </c>
      <c r="E11" s="4" t="s">
        <v>3969</v>
      </c>
    </row>
    <row r="12" customFormat="false" ht="15" hidden="false" customHeight="false" outlineLevel="0" collapsed="false">
      <c r="A12" s="4" t="n">
        <v>3</v>
      </c>
      <c r="B12" s="4" t="s">
        <v>1630</v>
      </c>
      <c r="C12" s="4" t="s">
        <v>3970</v>
      </c>
      <c r="D12" s="4" t="s">
        <v>3971</v>
      </c>
      <c r="E12" s="4" t="s">
        <v>3972</v>
      </c>
    </row>
    <row r="13" customFormat="false" ht="23.85" hidden="false" customHeight="false" outlineLevel="0" collapsed="false">
      <c r="A13" s="4" t="n">
        <v>4</v>
      </c>
      <c r="B13" s="4" t="s">
        <v>3973</v>
      </c>
      <c r="C13" s="4" t="s">
        <v>3974</v>
      </c>
      <c r="D13" s="4" t="s">
        <v>3975</v>
      </c>
      <c r="E13" s="4" t="s">
        <v>3976</v>
      </c>
    </row>
    <row r="14" customFormat="false" ht="15" hidden="false" customHeight="false" outlineLevel="0" collapsed="false">
      <c r="A14" s="4" t="n">
        <v>5</v>
      </c>
      <c r="B14" s="4" t="s">
        <v>3977</v>
      </c>
      <c r="C14" s="4" t="s">
        <v>3978</v>
      </c>
      <c r="D14" s="4" t="s">
        <v>3979</v>
      </c>
      <c r="E14" s="4" t="s">
        <v>3980</v>
      </c>
    </row>
    <row r="15" customFormat="false" ht="23.85" hidden="false" customHeight="false" outlineLevel="0" collapsed="false">
      <c r="A15" s="4" t="n">
        <v>6</v>
      </c>
      <c r="B15" s="4" t="s">
        <v>3981</v>
      </c>
      <c r="C15" s="4" t="s">
        <v>3982</v>
      </c>
      <c r="D15" s="4" t="s">
        <v>3983</v>
      </c>
      <c r="E15" s="4" t="s">
        <v>3984</v>
      </c>
    </row>
    <row r="16" customFormat="false" ht="23.85" hidden="false" customHeight="false" outlineLevel="0" collapsed="false">
      <c r="A16" s="4" t="n">
        <v>7</v>
      </c>
      <c r="B16" s="4" t="s">
        <v>3985</v>
      </c>
      <c r="C16" s="4" t="s">
        <v>3986</v>
      </c>
      <c r="D16" s="4" t="s">
        <v>3987</v>
      </c>
      <c r="E16" s="4" t="s">
        <v>3988</v>
      </c>
    </row>
    <row r="17" customFormat="false" ht="15" hidden="false" customHeight="false" outlineLevel="0" collapsed="false">
      <c r="A17" s="4" t="n">
        <v>8</v>
      </c>
      <c r="B17" s="4" t="s">
        <v>3989</v>
      </c>
      <c r="C17" s="4" t="s">
        <v>3990</v>
      </c>
      <c r="D17" s="4" t="s">
        <v>3991</v>
      </c>
      <c r="E17" s="4" t="s">
        <v>3992</v>
      </c>
    </row>
    <row r="18" customFormat="false" ht="15" hidden="false" customHeight="false" outlineLevel="0" collapsed="false">
      <c r="A18" s="4" t="n">
        <v>9</v>
      </c>
      <c r="B18" s="4" t="s">
        <v>3993</v>
      </c>
      <c r="C18" s="4" t="s">
        <v>3994</v>
      </c>
      <c r="D18" s="4" t="s">
        <v>3995</v>
      </c>
      <c r="E18" s="4" t="s">
        <v>3996</v>
      </c>
    </row>
    <row r="19" customFormat="false" ht="15" hidden="false" customHeight="false" outlineLevel="0" collapsed="false">
      <c r="A19" s="4" t="n">
        <v>10</v>
      </c>
      <c r="B19" s="4" t="s">
        <v>3997</v>
      </c>
      <c r="C19" s="4" t="s">
        <v>3998</v>
      </c>
      <c r="D19" s="4" t="s">
        <v>3999</v>
      </c>
      <c r="E19" s="4" t="s">
        <v>4000</v>
      </c>
    </row>
    <row r="20" customFormat="false" ht="15" hidden="false" customHeight="false" outlineLevel="0" collapsed="false">
      <c r="A20" s="4" t="n">
        <v>11</v>
      </c>
      <c r="B20" s="4" t="s">
        <v>4001</v>
      </c>
      <c r="C20" s="4" t="s">
        <v>4002</v>
      </c>
      <c r="D20" s="4" t="s">
        <v>4003</v>
      </c>
      <c r="E20" s="4" t="s">
        <v>4004</v>
      </c>
    </row>
    <row r="21" customFormat="false" ht="15" hidden="false" customHeight="false" outlineLevel="0" collapsed="false">
      <c r="A21" s="4" t="n">
        <v>12</v>
      </c>
      <c r="B21" s="4" t="s">
        <v>4005</v>
      </c>
      <c r="C21" s="4" t="s">
        <v>4006</v>
      </c>
      <c r="D21" s="4" t="s">
        <v>4007</v>
      </c>
      <c r="E21" s="4" t="s">
        <v>4008</v>
      </c>
    </row>
    <row r="24" customFormat="false" ht="15" hidden="false" customHeight="false" outlineLevel="0" collapsed="false">
      <c r="A24" s="17" t="s">
        <v>4009</v>
      </c>
      <c r="B24" s="18"/>
      <c r="C24" s="18"/>
    </row>
    <row r="25" customFormat="false" ht="15" hidden="false" customHeight="false" outlineLevel="0" collapsed="false">
      <c r="A25" s="19" t="s">
        <v>4010</v>
      </c>
    </row>
    <row r="26" customFormat="false" ht="15" hidden="false" customHeight="false" outlineLevel="0" collapsed="false">
      <c r="A26" s="24" t="s">
        <v>1459</v>
      </c>
    </row>
    <row r="27" customFormat="false" ht="15" hidden="false" customHeight="false" outlineLevel="0" collapsed="false">
      <c r="A27" s="21" t="s">
        <v>4011</v>
      </c>
    </row>
    <row r="28" customFormat="false" ht="15" hidden="false" customHeight="false" outlineLevel="0" collapsed="false">
      <c r="A28" s="21" t="s">
        <v>4012</v>
      </c>
    </row>
    <row r="29" customFormat="false" ht="15" hidden="false" customHeight="false" outlineLevel="0" collapsed="false">
      <c r="A29" s="22" t="s">
        <v>4013</v>
      </c>
      <c r="B29" s="22" t="s">
        <v>4014</v>
      </c>
      <c r="C29" s="22" t="s">
        <v>4015</v>
      </c>
    </row>
    <row r="30" customFormat="false" ht="23.85" hidden="false" customHeight="false" outlineLevel="0" collapsed="false">
      <c r="A30" s="4" t="s">
        <v>4016</v>
      </c>
      <c r="B30" s="4" t="s">
        <v>4017</v>
      </c>
      <c r="C30" s="4" t="s">
        <v>4018</v>
      </c>
    </row>
    <row r="31" customFormat="false" ht="15" hidden="false" customHeight="false" outlineLevel="0" collapsed="false">
      <c r="A31" s="4" t="s">
        <v>4019</v>
      </c>
      <c r="B31" s="4" t="s">
        <v>4020</v>
      </c>
      <c r="C31" s="4" t="s">
        <v>4021</v>
      </c>
    </row>
    <row r="32" customFormat="false" ht="23.85" hidden="false" customHeight="false" outlineLevel="0" collapsed="false">
      <c r="A32" s="4" t="s">
        <v>4022</v>
      </c>
      <c r="B32" s="4" t="s">
        <v>4023</v>
      </c>
      <c r="C32" s="4" t="s">
        <v>4024</v>
      </c>
    </row>
    <row r="33" customFormat="false" ht="15" hidden="false" customHeight="false" outlineLevel="0" collapsed="false">
      <c r="A33" s="4" t="s">
        <v>4025</v>
      </c>
      <c r="B33" s="4" t="s">
        <v>4026</v>
      </c>
      <c r="C33" s="4" t="s">
        <v>4027</v>
      </c>
    </row>
    <row r="34" customFormat="false" ht="15" hidden="false" customHeight="false" outlineLevel="0" collapsed="false">
      <c r="A34" s="4" t="s">
        <v>4028</v>
      </c>
      <c r="B34" s="4" t="s">
        <v>4029</v>
      </c>
      <c r="C34" s="4" t="s">
        <v>4030</v>
      </c>
    </row>
    <row r="37" customFormat="false" ht="15" hidden="false" customHeight="false" outlineLevel="0" collapsed="false">
      <c r="A37" s="17" t="s">
        <v>4031</v>
      </c>
      <c r="B37" s="18"/>
      <c r="C37" s="18"/>
      <c r="D37" s="18"/>
    </row>
    <row r="38" customFormat="false" ht="15" hidden="false" customHeight="false" outlineLevel="0" collapsed="false">
      <c r="A38" s="19" t="s">
        <v>4032</v>
      </c>
    </row>
    <row r="39" customFormat="false" ht="15" hidden="false" customHeight="false" outlineLevel="0" collapsed="false">
      <c r="A39" s="23" t="s">
        <v>1246</v>
      </c>
    </row>
    <row r="40" customFormat="false" ht="15" hidden="false" customHeight="false" outlineLevel="0" collapsed="false">
      <c r="A40" s="21" t="s">
        <v>4033</v>
      </c>
    </row>
    <row r="41" customFormat="false" ht="15" hidden="false" customHeight="false" outlineLevel="0" collapsed="false">
      <c r="A41" s="21" t="s">
        <v>4034</v>
      </c>
    </row>
    <row r="42" customFormat="false" ht="15" hidden="false" customHeight="false" outlineLevel="0" collapsed="false">
      <c r="A42" s="22" t="s">
        <v>1318</v>
      </c>
      <c r="B42" s="22" t="s">
        <v>4035</v>
      </c>
      <c r="C42" s="22" t="s">
        <v>2982</v>
      </c>
      <c r="D42" s="22" t="s">
        <v>1426</v>
      </c>
    </row>
    <row r="43" customFormat="false" ht="15" hidden="false" customHeight="false" outlineLevel="0" collapsed="false">
      <c r="A43" s="4" t="s">
        <v>1627</v>
      </c>
      <c r="B43" s="4" t="s">
        <v>4036</v>
      </c>
      <c r="C43" s="4" t="s">
        <v>4037</v>
      </c>
      <c r="D43" s="4" t="s">
        <v>4038</v>
      </c>
    </row>
    <row r="44" customFormat="false" ht="15" hidden="false" customHeight="false" outlineLevel="0" collapsed="false">
      <c r="A44" s="4" t="s">
        <v>1815</v>
      </c>
      <c r="B44" s="4" t="s">
        <v>1816</v>
      </c>
      <c r="C44" s="4" t="s">
        <v>4039</v>
      </c>
      <c r="D44" s="4" t="s">
        <v>4040</v>
      </c>
    </row>
    <row r="45" customFormat="false" ht="23.85" hidden="false" customHeight="false" outlineLevel="0" collapsed="false">
      <c r="A45" s="4" t="s">
        <v>4041</v>
      </c>
      <c r="B45" s="4" t="s">
        <v>4042</v>
      </c>
      <c r="C45" s="4" t="s">
        <v>4043</v>
      </c>
      <c r="D45" s="4" t="s">
        <v>4044</v>
      </c>
    </row>
    <row r="46" customFormat="false" ht="15" hidden="false" customHeight="false" outlineLevel="0" collapsed="false">
      <c r="A46" s="4" t="s">
        <v>4045</v>
      </c>
      <c r="B46" s="4" t="s">
        <v>4046</v>
      </c>
      <c r="C46" s="4" t="s">
        <v>4047</v>
      </c>
      <c r="D46" s="4" t="s">
        <v>4048</v>
      </c>
    </row>
    <row r="47" customFormat="false" ht="15" hidden="false" customHeight="false" outlineLevel="0" collapsed="false">
      <c r="A47" s="4" t="s">
        <v>4049</v>
      </c>
      <c r="B47" s="4" t="s">
        <v>4050</v>
      </c>
      <c r="C47" s="4" t="s">
        <v>3304</v>
      </c>
      <c r="D47" s="4" t="s">
        <v>4051</v>
      </c>
    </row>
    <row r="48" customFormat="false" ht="15" hidden="false" customHeight="false" outlineLevel="0" collapsed="false">
      <c r="A48" s="4" t="s">
        <v>4052</v>
      </c>
      <c r="B48" s="4" t="s">
        <v>4053</v>
      </c>
      <c r="C48" s="4" t="s">
        <v>4054</v>
      </c>
      <c r="D48" s="4" t="s">
        <v>4055</v>
      </c>
    </row>
    <row r="49" customFormat="false" ht="15" hidden="false" customHeight="false" outlineLevel="0" collapsed="false">
      <c r="A49" s="4" t="s">
        <v>4056</v>
      </c>
      <c r="B49" s="4" t="s">
        <v>4057</v>
      </c>
      <c r="C49" s="4" t="s">
        <v>4058</v>
      </c>
      <c r="D49" s="4" t="s">
        <v>4059</v>
      </c>
    </row>
    <row r="50" customFormat="false" ht="15" hidden="false" customHeight="false" outlineLevel="0" collapsed="false">
      <c r="A50" s="4" t="s">
        <v>4060</v>
      </c>
      <c r="B50" s="4" t="s">
        <v>4061</v>
      </c>
      <c r="C50" s="4" t="s">
        <v>4062</v>
      </c>
      <c r="D50" s="4" t="s">
        <v>4063</v>
      </c>
    </row>
    <row r="51" customFormat="false" ht="15" hidden="false" customHeight="false" outlineLevel="0" collapsed="false">
      <c r="A51" s="4" t="s">
        <v>4064</v>
      </c>
      <c r="B51" s="4" t="s">
        <v>4065</v>
      </c>
      <c r="C51" s="4" t="s">
        <v>4066</v>
      </c>
      <c r="D51" s="4" t="s">
        <v>4067</v>
      </c>
    </row>
    <row r="54" customFormat="false" ht="15" hidden="false" customHeight="false" outlineLevel="0" collapsed="false">
      <c r="A54" s="17" t="s">
        <v>4068</v>
      </c>
      <c r="B54" s="18"/>
      <c r="C54" s="18"/>
      <c r="D54" s="18"/>
    </row>
    <row r="55" customFormat="false" ht="15" hidden="false" customHeight="false" outlineLevel="0" collapsed="false">
      <c r="A55" s="19" t="s">
        <v>4069</v>
      </c>
    </row>
    <row r="56" customFormat="false" ht="15" hidden="false" customHeight="false" outlineLevel="0" collapsed="false">
      <c r="A56" s="23" t="s">
        <v>1246</v>
      </c>
    </row>
    <row r="57" customFormat="false" ht="15" hidden="false" customHeight="false" outlineLevel="0" collapsed="false">
      <c r="A57" s="21" t="s">
        <v>4070</v>
      </c>
    </row>
    <row r="58" customFormat="false" ht="15" hidden="false" customHeight="false" outlineLevel="0" collapsed="false">
      <c r="A58" s="21" t="s">
        <v>4071</v>
      </c>
    </row>
    <row r="59" customFormat="false" ht="15" hidden="false" customHeight="false" outlineLevel="0" collapsed="false">
      <c r="A59" s="22" t="s">
        <v>4072</v>
      </c>
      <c r="B59" s="22" t="s">
        <v>1533</v>
      </c>
      <c r="C59" s="22" t="s">
        <v>4073</v>
      </c>
      <c r="D59" s="22" t="s">
        <v>4074</v>
      </c>
    </row>
    <row r="60" customFormat="false" ht="15" hidden="false" customHeight="false" outlineLevel="0" collapsed="false">
      <c r="A60" s="4" t="s">
        <v>4075</v>
      </c>
      <c r="B60" s="4" t="s">
        <v>4076</v>
      </c>
      <c r="C60" s="4" t="s">
        <v>4077</v>
      </c>
      <c r="D60" s="4" t="s">
        <v>4078</v>
      </c>
    </row>
    <row r="61" customFormat="false" ht="15" hidden="false" customHeight="false" outlineLevel="0" collapsed="false">
      <c r="A61" s="4" t="s">
        <v>4079</v>
      </c>
      <c r="B61" s="4" t="s">
        <v>4080</v>
      </c>
      <c r="C61" s="4" t="s">
        <v>4081</v>
      </c>
      <c r="D61" s="4" t="s">
        <v>4082</v>
      </c>
    </row>
    <row r="62" customFormat="false" ht="23.85" hidden="false" customHeight="false" outlineLevel="0" collapsed="false">
      <c r="A62" s="4" t="s">
        <v>4083</v>
      </c>
      <c r="B62" s="4" t="s">
        <v>4084</v>
      </c>
      <c r="C62" s="4" t="s">
        <v>4085</v>
      </c>
      <c r="D62" s="4" t="s">
        <v>4086</v>
      </c>
    </row>
    <row r="63" customFormat="false" ht="15" hidden="false" customHeight="false" outlineLevel="0" collapsed="false">
      <c r="A63" s="4" t="s">
        <v>4087</v>
      </c>
      <c r="B63" s="4" t="s">
        <v>4088</v>
      </c>
      <c r="C63" s="4" t="s">
        <v>4089</v>
      </c>
      <c r="D63" s="4" t="s">
        <v>4090</v>
      </c>
    </row>
    <row r="64" customFormat="false" ht="15" hidden="false" customHeight="false" outlineLevel="0" collapsed="false">
      <c r="A64" s="4" t="s">
        <v>4091</v>
      </c>
      <c r="B64" s="4" t="s">
        <v>3357</v>
      </c>
      <c r="C64" s="4" t="s">
        <v>4092</v>
      </c>
      <c r="D64" s="4" t="s">
        <v>4093</v>
      </c>
    </row>
    <row r="65" customFormat="false" ht="15" hidden="false" customHeight="false" outlineLevel="0" collapsed="false">
      <c r="A65" s="4" t="s">
        <v>4094</v>
      </c>
      <c r="B65" s="4" t="s">
        <v>4095</v>
      </c>
      <c r="C65" s="4" t="s">
        <v>4096</v>
      </c>
      <c r="D65" s="4" t="s">
        <v>4097</v>
      </c>
    </row>
    <row r="66" customFormat="false" ht="15" hidden="false" customHeight="false" outlineLevel="0" collapsed="false">
      <c r="A66" s="4" t="s">
        <v>4098</v>
      </c>
      <c r="B66" s="4" t="s">
        <v>4099</v>
      </c>
      <c r="C66" s="4" t="s">
        <v>4100</v>
      </c>
      <c r="D66" s="4" t="s">
        <v>4101</v>
      </c>
    </row>
    <row r="67" customFormat="false" ht="15" hidden="false" customHeight="false" outlineLevel="0" collapsed="false">
      <c r="A67" s="4" t="s">
        <v>4102</v>
      </c>
      <c r="B67" s="4" t="s">
        <v>4103</v>
      </c>
      <c r="C67" s="4" t="s">
        <v>4104</v>
      </c>
      <c r="D67" s="4" t="s">
        <v>4105</v>
      </c>
    </row>
    <row r="70" customFormat="false" ht="15" hidden="false" customHeight="false" outlineLevel="0" collapsed="false">
      <c r="A70" s="17" t="s">
        <v>4106</v>
      </c>
      <c r="B70" s="18"/>
      <c r="C70" s="18"/>
    </row>
    <row r="71" customFormat="false" ht="15" hidden="false" customHeight="false" outlineLevel="0" collapsed="false">
      <c r="A71" s="19" t="s">
        <v>4107</v>
      </c>
    </row>
    <row r="72" customFormat="false" ht="15" hidden="false" customHeight="false" outlineLevel="0" collapsed="false">
      <c r="A72" s="23" t="s">
        <v>1246</v>
      </c>
    </row>
    <row r="73" customFormat="false" ht="15" hidden="false" customHeight="false" outlineLevel="0" collapsed="false">
      <c r="A73" s="21" t="s">
        <v>4108</v>
      </c>
    </row>
    <row r="74" customFormat="false" ht="15" hidden="false" customHeight="false" outlineLevel="0" collapsed="false">
      <c r="A74" s="21" t="s">
        <v>4109</v>
      </c>
    </row>
    <row r="75" customFormat="false" ht="15" hidden="false" customHeight="false" outlineLevel="0" collapsed="false">
      <c r="A75" s="22" t="s">
        <v>4110</v>
      </c>
      <c r="B75" s="22" t="s">
        <v>4111</v>
      </c>
      <c r="C75" s="22" t="s">
        <v>2984</v>
      </c>
    </row>
    <row r="76" customFormat="false" ht="15" hidden="false" customHeight="false" outlineLevel="0" collapsed="false">
      <c r="A76" s="4" t="s">
        <v>4112</v>
      </c>
      <c r="B76" s="4" t="s">
        <v>4113</v>
      </c>
      <c r="C76" s="4" t="s">
        <v>4114</v>
      </c>
    </row>
    <row r="77" customFormat="false" ht="15" hidden="false" customHeight="false" outlineLevel="0" collapsed="false">
      <c r="A77" s="4" t="s">
        <v>4115</v>
      </c>
      <c r="B77" s="4" t="s">
        <v>4116</v>
      </c>
      <c r="C77" s="4" t="s">
        <v>4117</v>
      </c>
    </row>
    <row r="78" customFormat="false" ht="23.85" hidden="false" customHeight="false" outlineLevel="0" collapsed="false">
      <c r="A78" s="4" t="s">
        <v>4118</v>
      </c>
      <c r="B78" s="4" t="s">
        <v>4119</v>
      </c>
      <c r="C78" s="4" t="s">
        <v>4120</v>
      </c>
    </row>
    <row r="79" customFormat="false" ht="15" hidden="false" customHeight="false" outlineLevel="0" collapsed="false">
      <c r="A79" s="4" t="s">
        <v>4121</v>
      </c>
      <c r="B79" s="4" t="s">
        <v>4122</v>
      </c>
      <c r="C79" s="4" t="s">
        <v>4123</v>
      </c>
    </row>
    <row r="80" customFormat="false" ht="23.85" hidden="false" customHeight="false" outlineLevel="0" collapsed="false">
      <c r="A80" s="4" t="s">
        <v>4124</v>
      </c>
      <c r="B80" s="4" t="s">
        <v>4125</v>
      </c>
      <c r="C80" s="4" t="s">
        <v>4126</v>
      </c>
    </row>
    <row r="81" customFormat="false" ht="23.85" hidden="false" customHeight="false" outlineLevel="0" collapsed="false">
      <c r="A81" s="4" t="s">
        <v>4127</v>
      </c>
      <c r="B81" s="4" t="s">
        <v>4128</v>
      </c>
      <c r="C81" s="4" t="s">
        <v>4129</v>
      </c>
    </row>
    <row r="82" customFormat="false" ht="23.85" hidden="false" customHeight="false" outlineLevel="0" collapsed="false">
      <c r="A82" s="4" t="s">
        <v>4130</v>
      </c>
      <c r="B82" s="4" t="s">
        <v>4131</v>
      </c>
      <c r="C82" s="4" t="s">
        <v>4132</v>
      </c>
    </row>
    <row r="83" customFormat="false" ht="35.05" hidden="false" customHeight="false" outlineLevel="0" collapsed="false">
      <c r="A83" s="4" t="s">
        <v>4133</v>
      </c>
      <c r="B83" s="4" t="s">
        <v>4134</v>
      </c>
      <c r="C83" s="4" t="s">
        <v>4135</v>
      </c>
    </row>
    <row r="84" customFormat="false" ht="23.85" hidden="false" customHeight="false" outlineLevel="0" collapsed="false">
      <c r="A84" s="4" t="s">
        <v>4136</v>
      </c>
      <c r="B84" s="4" t="s">
        <v>4137</v>
      </c>
      <c r="C84" s="4" t="s">
        <v>4138</v>
      </c>
    </row>
    <row r="87" customFormat="false" ht="15" hidden="false" customHeight="false" outlineLevel="0" collapsed="false">
      <c r="A87" s="17" t="s">
        <v>4139</v>
      </c>
      <c r="B87" s="18"/>
      <c r="C87" s="18"/>
      <c r="D87" s="18"/>
    </row>
    <row r="88" customFormat="false" ht="15" hidden="false" customHeight="false" outlineLevel="0" collapsed="false">
      <c r="A88" s="19" t="s">
        <v>4140</v>
      </c>
    </row>
    <row r="89" customFormat="false" ht="15" hidden="false" customHeight="false" outlineLevel="0" collapsed="false">
      <c r="A89" s="19" t="s">
        <v>4141</v>
      </c>
    </row>
    <row r="90" customFormat="false" ht="15" hidden="false" customHeight="false" outlineLevel="0" collapsed="false">
      <c r="A90" s="25" t="s">
        <v>2043</v>
      </c>
    </row>
    <row r="91" customFormat="false" ht="15" hidden="false" customHeight="false" outlineLevel="0" collapsed="false">
      <c r="A91" s="21" t="s">
        <v>4142</v>
      </c>
    </row>
    <row r="92" customFormat="false" ht="15" hidden="false" customHeight="false" outlineLevel="0" collapsed="false">
      <c r="A92" s="21" t="s">
        <v>4143</v>
      </c>
    </row>
    <row r="93" customFormat="false" ht="15" hidden="false" customHeight="false" outlineLevel="0" collapsed="false">
      <c r="A93" s="22" t="s">
        <v>4144</v>
      </c>
      <c r="B93" s="22" t="s">
        <v>4145</v>
      </c>
      <c r="C93" s="22" t="s">
        <v>4146</v>
      </c>
      <c r="D93" s="22" t="s">
        <v>4147</v>
      </c>
    </row>
    <row r="94" customFormat="false" ht="23.85" hidden="false" customHeight="false" outlineLevel="0" collapsed="false">
      <c r="A94" s="4" t="s">
        <v>4148</v>
      </c>
      <c r="B94" s="4" t="s">
        <v>4149</v>
      </c>
      <c r="C94" s="4" t="s">
        <v>4150</v>
      </c>
      <c r="D94" s="4" t="s">
        <v>4151</v>
      </c>
    </row>
    <row r="95" customFormat="false" ht="15" hidden="false" customHeight="false" outlineLevel="0" collapsed="false">
      <c r="A95" s="4" t="s">
        <v>4152</v>
      </c>
      <c r="B95" s="4" t="s">
        <v>4153</v>
      </c>
      <c r="C95" s="4" t="s">
        <v>2519</v>
      </c>
      <c r="D95" s="4" t="s">
        <v>4154</v>
      </c>
    </row>
    <row r="96" customFormat="false" ht="15" hidden="false" customHeight="false" outlineLevel="0" collapsed="false">
      <c r="A96" s="4" t="s">
        <v>4155</v>
      </c>
      <c r="B96" s="4" t="s">
        <v>4156</v>
      </c>
      <c r="C96" s="4" t="s">
        <v>2519</v>
      </c>
      <c r="D96" s="4" t="s">
        <v>4157</v>
      </c>
    </row>
    <row r="97" customFormat="false" ht="15" hidden="false" customHeight="false" outlineLevel="0" collapsed="false">
      <c r="A97" s="4" t="s">
        <v>4158</v>
      </c>
      <c r="B97" s="4" t="s">
        <v>4159</v>
      </c>
      <c r="C97" s="4" t="s">
        <v>4160</v>
      </c>
      <c r="D97" s="4" t="s">
        <v>4161</v>
      </c>
    </row>
    <row r="98" customFormat="false" ht="23.85" hidden="false" customHeight="false" outlineLevel="0" collapsed="false">
      <c r="A98" s="4" t="s">
        <v>4162</v>
      </c>
      <c r="B98" s="4" t="s">
        <v>4163</v>
      </c>
      <c r="C98" s="4" t="s">
        <v>4164</v>
      </c>
      <c r="D98" s="4" t="s">
        <v>4165</v>
      </c>
    </row>
    <row r="99" customFormat="false" ht="15" hidden="false" customHeight="false" outlineLevel="0" collapsed="false">
      <c r="A99" s="4" t="s">
        <v>4166</v>
      </c>
      <c r="B99" s="4" t="s">
        <v>4167</v>
      </c>
      <c r="C99" s="4" t="s">
        <v>4168</v>
      </c>
      <c r="D99" s="4" t="s">
        <v>4169</v>
      </c>
    </row>
    <row r="100" customFormat="false" ht="15" hidden="false" customHeight="false" outlineLevel="0" collapsed="false">
      <c r="A100" s="4" t="s">
        <v>4170</v>
      </c>
      <c r="B100" s="4" t="s">
        <v>4171</v>
      </c>
      <c r="C100" s="4" t="s">
        <v>4172</v>
      </c>
      <c r="D100" s="4" t="s">
        <v>4173</v>
      </c>
    </row>
    <row r="101" customFormat="false" ht="23.85" hidden="false" customHeight="false" outlineLevel="0" collapsed="false">
      <c r="A101" s="4" t="s">
        <v>4174</v>
      </c>
      <c r="B101" s="4" t="s">
        <v>1483</v>
      </c>
      <c r="C101" s="4" t="s">
        <v>4160</v>
      </c>
      <c r="D101" s="4" t="s">
        <v>4175</v>
      </c>
    </row>
    <row r="102" customFormat="false" ht="15" hidden="false" customHeight="false" outlineLevel="0" collapsed="false">
      <c r="A102" s="4" t="s">
        <v>4176</v>
      </c>
      <c r="B102" s="4" t="s">
        <v>4177</v>
      </c>
      <c r="C102" s="4" t="s">
        <v>4160</v>
      </c>
      <c r="D102" s="4" t="s">
        <v>4178</v>
      </c>
    </row>
    <row r="103" customFormat="false" ht="15" hidden="false" customHeight="false" outlineLevel="0" collapsed="false">
      <c r="A103" s="4" t="s">
        <v>4179</v>
      </c>
      <c r="B103" s="4" t="s">
        <v>4180</v>
      </c>
      <c r="C103" s="4" t="s">
        <v>4181</v>
      </c>
      <c r="D103" s="4" t="s">
        <v>4182</v>
      </c>
    </row>
    <row r="104" customFormat="false" ht="15" hidden="false" customHeight="false" outlineLevel="0" collapsed="false">
      <c r="A104" s="4" t="s">
        <v>4183</v>
      </c>
      <c r="B104" s="4" t="s">
        <v>4184</v>
      </c>
      <c r="C104" s="4" t="s">
        <v>4160</v>
      </c>
      <c r="D104" s="4" t="s">
        <v>4185</v>
      </c>
    </row>
    <row r="105" customFormat="false" ht="23.85" hidden="false" customHeight="false" outlineLevel="0" collapsed="false">
      <c r="A105" s="4" t="s">
        <v>4186</v>
      </c>
      <c r="B105" s="4" t="s">
        <v>4187</v>
      </c>
      <c r="C105" s="4" t="s">
        <v>4188</v>
      </c>
      <c r="D105" s="4" t="s">
        <v>4189</v>
      </c>
    </row>
    <row r="106" customFormat="false" ht="15" hidden="false" customHeight="false" outlineLevel="0" collapsed="false">
      <c r="A106" s="4" t="s">
        <v>4190</v>
      </c>
      <c r="B106" s="4" t="s">
        <v>4191</v>
      </c>
      <c r="C106" s="4" t="s">
        <v>4172</v>
      </c>
      <c r="D106" s="4" t="s">
        <v>4192</v>
      </c>
    </row>
    <row r="107" customFormat="false" ht="15" hidden="false" customHeight="false" outlineLevel="0" collapsed="false">
      <c r="A107" s="4" t="s">
        <v>4193</v>
      </c>
      <c r="B107" s="4" t="s">
        <v>4194</v>
      </c>
      <c r="C107" s="4" t="s">
        <v>2519</v>
      </c>
      <c r="D107" s="4" t="s">
        <v>4195</v>
      </c>
    </row>
    <row r="108" customFormat="false" ht="35.05" hidden="false" customHeight="false" outlineLevel="0" collapsed="false">
      <c r="A108" s="4" t="s">
        <v>4196</v>
      </c>
      <c r="B108" s="4" t="s">
        <v>4197</v>
      </c>
      <c r="C108" s="4" t="s">
        <v>4160</v>
      </c>
      <c r="D108" s="4" t="s">
        <v>4198</v>
      </c>
    </row>
    <row r="109" customFormat="false" ht="15" hidden="false" customHeight="false" outlineLevel="0" collapsed="false">
      <c r="A109" s="4" t="s">
        <v>4199</v>
      </c>
      <c r="B109" s="4" t="s">
        <v>4200</v>
      </c>
      <c r="C109" s="4" t="s">
        <v>2519</v>
      </c>
      <c r="D109" s="4" t="s">
        <v>4201</v>
      </c>
    </row>
    <row r="110" customFormat="false" ht="15" hidden="false" customHeight="false" outlineLevel="0" collapsed="false">
      <c r="A110" s="4" t="s">
        <v>4202</v>
      </c>
      <c r="B110" s="4" t="s">
        <v>4203</v>
      </c>
      <c r="C110" s="4" t="s">
        <v>4204</v>
      </c>
      <c r="D110" s="4" t="s">
        <v>4205</v>
      </c>
    </row>
    <row r="113" customFormat="false" ht="15" hidden="false" customHeight="false" outlineLevel="0" collapsed="false">
      <c r="A113" s="17" t="s">
        <v>4206</v>
      </c>
      <c r="B113" s="18"/>
      <c r="C113" s="18"/>
      <c r="D113" s="18"/>
      <c r="E113" s="18"/>
    </row>
    <row r="114" customFormat="false" ht="15" hidden="false" customHeight="false" outlineLevel="0" collapsed="false">
      <c r="A114" s="19" t="s">
        <v>4207</v>
      </c>
    </row>
    <row r="115" customFormat="false" ht="15" hidden="false" customHeight="false" outlineLevel="0" collapsed="false">
      <c r="A115" s="20" t="s">
        <v>1193</v>
      </c>
    </row>
    <row r="116" customFormat="false" ht="15" hidden="false" customHeight="false" outlineLevel="0" collapsed="false">
      <c r="A116" s="21" t="s">
        <v>4208</v>
      </c>
    </row>
    <row r="117" customFormat="false" ht="15" hidden="false" customHeight="false" outlineLevel="0" collapsed="false">
      <c r="A117" s="21" t="s">
        <v>4209</v>
      </c>
    </row>
    <row r="118" customFormat="false" ht="15" hidden="false" customHeight="false" outlineLevel="0" collapsed="false">
      <c r="A118" s="22" t="s">
        <v>4210</v>
      </c>
      <c r="B118" s="22" t="s">
        <v>1197</v>
      </c>
      <c r="C118" s="22" t="s">
        <v>4211</v>
      </c>
      <c r="D118" s="22" t="s">
        <v>4212</v>
      </c>
      <c r="E118" s="22" t="s">
        <v>4213</v>
      </c>
    </row>
    <row r="119" customFormat="false" ht="15" hidden="false" customHeight="false" outlineLevel="0" collapsed="false">
      <c r="A119" s="4" t="s">
        <v>4214</v>
      </c>
      <c r="B119" s="4" t="s">
        <v>4215</v>
      </c>
      <c r="C119" s="4" t="s">
        <v>4216</v>
      </c>
      <c r="D119" s="4" t="s">
        <v>4217</v>
      </c>
      <c r="E119" s="4" t="s">
        <v>4218</v>
      </c>
    </row>
    <row r="120" customFormat="false" ht="15" hidden="false" customHeight="false" outlineLevel="0" collapsed="false">
      <c r="A120" s="4" t="s">
        <v>4219</v>
      </c>
      <c r="B120" s="4" t="s">
        <v>4220</v>
      </c>
      <c r="C120" s="4" t="s">
        <v>4221</v>
      </c>
      <c r="D120" s="4" t="s">
        <v>4222</v>
      </c>
      <c r="E120" s="4" t="s">
        <v>4223</v>
      </c>
    </row>
    <row r="121" customFormat="false" ht="15" hidden="false" customHeight="false" outlineLevel="0" collapsed="false">
      <c r="A121" s="4" t="s">
        <v>4224</v>
      </c>
      <c r="B121" s="4" t="s">
        <v>4225</v>
      </c>
      <c r="C121" s="4" t="s">
        <v>4226</v>
      </c>
      <c r="D121" s="4" t="s">
        <v>4227</v>
      </c>
      <c r="E121" s="4" t="s">
        <v>4228</v>
      </c>
    </row>
    <row r="122" customFormat="false" ht="23.85" hidden="false" customHeight="false" outlineLevel="0" collapsed="false">
      <c r="A122" s="4" t="s">
        <v>4229</v>
      </c>
      <c r="B122" s="4" t="s">
        <v>4230</v>
      </c>
      <c r="C122" s="4" t="s">
        <v>4231</v>
      </c>
      <c r="D122" s="4" t="s">
        <v>4232</v>
      </c>
      <c r="E122" s="4" t="s">
        <v>4233</v>
      </c>
    </row>
    <row r="123" customFormat="false" ht="15" hidden="false" customHeight="false" outlineLevel="0" collapsed="false">
      <c r="A123" s="4" t="s">
        <v>4234</v>
      </c>
      <c r="B123" s="4" t="s">
        <v>4235</v>
      </c>
      <c r="C123" s="4" t="s">
        <v>4236</v>
      </c>
      <c r="D123" s="4" t="s">
        <v>4237</v>
      </c>
      <c r="E123" s="4" t="s">
        <v>4238</v>
      </c>
    </row>
    <row r="124" customFormat="false" ht="15" hidden="false" customHeight="false" outlineLevel="0" collapsed="false">
      <c r="A124" s="4" t="s">
        <v>4239</v>
      </c>
      <c r="B124" s="4" t="s">
        <v>4240</v>
      </c>
      <c r="C124" s="4" t="s">
        <v>4241</v>
      </c>
      <c r="D124" s="4" t="s">
        <v>4242</v>
      </c>
      <c r="E124" s="4" t="s">
        <v>4243</v>
      </c>
    </row>
    <row r="125" customFormat="false" ht="15" hidden="false" customHeight="false" outlineLevel="0" collapsed="false">
      <c r="A125" s="4" t="s">
        <v>4244</v>
      </c>
      <c r="B125" s="4" t="s">
        <v>4245</v>
      </c>
      <c r="C125" s="4" t="s">
        <v>4246</v>
      </c>
      <c r="D125" s="4" t="s">
        <v>4247</v>
      </c>
      <c r="E125" s="4" t="s">
        <v>4248</v>
      </c>
    </row>
    <row r="126" customFormat="false" ht="23.85" hidden="false" customHeight="false" outlineLevel="0" collapsed="false">
      <c r="A126" s="4" t="s">
        <v>4249</v>
      </c>
      <c r="B126" s="4" t="s">
        <v>4250</v>
      </c>
      <c r="C126" s="4" t="s">
        <v>4251</v>
      </c>
      <c r="D126" s="4" t="s">
        <v>4252</v>
      </c>
      <c r="E126" s="4" t="s">
        <v>4253</v>
      </c>
    </row>
    <row r="127" customFormat="false" ht="15" hidden="false" customHeight="false" outlineLevel="0" collapsed="false">
      <c r="A127" s="4" t="s">
        <v>4254</v>
      </c>
      <c r="B127" s="4" t="s">
        <v>4255</v>
      </c>
      <c r="C127" s="4" t="s">
        <v>4256</v>
      </c>
      <c r="D127" s="4" t="s">
        <v>4257</v>
      </c>
      <c r="E127" s="4" t="s">
        <v>4258</v>
      </c>
    </row>
    <row r="128" customFormat="false" ht="35.05" hidden="false" customHeight="false" outlineLevel="0" collapsed="false">
      <c r="A128" s="4" t="s">
        <v>2496</v>
      </c>
      <c r="B128" s="4" t="s">
        <v>4259</v>
      </c>
      <c r="C128" s="4" t="s">
        <v>4260</v>
      </c>
      <c r="D128" s="4" t="s">
        <v>4261</v>
      </c>
      <c r="E128" s="4" t="s">
        <v>4262</v>
      </c>
    </row>
    <row r="131" customFormat="false" ht="15" hidden="false" customHeight="false" outlineLevel="0" collapsed="false">
      <c r="A131" s="17" t="s">
        <v>4263</v>
      </c>
      <c r="B131" s="18"/>
      <c r="C131" s="18"/>
    </row>
    <row r="132" customFormat="false" ht="15" hidden="false" customHeight="false" outlineLevel="0" collapsed="false">
      <c r="A132" s="19" t="s">
        <v>4264</v>
      </c>
    </row>
    <row r="133" customFormat="false" ht="15" hidden="false" customHeight="false" outlineLevel="0" collapsed="false">
      <c r="A133" s="23" t="s">
        <v>1246</v>
      </c>
    </row>
    <row r="134" customFormat="false" ht="15" hidden="false" customHeight="false" outlineLevel="0" collapsed="false">
      <c r="A134" s="21" t="s">
        <v>4265</v>
      </c>
    </row>
    <row r="135" customFormat="false" ht="15" hidden="false" customHeight="false" outlineLevel="0" collapsed="false">
      <c r="A135" s="21" t="s">
        <v>4266</v>
      </c>
    </row>
    <row r="136" customFormat="false" ht="15" hidden="false" customHeight="false" outlineLevel="0" collapsed="false">
      <c r="A136" s="22" t="s">
        <v>2093</v>
      </c>
      <c r="B136" s="22" t="s">
        <v>4267</v>
      </c>
      <c r="C136" s="22" t="s">
        <v>4268</v>
      </c>
    </row>
    <row r="137" customFormat="false" ht="46.25" hidden="false" customHeight="false" outlineLevel="0" collapsed="false">
      <c r="A137" s="4" t="s">
        <v>4269</v>
      </c>
      <c r="B137" s="4" t="s">
        <v>4270</v>
      </c>
      <c r="C137" s="4" t="s">
        <v>4271</v>
      </c>
    </row>
    <row r="138" customFormat="false" ht="35.05" hidden="false" customHeight="false" outlineLevel="0" collapsed="false">
      <c r="A138" s="4" t="s">
        <v>4272</v>
      </c>
      <c r="B138" s="4" t="s">
        <v>4273</v>
      </c>
      <c r="C138" s="4" t="s">
        <v>4274</v>
      </c>
    </row>
    <row r="139" customFormat="false" ht="35.05" hidden="false" customHeight="false" outlineLevel="0" collapsed="false">
      <c r="A139" s="4" t="s">
        <v>4275</v>
      </c>
      <c r="B139" s="4" t="s">
        <v>4276</v>
      </c>
      <c r="C139" s="4" t="s">
        <v>4277</v>
      </c>
    </row>
    <row r="140" customFormat="false" ht="15" hidden="false" customHeight="false" outlineLevel="0" collapsed="false">
      <c r="A140" s="4" t="s">
        <v>2095</v>
      </c>
      <c r="B140" s="4" t="s">
        <v>4278</v>
      </c>
      <c r="C140" s="4" t="s">
        <v>4279</v>
      </c>
    </row>
    <row r="141" customFormat="false" ht="15" hidden="false" customHeight="false" outlineLevel="0" collapsed="false">
      <c r="A141" s="4" t="s">
        <v>2099</v>
      </c>
      <c r="B141" s="4" t="s">
        <v>4280</v>
      </c>
      <c r="C141" s="4" t="s">
        <v>4281</v>
      </c>
    </row>
    <row r="142" customFormat="false" ht="15" hidden="false" customHeight="false" outlineLevel="0" collapsed="false">
      <c r="A142" s="4" t="s">
        <v>2097</v>
      </c>
      <c r="B142" s="4" t="s">
        <v>4282</v>
      </c>
      <c r="C142" s="4" t="s">
        <v>4283</v>
      </c>
    </row>
    <row r="143" customFormat="false" ht="23.85" hidden="false" customHeight="false" outlineLevel="0" collapsed="false">
      <c r="A143" s="4" t="s">
        <v>4284</v>
      </c>
      <c r="B143" s="4" t="s">
        <v>4285</v>
      </c>
      <c r="C143" s="4" t="s">
        <v>4286</v>
      </c>
    </row>
    <row r="144" customFormat="false" ht="15" hidden="false" customHeight="false" outlineLevel="0" collapsed="false">
      <c r="A144" s="4" t="s">
        <v>4287</v>
      </c>
      <c r="B144" s="4" t="s">
        <v>4288</v>
      </c>
      <c r="C144" s="4" t="s">
        <v>4289</v>
      </c>
    </row>
    <row r="147" customFormat="false" ht="15" hidden="false" customHeight="false" outlineLevel="0" collapsed="false">
      <c r="A147" s="17" t="s">
        <v>4290</v>
      </c>
      <c r="B147" s="18"/>
      <c r="C147" s="18"/>
      <c r="D147" s="18"/>
      <c r="E147" s="18"/>
    </row>
    <row r="148" customFormat="false" ht="15" hidden="false" customHeight="false" outlineLevel="0" collapsed="false">
      <c r="A148" s="19" t="s">
        <v>4291</v>
      </c>
    </row>
    <row r="149" customFormat="false" ht="15" hidden="false" customHeight="false" outlineLevel="0" collapsed="false">
      <c r="A149" s="23" t="s">
        <v>1246</v>
      </c>
    </row>
    <row r="150" customFormat="false" ht="15" hidden="false" customHeight="false" outlineLevel="0" collapsed="false">
      <c r="A150" s="21" t="s">
        <v>4292</v>
      </c>
    </row>
    <row r="151" customFormat="false" ht="15" hidden="false" customHeight="false" outlineLevel="0" collapsed="false">
      <c r="A151" s="21" t="s">
        <v>4293</v>
      </c>
    </row>
    <row r="152" customFormat="false" ht="15" hidden="false" customHeight="false" outlineLevel="0" collapsed="false">
      <c r="A152" s="22" t="s">
        <v>1986</v>
      </c>
      <c r="B152" s="22" t="s">
        <v>1283</v>
      </c>
      <c r="C152" s="22" t="s">
        <v>4294</v>
      </c>
      <c r="D152" s="22" t="s">
        <v>4295</v>
      </c>
      <c r="E152" s="22" t="s">
        <v>4296</v>
      </c>
    </row>
    <row r="153" customFormat="false" ht="23.85" hidden="false" customHeight="false" outlineLevel="0" collapsed="false">
      <c r="A153" s="4" t="s">
        <v>3276</v>
      </c>
      <c r="B153" s="4" t="s">
        <v>4297</v>
      </c>
      <c r="C153" s="4" t="s">
        <v>4298</v>
      </c>
      <c r="D153" s="4" t="s">
        <v>4299</v>
      </c>
      <c r="E153" s="4" t="s">
        <v>4300</v>
      </c>
    </row>
    <row r="154" customFormat="false" ht="35.05" hidden="false" customHeight="false" outlineLevel="0" collapsed="false">
      <c r="A154" s="4" t="s">
        <v>3279</v>
      </c>
      <c r="B154" s="4" t="s">
        <v>4301</v>
      </c>
      <c r="C154" s="4" t="s">
        <v>4302</v>
      </c>
      <c r="D154" s="4" t="s">
        <v>4303</v>
      </c>
      <c r="E154" s="4" t="s">
        <v>4304</v>
      </c>
    </row>
    <row r="155" customFormat="false" ht="23.85" hidden="false" customHeight="false" outlineLevel="0" collapsed="false">
      <c r="A155" s="4" t="s">
        <v>4305</v>
      </c>
      <c r="B155" s="4" t="s">
        <v>4306</v>
      </c>
      <c r="C155" s="4" t="s">
        <v>1555</v>
      </c>
      <c r="D155" s="4" t="s">
        <v>4307</v>
      </c>
      <c r="E155" s="4" t="s">
        <v>4308</v>
      </c>
    </row>
    <row r="158" customFormat="false" ht="15" hidden="false" customHeight="false" outlineLevel="0" collapsed="false">
      <c r="A158" s="17" t="s">
        <v>4309</v>
      </c>
      <c r="B158" s="18"/>
      <c r="C158" s="18"/>
      <c r="D158" s="18"/>
    </row>
    <row r="159" customFormat="false" ht="15" hidden="false" customHeight="false" outlineLevel="0" collapsed="false">
      <c r="A159" s="19" t="s">
        <v>4310</v>
      </c>
    </row>
    <row r="160" customFormat="false" ht="15" hidden="false" customHeight="false" outlineLevel="0" collapsed="false">
      <c r="A160" s="25" t="s">
        <v>2043</v>
      </c>
    </row>
    <row r="161" customFormat="false" ht="15" hidden="false" customHeight="false" outlineLevel="0" collapsed="false">
      <c r="A161" s="21" t="s">
        <v>4311</v>
      </c>
    </row>
    <row r="162" customFormat="false" ht="15" hidden="false" customHeight="false" outlineLevel="0" collapsed="false">
      <c r="A162" s="21" t="s">
        <v>4312</v>
      </c>
    </row>
    <row r="163" customFormat="false" ht="15" hidden="false" customHeight="false" outlineLevel="0" collapsed="false">
      <c r="A163" s="22" t="s">
        <v>2147</v>
      </c>
      <c r="B163" s="22" t="s">
        <v>4313</v>
      </c>
      <c r="C163" s="22" t="s">
        <v>4314</v>
      </c>
      <c r="D163" s="22" t="s">
        <v>4315</v>
      </c>
    </row>
    <row r="164" customFormat="false" ht="15" hidden="false" customHeight="false" outlineLevel="0" collapsed="false">
      <c r="A164" s="4" t="s">
        <v>2891</v>
      </c>
      <c r="B164" s="4" t="s">
        <v>2152</v>
      </c>
      <c r="C164" s="4" t="s">
        <v>2152</v>
      </c>
      <c r="D164" s="4" t="s">
        <v>1555</v>
      </c>
    </row>
    <row r="165" customFormat="false" ht="15" hidden="false" customHeight="false" outlineLevel="0" collapsed="false">
      <c r="A165" s="4" t="s">
        <v>4316</v>
      </c>
      <c r="B165" s="4" t="s">
        <v>4317</v>
      </c>
      <c r="C165" s="4" t="s">
        <v>4318</v>
      </c>
      <c r="D165" s="4" t="s">
        <v>1531</v>
      </c>
    </row>
    <row r="166" customFormat="false" ht="15" hidden="false" customHeight="false" outlineLevel="0" collapsed="false">
      <c r="A166" s="4" t="s">
        <v>4319</v>
      </c>
      <c r="B166" s="4" t="s">
        <v>4320</v>
      </c>
      <c r="C166" s="4" t="s">
        <v>4318</v>
      </c>
      <c r="D166" s="4" t="s">
        <v>4321</v>
      </c>
    </row>
    <row r="167" customFormat="false" ht="15" hidden="false" customHeight="false" outlineLevel="0" collapsed="false">
      <c r="A167" s="4" t="s">
        <v>1627</v>
      </c>
      <c r="B167" s="4" t="n">
        <v>1.5</v>
      </c>
      <c r="C167" s="4" t="n">
        <v>1.25</v>
      </c>
      <c r="D167" s="4" t="s">
        <v>4322</v>
      </c>
    </row>
    <row r="168" customFormat="false" ht="15" hidden="false" customHeight="false" outlineLevel="0" collapsed="false">
      <c r="A168" s="4" t="s">
        <v>4323</v>
      </c>
      <c r="B168" s="4" t="s">
        <v>4324</v>
      </c>
      <c r="C168" s="4" t="s">
        <v>4325</v>
      </c>
      <c r="D168" s="4" t="s">
        <v>4321</v>
      </c>
    </row>
    <row r="169" customFormat="false" ht="15" hidden="false" customHeight="false" outlineLevel="0" collapsed="false">
      <c r="A169" s="4" t="s">
        <v>4326</v>
      </c>
      <c r="B169" s="4" t="s">
        <v>4327</v>
      </c>
      <c r="C169" s="4" t="s">
        <v>4328</v>
      </c>
      <c r="D169" s="4" t="s">
        <v>1555</v>
      </c>
    </row>
    <row r="170" customFormat="false" ht="15" hidden="false" customHeight="false" outlineLevel="0" collapsed="false">
      <c r="A170" s="4" t="s">
        <v>4329</v>
      </c>
      <c r="B170" s="4" t="s">
        <v>4330</v>
      </c>
      <c r="C170" s="4" t="s">
        <v>4330</v>
      </c>
      <c r="D170" s="4" t="s">
        <v>4331</v>
      </c>
    </row>
    <row r="171" customFormat="false" ht="15" hidden="false" customHeight="false" outlineLevel="0" collapsed="false">
      <c r="A171" s="4" t="s">
        <v>4332</v>
      </c>
      <c r="B171" s="4" t="s">
        <v>1555</v>
      </c>
      <c r="C171" s="4" t="s">
        <v>4333</v>
      </c>
      <c r="D171" s="4" t="s">
        <v>4334</v>
      </c>
    </row>
    <row r="172" customFormat="false" ht="15" hidden="false" customHeight="false" outlineLevel="0" collapsed="false">
      <c r="A172" s="4" t="s">
        <v>4335</v>
      </c>
      <c r="B172" s="4" t="s">
        <v>4336</v>
      </c>
      <c r="C172" s="4" t="n">
        <v>0.71</v>
      </c>
      <c r="D172" s="4" t="s">
        <v>4337</v>
      </c>
    </row>
    <row r="173" customFormat="false" ht="15" hidden="false" customHeight="false" outlineLevel="0" collapsed="false">
      <c r="A173" s="4" t="s">
        <v>4338</v>
      </c>
      <c r="B173" s="4" t="s">
        <v>4339</v>
      </c>
      <c r="C173" s="4" t="s">
        <v>4340</v>
      </c>
      <c r="D173" s="4" t="s">
        <v>1531</v>
      </c>
    </row>
    <row r="174" customFormat="false" ht="15" hidden="false" customHeight="false" outlineLevel="0" collapsed="false">
      <c r="A174" s="4" t="s">
        <v>4341</v>
      </c>
      <c r="B174" s="4" t="s">
        <v>4342</v>
      </c>
      <c r="C174" s="4" t="s">
        <v>4343</v>
      </c>
      <c r="D174" s="4" t="s">
        <v>4344</v>
      </c>
    </row>
    <row r="175" customFormat="false" ht="23.85" hidden="false" customHeight="false" outlineLevel="0" collapsed="false">
      <c r="A175" s="4" t="s">
        <v>4345</v>
      </c>
      <c r="B175" s="4" t="s">
        <v>1555</v>
      </c>
      <c r="C175" s="4" t="s">
        <v>4346</v>
      </c>
      <c r="D175" s="4" t="s">
        <v>4347</v>
      </c>
    </row>
    <row r="178" customFormat="false" ht="15" hidden="false" customHeight="false" outlineLevel="0" collapsed="false">
      <c r="A178" s="17" t="s">
        <v>4348</v>
      </c>
      <c r="B178" s="18"/>
      <c r="C178" s="18"/>
      <c r="D178" s="18"/>
    </row>
    <row r="179" customFormat="false" ht="15" hidden="false" customHeight="false" outlineLevel="0" collapsed="false">
      <c r="A179" s="19" t="s">
        <v>4349</v>
      </c>
    </row>
    <row r="180" customFormat="false" ht="15" hidden="false" customHeight="false" outlineLevel="0" collapsed="false">
      <c r="A180" s="19" t="s">
        <v>4350</v>
      </c>
    </row>
    <row r="181" customFormat="false" ht="15" hidden="false" customHeight="false" outlineLevel="0" collapsed="false">
      <c r="A181" s="26" t="s">
        <v>2179</v>
      </c>
    </row>
    <row r="182" customFormat="false" ht="15" hidden="false" customHeight="false" outlineLevel="0" collapsed="false">
      <c r="A182" s="21" t="s">
        <v>4351</v>
      </c>
    </row>
    <row r="183" customFormat="false" ht="15" hidden="false" customHeight="false" outlineLevel="0" collapsed="false">
      <c r="A183" s="21" t="s">
        <v>4352</v>
      </c>
    </row>
    <row r="184" customFormat="false" ht="15" hidden="false" customHeight="false" outlineLevel="0" collapsed="false">
      <c r="A184" s="22" t="s">
        <v>4353</v>
      </c>
      <c r="B184" s="22" t="s">
        <v>4354</v>
      </c>
      <c r="C184" s="22" t="s">
        <v>4355</v>
      </c>
      <c r="D184" s="22" t="s">
        <v>4356</v>
      </c>
    </row>
    <row r="185" customFormat="false" ht="15" hidden="false" customHeight="false" outlineLevel="0" collapsed="false">
      <c r="A185" s="4" t="s">
        <v>4357</v>
      </c>
      <c r="B185" s="4" t="s">
        <v>4358</v>
      </c>
      <c r="C185" s="4" t="n">
        <v>21800</v>
      </c>
      <c r="D185" s="4" t="s">
        <v>4359</v>
      </c>
    </row>
    <row r="186" customFormat="false" ht="15" hidden="false" customHeight="false" outlineLevel="0" collapsed="false">
      <c r="A186" s="4" t="s">
        <v>4360</v>
      </c>
      <c r="B186" s="4" t="s">
        <v>4361</v>
      </c>
      <c r="C186" s="4" t="n">
        <v>87100</v>
      </c>
      <c r="D186" s="4" t="s">
        <v>4362</v>
      </c>
    </row>
    <row r="187" customFormat="false" ht="15" hidden="false" customHeight="false" outlineLevel="0" collapsed="false">
      <c r="A187" s="4" t="s">
        <v>4363</v>
      </c>
      <c r="B187" s="4" t="s">
        <v>4364</v>
      </c>
      <c r="C187" s="4" t="n">
        <v>87100</v>
      </c>
      <c r="D187" s="4" t="s">
        <v>4365</v>
      </c>
    </row>
    <row r="188" customFormat="false" ht="15" hidden="false" customHeight="false" outlineLevel="0" collapsed="false">
      <c r="A188" s="4" t="s">
        <v>4366</v>
      </c>
      <c r="B188" s="4" t="s">
        <v>4367</v>
      </c>
      <c r="C188" s="4" t="n">
        <v>108800</v>
      </c>
      <c r="D188" s="4" t="s">
        <v>4368</v>
      </c>
    </row>
    <row r="191" customFormat="false" ht="15" hidden="false" customHeight="false" outlineLevel="0" collapsed="false">
      <c r="A191" s="17" t="s">
        <v>4369</v>
      </c>
      <c r="B191" s="18"/>
      <c r="C191" s="18"/>
      <c r="D191" s="18"/>
      <c r="E191" s="18"/>
      <c r="F191" s="18"/>
    </row>
    <row r="192" customFormat="false" ht="15" hidden="false" customHeight="false" outlineLevel="0" collapsed="false">
      <c r="A192" s="19" t="s">
        <v>4370</v>
      </c>
    </row>
    <row r="193" customFormat="false" ht="15" hidden="false" customHeight="false" outlineLevel="0" collapsed="false">
      <c r="A193" s="24" t="s">
        <v>1459</v>
      </c>
    </row>
    <row r="194" customFormat="false" ht="15" hidden="false" customHeight="false" outlineLevel="0" collapsed="false">
      <c r="A194" s="21" t="s">
        <v>4371</v>
      </c>
    </row>
    <row r="195" customFormat="false" ht="15" hidden="false" customHeight="false" outlineLevel="0" collapsed="false">
      <c r="A195" s="21" t="s">
        <v>4372</v>
      </c>
    </row>
    <row r="196" customFormat="false" ht="15" hidden="false" customHeight="false" outlineLevel="0" collapsed="false">
      <c r="A196" s="22" t="s">
        <v>3958</v>
      </c>
      <c r="B196" s="22" t="s">
        <v>4373</v>
      </c>
      <c r="C196" s="22" t="s">
        <v>4374</v>
      </c>
      <c r="D196" s="22" t="s">
        <v>4375</v>
      </c>
      <c r="E196" s="22" t="s">
        <v>4376</v>
      </c>
      <c r="F196" s="22" t="s">
        <v>4377</v>
      </c>
    </row>
    <row r="197" customFormat="false" ht="15" hidden="false" customHeight="false" outlineLevel="0" collapsed="false">
      <c r="A197" s="4" t="s">
        <v>4378</v>
      </c>
      <c r="B197" s="4" t="s">
        <v>4379</v>
      </c>
      <c r="C197" s="4" t="s">
        <v>4380</v>
      </c>
      <c r="D197" s="4" t="s">
        <v>4381</v>
      </c>
      <c r="E197" s="4" t="s">
        <v>4382</v>
      </c>
      <c r="F197" s="4" t="s">
        <v>4383</v>
      </c>
    </row>
    <row r="198" customFormat="false" ht="15" hidden="false" customHeight="false" outlineLevel="0" collapsed="false">
      <c r="A198" s="4" t="s">
        <v>4384</v>
      </c>
      <c r="B198" s="4" t="s">
        <v>4385</v>
      </c>
      <c r="C198" s="4" t="s">
        <v>4386</v>
      </c>
      <c r="D198" s="4" t="s">
        <v>4387</v>
      </c>
      <c r="E198" s="4" t="s">
        <v>4388</v>
      </c>
      <c r="F198" s="4" t="s">
        <v>4389</v>
      </c>
    </row>
    <row r="199" customFormat="false" ht="15" hidden="false" customHeight="false" outlineLevel="0" collapsed="false">
      <c r="A199" s="4" t="s">
        <v>4390</v>
      </c>
      <c r="B199" s="4" t="s">
        <v>4391</v>
      </c>
      <c r="C199" s="4" t="s">
        <v>4392</v>
      </c>
      <c r="D199" s="4" t="s">
        <v>4393</v>
      </c>
      <c r="E199" s="4" t="s">
        <v>4394</v>
      </c>
      <c r="F199" s="4" t="s">
        <v>4395</v>
      </c>
    </row>
    <row r="200" customFormat="false" ht="15" hidden="false" customHeight="false" outlineLevel="0" collapsed="false">
      <c r="A200" s="4" t="s">
        <v>4396</v>
      </c>
      <c r="B200" s="4" t="s">
        <v>4397</v>
      </c>
      <c r="C200" s="4" t="s">
        <v>4398</v>
      </c>
      <c r="D200" s="4" t="s">
        <v>4399</v>
      </c>
      <c r="E200" s="4" t="s">
        <v>4400</v>
      </c>
      <c r="F200" s="4" t="s">
        <v>4401</v>
      </c>
    </row>
    <row r="201" customFormat="false" ht="15" hidden="false" customHeight="false" outlineLevel="0" collapsed="false">
      <c r="A201" s="4" t="s">
        <v>3981</v>
      </c>
      <c r="B201" s="4" t="s">
        <v>4402</v>
      </c>
      <c r="C201" s="4" t="s">
        <v>4403</v>
      </c>
      <c r="D201" s="4" t="s">
        <v>4404</v>
      </c>
      <c r="E201" s="4" t="s">
        <v>4405</v>
      </c>
      <c r="F201" s="4" t="s">
        <v>4406</v>
      </c>
    </row>
    <row r="202" customFormat="false" ht="15" hidden="false" customHeight="false" outlineLevel="0" collapsed="false">
      <c r="A202" s="4" t="s">
        <v>4407</v>
      </c>
      <c r="B202" s="4" t="s">
        <v>4408</v>
      </c>
      <c r="C202" s="4" t="s">
        <v>4409</v>
      </c>
      <c r="D202" s="4" t="s">
        <v>4410</v>
      </c>
      <c r="E202" s="4" t="s">
        <v>4411</v>
      </c>
      <c r="F202" s="4" t="s">
        <v>4412</v>
      </c>
    </row>
    <row r="203" customFormat="false" ht="15" hidden="false" customHeight="false" outlineLevel="0" collapsed="false">
      <c r="A203" s="4" t="s">
        <v>4413</v>
      </c>
      <c r="B203" s="4" t="s">
        <v>4414</v>
      </c>
      <c r="C203" s="4" t="s">
        <v>4415</v>
      </c>
      <c r="D203" s="4" t="s">
        <v>4416</v>
      </c>
      <c r="E203" s="4" t="s">
        <v>4417</v>
      </c>
      <c r="F203" s="4" t="s">
        <v>4418</v>
      </c>
    </row>
    <row r="204" customFormat="false" ht="15" hidden="false" customHeight="false" outlineLevel="0" collapsed="false">
      <c r="A204" s="4" t="s">
        <v>4419</v>
      </c>
      <c r="B204" s="4" t="s">
        <v>4420</v>
      </c>
      <c r="C204" s="4" t="s">
        <v>4421</v>
      </c>
      <c r="D204" s="4" t="s">
        <v>4422</v>
      </c>
      <c r="E204" s="4" t="s">
        <v>4423</v>
      </c>
      <c r="F204" s="4" t="s">
        <v>4424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4" min="1" style="0" width="56"/>
    <col collapsed="false" customWidth="true" hidden="false" outlineLevel="0" max="5" min="5" style="0" width="43.4"/>
    <col collapsed="false" customWidth="true" hidden="false" outlineLevel="0" max="6" min="6" style="0" width="45.2"/>
    <col collapsed="false" customWidth="true" hidden="false" outlineLevel="0" max="7" min="7" style="0" width="56"/>
    <col collapsed="false" customWidth="true" hidden="false" outlineLevel="0" max="8" min="8" style="0" width="30.8"/>
    <col collapsed="false" customWidth="true" hidden="false" outlineLevel="0" max="9" min="9" style="0" width="12"/>
    <col collapsed="false" customWidth="true" hidden="false" outlineLevel="0" max="10" min="10" style="0" width="12.8"/>
  </cols>
  <sheetData>
    <row r="1" customFormat="false" ht="17.35" hidden="false" customHeight="false" outlineLevel="0" collapsed="false">
      <c r="A1" s="1" t="s">
        <v>544</v>
      </c>
    </row>
    <row r="2" customFormat="false" ht="15" hidden="false" customHeight="false" outlineLevel="0" collapsed="false">
      <c r="A2" s="14" t="s">
        <v>4425</v>
      </c>
    </row>
    <row r="4" customFormat="false" ht="15" hidden="false" customHeight="false" outlineLevel="0" collapsed="false">
      <c r="A4" s="17" t="s">
        <v>4426</v>
      </c>
      <c r="B4" s="18"/>
      <c r="C4" s="18"/>
    </row>
    <row r="5" customFormat="false" ht="15" hidden="false" customHeight="false" outlineLevel="0" collapsed="false">
      <c r="A5" s="19" t="s">
        <v>4427</v>
      </c>
    </row>
    <row r="6" customFormat="false" ht="15" hidden="false" customHeight="false" outlineLevel="0" collapsed="false">
      <c r="A6" s="23" t="s">
        <v>1246</v>
      </c>
    </row>
    <row r="7" customFormat="false" ht="15" hidden="false" customHeight="false" outlineLevel="0" collapsed="false">
      <c r="A7" s="21" t="s">
        <v>4428</v>
      </c>
    </row>
    <row r="8" customFormat="false" ht="15" hidden="false" customHeight="false" outlineLevel="0" collapsed="false">
      <c r="A8" s="21" t="s">
        <v>4429</v>
      </c>
    </row>
    <row r="9" customFormat="false" ht="15" hidden="false" customHeight="false" outlineLevel="0" collapsed="false">
      <c r="A9" s="22" t="s">
        <v>4110</v>
      </c>
      <c r="B9" s="22" t="s">
        <v>4111</v>
      </c>
      <c r="C9" s="22" t="s">
        <v>4430</v>
      </c>
    </row>
    <row r="10" customFormat="false" ht="57.45" hidden="false" customHeight="false" outlineLevel="0" collapsed="false">
      <c r="A10" s="4" t="s">
        <v>4431</v>
      </c>
      <c r="B10" s="4" t="s">
        <v>4432</v>
      </c>
      <c r="C10" s="4" t="s">
        <v>4433</v>
      </c>
    </row>
    <row r="11" customFormat="false" ht="46.25" hidden="false" customHeight="false" outlineLevel="0" collapsed="false">
      <c r="A11" s="4" t="s">
        <v>4434</v>
      </c>
      <c r="B11" s="4" t="s">
        <v>4435</v>
      </c>
      <c r="C11" s="4" t="s">
        <v>4436</v>
      </c>
    </row>
    <row r="12" customFormat="false" ht="91" hidden="false" customHeight="false" outlineLevel="0" collapsed="false">
      <c r="A12" s="4" t="s">
        <v>4437</v>
      </c>
      <c r="B12" s="4" t="s">
        <v>4438</v>
      </c>
      <c r="C12" s="4" t="s">
        <v>4439</v>
      </c>
    </row>
    <row r="13" customFormat="false" ht="57.45" hidden="false" customHeight="false" outlineLevel="0" collapsed="false">
      <c r="A13" s="4" t="s">
        <v>4440</v>
      </c>
      <c r="B13" s="4" t="s">
        <v>4441</v>
      </c>
      <c r="C13" s="4" t="s">
        <v>4442</v>
      </c>
    </row>
    <row r="14" customFormat="false" ht="46.25" hidden="false" customHeight="false" outlineLevel="0" collapsed="false">
      <c r="A14" s="4" t="s">
        <v>4443</v>
      </c>
      <c r="B14" s="4" t="s">
        <v>4444</v>
      </c>
      <c r="C14" s="4" t="s">
        <v>4445</v>
      </c>
    </row>
    <row r="15" customFormat="false" ht="35.05" hidden="false" customHeight="false" outlineLevel="0" collapsed="false">
      <c r="A15" s="4" t="s">
        <v>4446</v>
      </c>
      <c r="B15" s="4" t="s">
        <v>4444</v>
      </c>
      <c r="C15" s="4" t="s">
        <v>4447</v>
      </c>
    </row>
    <row r="16" customFormat="false" ht="57.45" hidden="false" customHeight="false" outlineLevel="0" collapsed="false">
      <c r="A16" s="4" t="s">
        <v>4448</v>
      </c>
      <c r="B16" s="4" t="s">
        <v>4449</v>
      </c>
      <c r="C16" s="4" t="s">
        <v>4450</v>
      </c>
    </row>
    <row r="17" customFormat="false" ht="23.85" hidden="false" customHeight="false" outlineLevel="0" collapsed="false">
      <c r="A17" s="4" t="s">
        <v>4451</v>
      </c>
      <c r="B17" s="4" t="s">
        <v>4452</v>
      </c>
      <c r="C17" s="4" t="s">
        <v>4453</v>
      </c>
    </row>
    <row r="18" customFormat="false" ht="35.05" hidden="false" customHeight="false" outlineLevel="0" collapsed="false">
      <c r="A18" s="4" t="s">
        <v>4454</v>
      </c>
      <c r="B18" s="4" t="s">
        <v>4455</v>
      </c>
      <c r="C18" s="4" t="s">
        <v>4456</v>
      </c>
    </row>
    <row r="19" customFormat="false" ht="23.85" hidden="false" customHeight="false" outlineLevel="0" collapsed="false">
      <c r="A19" s="4" t="s">
        <v>4457</v>
      </c>
      <c r="B19" s="4" t="s">
        <v>4458</v>
      </c>
      <c r="C19" s="4" t="s">
        <v>4459</v>
      </c>
    </row>
    <row r="20" customFormat="false" ht="35.05" hidden="false" customHeight="false" outlineLevel="0" collapsed="false">
      <c r="A20" s="4" t="s">
        <v>4460</v>
      </c>
      <c r="B20" s="4" t="s">
        <v>4461</v>
      </c>
      <c r="C20" s="4" t="s">
        <v>4462</v>
      </c>
    </row>
    <row r="21" customFormat="false" ht="23.85" hidden="false" customHeight="false" outlineLevel="0" collapsed="false">
      <c r="A21" s="4" t="s">
        <v>4463</v>
      </c>
      <c r="B21" s="4" t="s">
        <v>4464</v>
      </c>
      <c r="C21" s="4" t="s">
        <v>4465</v>
      </c>
    </row>
    <row r="24" customFormat="false" ht="15" hidden="false" customHeight="false" outlineLevel="0" collapsed="false">
      <c r="A24" s="17" t="s">
        <v>4466</v>
      </c>
      <c r="B24" s="18"/>
      <c r="C24" s="18"/>
    </row>
    <row r="25" customFormat="false" ht="15" hidden="false" customHeight="false" outlineLevel="0" collapsed="false">
      <c r="A25" s="19" t="s">
        <v>4467</v>
      </c>
    </row>
    <row r="26" customFormat="false" ht="15" hidden="false" customHeight="false" outlineLevel="0" collapsed="false">
      <c r="A26" s="19" t="s">
        <v>4468</v>
      </c>
    </row>
    <row r="27" customFormat="false" ht="15" hidden="false" customHeight="false" outlineLevel="0" collapsed="false">
      <c r="A27" s="23" t="s">
        <v>1246</v>
      </c>
    </row>
    <row r="28" customFormat="false" ht="15" hidden="false" customHeight="false" outlineLevel="0" collapsed="false">
      <c r="A28" s="21" t="s">
        <v>4469</v>
      </c>
    </row>
    <row r="29" customFormat="false" ht="15" hidden="false" customHeight="false" outlineLevel="0" collapsed="false">
      <c r="A29" s="21" t="s">
        <v>4470</v>
      </c>
    </row>
    <row r="30" customFormat="false" ht="15" hidden="false" customHeight="false" outlineLevel="0" collapsed="false">
      <c r="A30" s="22" t="s">
        <v>4471</v>
      </c>
      <c r="B30" s="22" t="s">
        <v>4472</v>
      </c>
      <c r="C30" s="22" t="s">
        <v>4473</v>
      </c>
    </row>
    <row r="31" customFormat="false" ht="15" hidden="false" customHeight="false" outlineLevel="0" collapsed="false">
      <c r="A31" s="4" t="s">
        <v>3282</v>
      </c>
      <c r="B31" s="4" t="s">
        <v>4474</v>
      </c>
      <c r="C31" s="4" t="s">
        <v>4475</v>
      </c>
    </row>
    <row r="32" customFormat="false" ht="15" hidden="false" customHeight="false" outlineLevel="0" collapsed="false">
      <c r="A32" s="4" t="s">
        <v>4476</v>
      </c>
      <c r="B32" s="4" t="s">
        <v>4477</v>
      </c>
      <c r="C32" s="4" t="s">
        <v>4478</v>
      </c>
    </row>
    <row r="33" customFormat="false" ht="15" hidden="false" customHeight="false" outlineLevel="0" collapsed="false">
      <c r="A33" s="4" t="s">
        <v>2099</v>
      </c>
      <c r="B33" s="4" t="s">
        <v>4479</v>
      </c>
      <c r="C33" s="4" t="s">
        <v>4480</v>
      </c>
    </row>
    <row r="34" customFormat="false" ht="15" hidden="false" customHeight="false" outlineLevel="0" collapsed="false">
      <c r="A34" s="4" t="s">
        <v>4481</v>
      </c>
      <c r="B34" s="4" t="s">
        <v>4482</v>
      </c>
      <c r="C34" s="4" t="s">
        <v>4480</v>
      </c>
    </row>
    <row r="35" customFormat="false" ht="15" hidden="false" customHeight="false" outlineLevel="0" collapsed="false">
      <c r="A35" s="4" t="s">
        <v>4483</v>
      </c>
      <c r="B35" s="4" t="s">
        <v>1555</v>
      </c>
      <c r="C35" s="4" t="s">
        <v>4484</v>
      </c>
    </row>
    <row r="38" customFormat="false" ht="15" hidden="false" customHeight="false" outlineLevel="0" collapsed="false">
      <c r="A38" s="17" t="s">
        <v>4485</v>
      </c>
      <c r="B38" s="18"/>
      <c r="C38" s="18"/>
      <c r="D38" s="18"/>
      <c r="E38" s="18"/>
      <c r="F38" s="18"/>
      <c r="G38" s="18"/>
      <c r="H38" s="18"/>
    </row>
    <row r="39" customFormat="false" ht="15" hidden="false" customHeight="false" outlineLevel="0" collapsed="false">
      <c r="A39" s="19" t="s">
        <v>4486</v>
      </c>
    </row>
    <row r="40" customFormat="false" ht="15" hidden="false" customHeight="false" outlineLevel="0" collapsed="false">
      <c r="A40" s="23" t="s">
        <v>1246</v>
      </c>
    </row>
    <row r="41" customFormat="false" ht="15" hidden="false" customHeight="false" outlineLevel="0" collapsed="false">
      <c r="A41" s="21" t="s">
        <v>4487</v>
      </c>
    </row>
    <row r="42" customFormat="false" ht="15" hidden="false" customHeight="false" outlineLevel="0" collapsed="false">
      <c r="A42" s="21" t="s">
        <v>4488</v>
      </c>
    </row>
    <row r="43" customFormat="false" ht="15" hidden="false" customHeight="false" outlineLevel="0" collapsed="false">
      <c r="A43" s="22" t="s">
        <v>1423</v>
      </c>
      <c r="B43" s="22" t="s">
        <v>4489</v>
      </c>
      <c r="C43" s="22" t="s">
        <v>4490</v>
      </c>
      <c r="D43" s="22" t="s">
        <v>4491</v>
      </c>
      <c r="E43" s="22" t="s">
        <v>1643</v>
      </c>
      <c r="F43" s="22" t="s">
        <v>4492</v>
      </c>
      <c r="G43" s="22" t="s">
        <v>4493</v>
      </c>
      <c r="H43" s="22" t="s">
        <v>4494</v>
      </c>
    </row>
    <row r="44" customFormat="false" ht="15" hidden="false" customHeight="false" outlineLevel="0" collapsed="false">
      <c r="A44" s="4" t="s">
        <v>1427</v>
      </c>
      <c r="B44" s="4" t="s">
        <v>4495</v>
      </c>
      <c r="C44" s="4" t="s">
        <v>4496</v>
      </c>
      <c r="D44" s="4" t="s">
        <v>4497</v>
      </c>
      <c r="E44" s="4" t="s">
        <v>4498</v>
      </c>
      <c r="F44" s="4" t="s">
        <v>4499</v>
      </c>
      <c r="G44" s="4" t="s">
        <v>4500</v>
      </c>
      <c r="H44" s="4" t="s">
        <v>4501</v>
      </c>
    </row>
    <row r="45" customFormat="false" ht="15" hidden="false" customHeight="false" outlineLevel="0" collapsed="false">
      <c r="A45" s="4" t="s">
        <v>1431</v>
      </c>
      <c r="B45" s="4" t="s">
        <v>4502</v>
      </c>
      <c r="C45" s="4" t="s">
        <v>1555</v>
      </c>
      <c r="D45" s="4" t="s">
        <v>1555</v>
      </c>
      <c r="E45" s="4" t="s">
        <v>4503</v>
      </c>
      <c r="F45" s="4" t="s">
        <v>4504</v>
      </c>
      <c r="G45" s="4" t="s">
        <v>4505</v>
      </c>
      <c r="H45" s="4" t="s">
        <v>4506</v>
      </c>
    </row>
    <row r="46" customFormat="false" ht="23.85" hidden="false" customHeight="false" outlineLevel="0" collapsed="false">
      <c r="A46" s="4" t="s">
        <v>3547</v>
      </c>
      <c r="B46" s="4" t="s">
        <v>4507</v>
      </c>
      <c r="C46" s="4" t="s">
        <v>4508</v>
      </c>
      <c r="D46" s="4" t="s">
        <v>4509</v>
      </c>
      <c r="E46" s="4" t="s">
        <v>4510</v>
      </c>
      <c r="F46" s="4" t="s">
        <v>4511</v>
      </c>
      <c r="G46" s="4" t="s">
        <v>4512</v>
      </c>
      <c r="H46" s="4" t="n">
        <v>2031</v>
      </c>
    </row>
    <row r="47" customFormat="false" ht="15" hidden="false" customHeight="false" outlineLevel="0" collapsed="false">
      <c r="A47" s="4" t="s">
        <v>1435</v>
      </c>
      <c r="B47" s="4" t="s">
        <v>4513</v>
      </c>
      <c r="C47" s="4" t="s">
        <v>4514</v>
      </c>
      <c r="D47" s="4" t="s">
        <v>4515</v>
      </c>
      <c r="E47" s="4" t="s">
        <v>4516</v>
      </c>
      <c r="F47" s="4" t="s">
        <v>4517</v>
      </c>
      <c r="G47" s="4" t="s">
        <v>4420</v>
      </c>
      <c r="H47" s="4" t="s">
        <v>4518</v>
      </c>
    </row>
    <row r="48" customFormat="false" ht="23.85" hidden="false" customHeight="false" outlineLevel="0" collapsed="false">
      <c r="A48" s="4" t="s">
        <v>1447</v>
      </c>
      <c r="B48" s="4" t="s">
        <v>4519</v>
      </c>
      <c r="C48" s="4" t="s">
        <v>4520</v>
      </c>
      <c r="D48" s="4" t="s">
        <v>4521</v>
      </c>
      <c r="E48" s="4" t="s">
        <v>4522</v>
      </c>
      <c r="F48" s="4" t="s">
        <v>4523</v>
      </c>
      <c r="G48" s="4" t="s">
        <v>4524</v>
      </c>
      <c r="H48" s="4" t="s">
        <v>4525</v>
      </c>
    </row>
    <row r="49" customFormat="false" ht="15" hidden="false" customHeight="false" outlineLevel="0" collapsed="false">
      <c r="A49" s="4" t="s">
        <v>1439</v>
      </c>
      <c r="B49" s="4" t="s">
        <v>4526</v>
      </c>
      <c r="C49" s="4" t="s">
        <v>4527</v>
      </c>
      <c r="D49" s="4" t="s">
        <v>4528</v>
      </c>
      <c r="E49" s="4" t="s">
        <v>4529</v>
      </c>
      <c r="F49" s="4" t="s">
        <v>4530</v>
      </c>
      <c r="G49" s="4" t="s">
        <v>4531</v>
      </c>
      <c r="H49" s="4" t="s">
        <v>4532</v>
      </c>
    </row>
    <row r="50" customFormat="false" ht="23.85" hidden="false" customHeight="false" outlineLevel="0" collapsed="false">
      <c r="A50" s="4" t="s">
        <v>1451</v>
      </c>
      <c r="B50" s="4" t="s">
        <v>4533</v>
      </c>
      <c r="C50" s="4" t="s">
        <v>4534</v>
      </c>
      <c r="D50" s="4" t="s">
        <v>4535</v>
      </c>
      <c r="E50" s="4" t="s">
        <v>4536</v>
      </c>
      <c r="F50" s="4" t="s">
        <v>4537</v>
      </c>
      <c r="G50" s="4" t="s">
        <v>4538</v>
      </c>
      <c r="H50" s="4" t="n">
        <v>2029</v>
      </c>
    </row>
    <row r="51" customFormat="false" ht="15" hidden="false" customHeight="false" outlineLevel="0" collapsed="false">
      <c r="A51" s="4" t="s">
        <v>4539</v>
      </c>
      <c r="B51" s="4" t="s">
        <v>4540</v>
      </c>
      <c r="C51" s="4" t="s">
        <v>4541</v>
      </c>
      <c r="D51" s="4" t="s">
        <v>4542</v>
      </c>
      <c r="E51" s="4" t="s">
        <v>4543</v>
      </c>
      <c r="F51" s="4" t="s">
        <v>4544</v>
      </c>
      <c r="G51" s="4" t="s">
        <v>4420</v>
      </c>
      <c r="H51" s="4" t="s">
        <v>4545</v>
      </c>
    </row>
    <row r="52" customFormat="false" ht="15" hidden="false" customHeight="false" outlineLevel="0" collapsed="false">
      <c r="A52" s="4" t="s">
        <v>1443</v>
      </c>
      <c r="B52" s="4" t="s">
        <v>4546</v>
      </c>
      <c r="C52" s="4" t="s">
        <v>4547</v>
      </c>
      <c r="D52" s="4" t="s">
        <v>1555</v>
      </c>
      <c r="E52" s="4" t="s">
        <v>4548</v>
      </c>
      <c r="F52" s="4" t="s">
        <v>4537</v>
      </c>
      <c r="G52" s="4" t="s">
        <v>4549</v>
      </c>
      <c r="H52" s="4" t="s">
        <v>4550</v>
      </c>
    </row>
    <row r="53" customFormat="false" ht="15" hidden="false" customHeight="false" outlineLevel="0" collapsed="false">
      <c r="A53" s="4" t="s">
        <v>4551</v>
      </c>
      <c r="B53" s="4" t="s">
        <v>4540</v>
      </c>
      <c r="C53" s="4" t="s">
        <v>1555</v>
      </c>
      <c r="D53" s="4" t="s">
        <v>4552</v>
      </c>
      <c r="E53" s="4" t="s">
        <v>4553</v>
      </c>
      <c r="F53" s="4" t="s">
        <v>4554</v>
      </c>
      <c r="G53" s="4" t="s">
        <v>4555</v>
      </c>
      <c r="H53" s="4" t="s">
        <v>4556</v>
      </c>
    </row>
    <row r="54" customFormat="false" ht="15" hidden="false" customHeight="false" outlineLevel="0" collapsed="false">
      <c r="A54" s="4" t="s">
        <v>4557</v>
      </c>
      <c r="B54" s="4" t="s">
        <v>4558</v>
      </c>
      <c r="C54" s="4" t="s">
        <v>4559</v>
      </c>
      <c r="D54" s="4" t="s">
        <v>4560</v>
      </c>
      <c r="E54" s="4" t="s">
        <v>4561</v>
      </c>
      <c r="F54" s="4" t="s">
        <v>4562</v>
      </c>
      <c r="G54" s="4" t="s">
        <v>4563</v>
      </c>
      <c r="H54" s="4" t="s">
        <v>4564</v>
      </c>
    </row>
    <row r="55" customFormat="false" ht="15" hidden="false" customHeight="false" outlineLevel="0" collapsed="false">
      <c r="A55" s="4" t="s">
        <v>4565</v>
      </c>
      <c r="B55" s="4" t="s">
        <v>4566</v>
      </c>
      <c r="C55" s="4" t="s">
        <v>1555</v>
      </c>
      <c r="D55" s="4" t="s">
        <v>4567</v>
      </c>
      <c r="E55" s="4" t="s">
        <v>4568</v>
      </c>
      <c r="F55" s="4" t="s">
        <v>4569</v>
      </c>
      <c r="G55" s="4" t="s">
        <v>4570</v>
      </c>
      <c r="H55" s="4" t="s">
        <v>4571</v>
      </c>
    </row>
    <row r="56" customFormat="false" ht="15" hidden="false" customHeight="false" outlineLevel="0" collapsed="false">
      <c r="A56" s="4" t="s">
        <v>4572</v>
      </c>
      <c r="B56" s="4" t="s">
        <v>4573</v>
      </c>
      <c r="C56" s="4" t="s">
        <v>1555</v>
      </c>
      <c r="D56" s="4" t="s">
        <v>4574</v>
      </c>
      <c r="E56" s="4" t="s">
        <v>4575</v>
      </c>
      <c r="F56" s="4" t="s">
        <v>4576</v>
      </c>
      <c r="G56" s="4" t="s">
        <v>4420</v>
      </c>
      <c r="H56" s="4" t="s">
        <v>4577</v>
      </c>
    </row>
    <row r="59" customFormat="false" ht="15" hidden="false" customHeight="false" outlineLevel="0" collapsed="false">
      <c r="A59" s="17" t="s">
        <v>4578</v>
      </c>
      <c r="B59" s="18"/>
      <c r="C59" s="18"/>
      <c r="D59" s="18"/>
      <c r="E59" s="18"/>
      <c r="F59" s="18"/>
      <c r="G59" s="18"/>
      <c r="H59" s="18"/>
      <c r="I59" s="18"/>
      <c r="J59" s="18"/>
    </row>
    <row r="60" customFormat="false" ht="15" hidden="false" customHeight="false" outlineLevel="0" collapsed="false">
      <c r="A60" s="19" t="s">
        <v>4579</v>
      </c>
    </row>
    <row r="61" customFormat="false" ht="15" hidden="false" customHeight="false" outlineLevel="0" collapsed="false">
      <c r="A61" s="19" t="s">
        <v>4580</v>
      </c>
    </row>
    <row r="62" customFormat="false" ht="15" hidden="false" customHeight="false" outlineLevel="0" collapsed="false">
      <c r="A62" s="24" t="s">
        <v>1459</v>
      </c>
    </row>
    <row r="63" customFormat="false" ht="15" hidden="false" customHeight="false" outlineLevel="0" collapsed="false">
      <c r="A63" s="21" t="s">
        <v>4581</v>
      </c>
    </row>
    <row r="64" customFormat="false" ht="15" hidden="false" customHeight="false" outlineLevel="0" collapsed="false">
      <c r="A64" s="21" t="s">
        <v>4582</v>
      </c>
    </row>
    <row r="65" customFormat="false" ht="15" hidden="false" customHeight="false" outlineLevel="0" collapsed="false">
      <c r="A65" s="22" t="s">
        <v>4583</v>
      </c>
      <c r="B65" s="22" t="s">
        <v>1423</v>
      </c>
      <c r="C65" s="22" t="s">
        <v>1643</v>
      </c>
      <c r="D65" s="22" t="s">
        <v>4584</v>
      </c>
      <c r="E65" s="22" t="s">
        <v>4585</v>
      </c>
      <c r="F65" s="22" t="s">
        <v>4586</v>
      </c>
      <c r="G65" s="22" t="s">
        <v>4587</v>
      </c>
      <c r="H65" s="22" t="s">
        <v>1630</v>
      </c>
      <c r="I65" s="22" t="s">
        <v>4588</v>
      </c>
      <c r="J65" s="22" t="s">
        <v>4589</v>
      </c>
    </row>
    <row r="66" customFormat="false" ht="15" hidden="false" customHeight="false" outlineLevel="0" collapsed="false">
      <c r="A66" s="4" t="n">
        <v>1</v>
      </c>
      <c r="B66" s="4" t="s">
        <v>1427</v>
      </c>
      <c r="C66" s="4" t="n">
        <v>8</v>
      </c>
      <c r="D66" s="4" t="n">
        <v>6</v>
      </c>
      <c r="E66" s="4" t="n">
        <v>10</v>
      </c>
      <c r="F66" s="4" t="n">
        <v>8</v>
      </c>
      <c r="G66" s="4" t="n">
        <v>6</v>
      </c>
      <c r="H66" s="4" t="n">
        <v>6</v>
      </c>
      <c r="I66" s="4" t="n">
        <v>8</v>
      </c>
      <c r="J66" s="4" t="n">
        <v>7.8</v>
      </c>
    </row>
    <row r="67" customFormat="false" ht="15" hidden="false" customHeight="false" outlineLevel="0" collapsed="false">
      <c r="A67" s="4" t="n">
        <v>2</v>
      </c>
      <c r="B67" s="4" t="s">
        <v>1435</v>
      </c>
      <c r="C67" s="4" t="n">
        <v>8</v>
      </c>
      <c r="D67" s="4" t="n">
        <v>7</v>
      </c>
      <c r="E67" s="4" t="n">
        <v>6</v>
      </c>
      <c r="F67" s="4" t="n">
        <v>7</v>
      </c>
      <c r="G67" s="4" t="n">
        <v>9</v>
      </c>
      <c r="H67" s="4" t="n">
        <v>6</v>
      </c>
      <c r="I67" s="4" t="n">
        <v>7</v>
      </c>
      <c r="J67" s="4" t="n">
        <v>7.2</v>
      </c>
    </row>
    <row r="68" customFormat="false" ht="15" hidden="false" customHeight="false" outlineLevel="0" collapsed="false">
      <c r="A68" s="4" t="n">
        <v>3</v>
      </c>
      <c r="B68" s="4" t="s">
        <v>1447</v>
      </c>
      <c r="C68" s="4" t="n">
        <v>7</v>
      </c>
      <c r="D68" s="4" t="n">
        <v>9</v>
      </c>
      <c r="E68" s="4" t="n">
        <v>7</v>
      </c>
      <c r="F68" s="4" t="n">
        <v>9</v>
      </c>
      <c r="G68" s="4" t="n">
        <v>7</v>
      </c>
      <c r="H68" s="4" t="n">
        <v>5</v>
      </c>
      <c r="I68" s="4" t="n">
        <v>6</v>
      </c>
      <c r="J68" s="4" t="n">
        <v>7.3</v>
      </c>
    </row>
    <row r="69" customFormat="false" ht="15" hidden="false" customHeight="false" outlineLevel="0" collapsed="false">
      <c r="A69" s="4" t="n">
        <v>4</v>
      </c>
      <c r="B69" s="4" t="s">
        <v>1431</v>
      </c>
      <c r="C69" s="4" t="n">
        <v>7</v>
      </c>
      <c r="D69" s="4" t="n">
        <v>8</v>
      </c>
      <c r="E69" s="4" t="n">
        <v>10</v>
      </c>
      <c r="F69" s="4" t="n">
        <v>4</v>
      </c>
      <c r="G69" s="4" t="n">
        <v>6</v>
      </c>
      <c r="H69" s="4" t="n">
        <v>4</v>
      </c>
      <c r="I69" s="4" t="n">
        <v>5</v>
      </c>
      <c r="J69" s="4" t="n">
        <v>6.8</v>
      </c>
    </row>
    <row r="70" customFormat="false" ht="15" hidden="false" customHeight="false" outlineLevel="0" collapsed="false">
      <c r="A70" s="4" t="n">
        <v>5</v>
      </c>
      <c r="B70" s="4" t="s">
        <v>1439</v>
      </c>
      <c r="C70" s="4" t="n">
        <v>7</v>
      </c>
      <c r="D70" s="4" t="n">
        <v>5</v>
      </c>
      <c r="E70" s="4" t="n">
        <v>6</v>
      </c>
      <c r="F70" s="4" t="n">
        <v>8</v>
      </c>
      <c r="G70" s="4" t="n">
        <v>7</v>
      </c>
      <c r="H70" s="4" t="n">
        <v>6</v>
      </c>
      <c r="I70" s="4" t="n">
        <v>8</v>
      </c>
      <c r="J70" s="4" t="n">
        <v>6.7</v>
      </c>
    </row>
    <row r="71" customFormat="false" ht="15" hidden="false" customHeight="false" outlineLevel="0" collapsed="false">
      <c r="A71" s="4" t="n">
        <v>6</v>
      </c>
      <c r="B71" s="4" t="s">
        <v>1451</v>
      </c>
      <c r="C71" s="4" t="n">
        <v>7</v>
      </c>
      <c r="D71" s="4" t="n">
        <v>9</v>
      </c>
      <c r="E71" s="4" t="n">
        <v>4</v>
      </c>
      <c r="F71" s="4" t="n">
        <v>9</v>
      </c>
      <c r="G71" s="4" t="n">
        <v>8</v>
      </c>
      <c r="H71" s="4" t="n">
        <v>4</v>
      </c>
      <c r="I71" s="4" t="n">
        <v>7</v>
      </c>
      <c r="J71" s="4" t="n">
        <v>6.8</v>
      </c>
    </row>
    <row r="72" customFormat="false" ht="15" hidden="false" customHeight="false" outlineLevel="0" collapsed="false">
      <c r="A72" s="4" t="n">
        <v>7</v>
      </c>
      <c r="B72" s="4" t="s">
        <v>3547</v>
      </c>
      <c r="C72" s="4" t="n">
        <v>6</v>
      </c>
      <c r="D72" s="4" t="n">
        <v>8</v>
      </c>
      <c r="E72" s="4" t="n">
        <v>5</v>
      </c>
      <c r="F72" s="4" t="n">
        <v>6</v>
      </c>
      <c r="G72" s="4" t="n">
        <v>6</v>
      </c>
      <c r="H72" s="4" t="n">
        <v>4</v>
      </c>
      <c r="I72" s="4" t="n">
        <v>7</v>
      </c>
      <c r="J72" s="4" t="n">
        <v>6</v>
      </c>
    </row>
    <row r="73" customFormat="false" ht="15" hidden="false" customHeight="false" outlineLevel="0" collapsed="false">
      <c r="A73" s="4" t="n">
        <v>8</v>
      </c>
      <c r="B73" s="4" t="s">
        <v>4539</v>
      </c>
      <c r="C73" s="4" t="n">
        <v>6</v>
      </c>
      <c r="D73" s="4" t="n">
        <v>4</v>
      </c>
      <c r="E73" s="4" t="n">
        <v>6</v>
      </c>
      <c r="F73" s="4" t="n">
        <v>7</v>
      </c>
      <c r="G73" s="4" t="n">
        <v>4</v>
      </c>
      <c r="H73" s="4" t="n">
        <v>4</v>
      </c>
      <c r="I73" s="4" t="n">
        <v>7</v>
      </c>
      <c r="J73" s="4" t="n">
        <v>5.5</v>
      </c>
    </row>
    <row r="74" customFormat="false" ht="15" hidden="false" customHeight="false" outlineLevel="0" collapsed="false">
      <c r="A74" s="4" t="n">
        <v>9</v>
      </c>
      <c r="B74" s="4" t="s">
        <v>1443</v>
      </c>
      <c r="C74" s="4" t="n">
        <v>6</v>
      </c>
      <c r="D74" s="4" t="n">
        <v>4</v>
      </c>
      <c r="E74" s="4" t="n">
        <v>6</v>
      </c>
      <c r="F74" s="4" t="n">
        <v>5</v>
      </c>
      <c r="G74" s="4" t="n">
        <v>6</v>
      </c>
      <c r="H74" s="4" t="n">
        <v>7</v>
      </c>
      <c r="I74" s="4" t="n">
        <v>4</v>
      </c>
      <c r="J74" s="4" t="n">
        <v>5.4</v>
      </c>
    </row>
    <row r="75" customFormat="false" ht="15" hidden="false" customHeight="false" outlineLevel="0" collapsed="false">
      <c r="A75" s="4" t="n">
        <v>10</v>
      </c>
      <c r="B75" s="4" t="s">
        <v>4551</v>
      </c>
      <c r="C75" s="4" t="n">
        <v>7</v>
      </c>
      <c r="D75" s="4" t="n">
        <v>6</v>
      </c>
      <c r="E75" s="4" t="n">
        <v>4</v>
      </c>
      <c r="F75" s="4" t="n">
        <v>7</v>
      </c>
      <c r="G75" s="4" t="n">
        <v>7</v>
      </c>
      <c r="H75" s="4" t="n">
        <v>7</v>
      </c>
      <c r="I75" s="4" t="n">
        <v>6</v>
      </c>
      <c r="J75" s="4" t="n">
        <v>6.2</v>
      </c>
    </row>
    <row r="76" customFormat="false" ht="15" hidden="false" customHeight="false" outlineLevel="0" collapsed="false">
      <c r="A76" s="4" t="n">
        <v>11</v>
      </c>
      <c r="B76" s="4" t="s">
        <v>4557</v>
      </c>
      <c r="C76" s="4" t="n">
        <v>6</v>
      </c>
      <c r="D76" s="4" t="n">
        <v>10</v>
      </c>
      <c r="E76" s="4" t="n">
        <v>2</v>
      </c>
      <c r="F76" s="4" t="n">
        <v>8</v>
      </c>
      <c r="G76" s="4" t="n">
        <v>8</v>
      </c>
      <c r="H76" s="4" t="n">
        <v>2</v>
      </c>
      <c r="I76" s="4" t="n">
        <v>6</v>
      </c>
      <c r="J76" s="4" t="n">
        <v>5.9</v>
      </c>
    </row>
    <row r="77" customFormat="false" ht="15" hidden="false" customHeight="false" outlineLevel="0" collapsed="false">
      <c r="A77" s="4" t="n">
        <v>12</v>
      </c>
      <c r="B77" s="4" t="s">
        <v>4565</v>
      </c>
      <c r="C77" s="4" t="n">
        <v>6</v>
      </c>
      <c r="D77" s="4" t="n">
        <v>6</v>
      </c>
      <c r="E77" s="4" t="n">
        <v>3</v>
      </c>
      <c r="F77" s="4" t="n">
        <v>7</v>
      </c>
      <c r="G77" s="4" t="n">
        <v>7</v>
      </c>
      <c r="H77" s="4" t="n">
        <v>5</v>
      </c>
      <c r="I77" s="4" t="n">
        <v>6</v>
      </c>
      <c r="J77" s="4" t="n">
        <v>5.6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4" min="2" style="0" width="56"/>
    <col collapsed="false" customWidth="true" hidden="false" outlineLevel="0" max="5" min="5" style="0" width="34.4"/>
    <col collapsed="false" customWidth="true" hidden="false" outlineLevel="0" max="6" min="6" style="0" width="56"/>
    <col collapsed="false" customWidth="true" hidden="false" outlineLevel="0" max="7" min="7" style="0" width="43.4"/>
    <col collapsed="false" customWidth="true" hidden="false" outlineLevel="0" max="8" min="8" style="0" width="23.6"/>
    <col collapsed="false" customWidth="true" hidden="false" outlineLevel="0" max="9" min="9" style="0" width="42.5"/>
    <col collapsed="false" customWidth="true" hidden="false" outlineLevel="0" max="10" min="10" style="0" width="38.9"/>
  </cols>
  <sheetData>
    <row r="1" customFormat="false" ht="17.35" hidden="false" customHeight="false" outlineLevel="0" collapsed="false">
      <c r="A1" s="1" t="s">
        <v>566</v>
      </c>
    </row>
    <row r="2" customFormat="false" ht="15" hidden="false" customHeight="false" outlineLevel="0" collapsed="false">
      <c r="A2" s="14" t="s">
        <v>2779</v>
      </c>
    </row>
    <row r="4" customFormat="false" ht="15" hidden="false" customHeight="false" outlineLevel="0" collapsed="false">
      <c r="A4" s="17" t="s">
        <v>4590</v>
      </c>
      <c r="B4" s="18"/>
      <c r="C4" s="18"/>
    </row>
    <row r="5" customFormat="false" ht="15" hidden="false" customHeight="false" outlineLevel="0" collapsed="false">
      <c r="A5" s="19" t="s">
        <v>4591</v>
      </c>
    </row>
    <row r="6" customFormat="false" ht="15" hidden="false" customHeight="false" outlineLevel="0" collapsed="false">
      <c r="A6" s="19" t="s">
        <v>4592</v>
      </c>
    </row>
    <row r="7" customFormat="false" ht="15" hidden="false" customHeight="false" outlineLevel="0" collapsed="false">
      <c r="A7" s="23" t="s">
        <v>1246</v>
      </c>
    </row>
    <row r="8" customFormat="false" ht="15" hidden="false" customHeight="false" outlineLevel="0" collapsed="false">
      <c r="A8" s="21" t="s">
        <v>4593</v>
      </c>
    </row>
    <row r="9" customFormat="false" ht="15" hidden="false" customHeight="false" outlineLevel="0" collapsed="false">
      <c r="A9" s="21" t="s">
        <v>4594</v>
      </c>
    </row>
    <row r="10" customFormat="false" ht="15" hidden="false" customHeight="false" outlineLevel="0" collapsed="false">
      <c r="A10" s="22" t="s">
        <v>3352</v>
      </c>
      <c r="B10" s="22" t="s">
        <v>1390</v>
      </c>
      <c r="C10" s="22" t="s">
        <v>4595</v>
      </c>
    </row>
    <row r="11" customFormat="false" ht="15" hidden="false" customHeight="false" outlineLevel="0" collapsed="false">
      <c r="A11" s="4" t="s">
        <v>3371</v>
      </c>
      <c r="B11" s="4" t="n">
        <v>890</v>
      </c>
      <c r="C11" s="4" t="n">
        <v>1726</v>
      </c>
    </row>
    <row r="12" customFormat="false" ht="15" hidden="false" customHeight="false" outlineLevel="0" collapsed="false">
      <c r="A12" s="4" t="s">
        <v>1397</v>
      </c>
      <c r="B12" s="4" t="n">
        <v>214</v>
      </c>
      <c r="C12" s="4" t="n">
        <v>368</v>
      </c>
    </row>
    <row r="13" customFormat="false" ht="15" hidden="false" customHeight="false" outlineLevel="0" collapsed="false">
      <c r="A13" s="4" t="s">
        <v>2132</v>
      </c>
      <c r="B13" s="4" t="n">
        <v>183</v>
      </c>
      <c r="C13" s="4" t="n">
        <v>387</v>
      </c>
    </row>
    <row r="14" customFormat="false" ht="15" hidden="false" customHeight="false" outlineLevel="0" collapsed="false">
      <c r="A14" s="4" t="s">
        <v>1403</v>
      </c>
      <c r="B14" s="4" t="n">
        <v>162</v>
      </c>
      <c r="C14" s="4" t="n">
        <v>100</v>
      </c>
    </row>
    <row r="15" customFormat="false" ht="15" hidden="false" customHeight="false" outlineLevel="0" collapsed="false">
      <c r="A15" s="4" t="s">
        <v>1406</v>
      </c>
      <c r="B15" s="4" t="n">
        <v>151</v>
      </c>
      <c r="C15" s="4" t="n">
        <v>710</v>
      </c>
    </row>
    <row r="16" customFormat="false" ht="15" hidden="false" customHeight="false" outlineLevel="0" collapsed="false">
      <c r="A16" s="4" t="s">
        <v>1409</v>
      </c>
      <c r="B16" s="4" t="n">
        <v>133</v>
      </c>
      <c r="C16" s="4" t="n">
        <v>258</v>
      </c>
    </row>
    <row r="17" customFormat="false" ht="15" hidden="false" customHeight="false" outlineLevel="0" collapsed="false">
      <c r="A17" s="4" t="s">
        <v>1412</v>
      </c>
      <c r="B17" s="4" t="n">
        <v>22</v>
      </c>
      <c r="C17" s="4" t="n">
        <v>84</v>
      </c>
    </row>
    <row r="20" customFormat="false" ht="15" hidden="false" customHeight="false" outlineLevel="0" collapsed="false">
      <c r="A20" s="17" t="s">
        <v>4596</v>
      </c>
      <c r="B20" s="18"/>
      <c r="C20" s="18"/>
    </row>
    <row r="21" customFormat="false" ht="15" hidden="false" customHeight="false" outlineLevel="0" collapsed="false">
      <c r="A21" s="19" t="s">
        <v>4591</v>
      </c>
    </row>
    <row r="22" customFormat="false" ht="15" hidden="false" customHeight="false" outlineLevel="0" collapsed="false">
      <c r="A22" s="19" t="s">
        <v>4597</v>
      </c>
    </row>
    <row r="23" customFormat="false" ht="15" hidden="false" customHeight="false" outlineLevel="0" collapsed="false">
      <c r="A23" s="20" t="s">
        <v>1193</v>
      </c>
    </row>
    <row r="24" customFormat="false" ht="15" hidden="false" customHeight="false" outlineLevel="0" collapsed="false">
      <c r="A24" s="21" t="s">
        <v>4598</v>
      </c>
    </row>
    <row r="25" customFormat="false" ht="15" hidden="false" customHeight="false" outlineLevel="0" collapsed="false">
      <c r="A25" s="21" t="s">
        <v>4599</v>
      </c>
    </row>
    <row r="26" customFormat="false" ht="15" hidden="false" customHeight="false" outlineLevel="0" collapsed="false">
      <c r="A26" s="22" t="s">
        <v>1423</v>
      </c>
      <c r="B26" s="22" t="s">
        <v>4600</v>
      </c>
      <c r="C26" s="22" t="s">
        <v>3575</v>
      </c>
    </row>
    <row r="27" customFormat="false" ht="15" hidden="false" customHeight="false" outlineLevel="0" collapsed="false">
      <c r="A27" s="4" t="s">
        <v>4551</v>
      </c>
      <c r="B27" s="4" t="s">
        <v>4601</v>
      </c>
      <c r="C27" s="4" t="s">
        <v>4602</v>
      </c>
    </row>
    <row r="28" customFormat="false" ht="15" hidden="false" customHeight="false" outlineLevel="0" collapsed="false">
      <c r="A28" s="4" t="s">
        <v>4603</v>
      </c>
      <c r="B28" s="4" t="s">
        <v>4604</v>
      </c>
      <c r="C28" s="4" t="s">
        <v>4605</v>
      </c>
    </row>
    <row r="29" customFormat="false" ht="15" hidden="false" customHeight="false" outlineLevel="0" collapsed="false">
      <c r="A29" s="4" t="s">
        <v>4539</v>
      </c>
      <c r="B29" s="4" t="s">
        <v>4606</v>
      </c>
      <c r="C29" s="4" t="s">
        <v>4607</v>
      </c>
    </row>
    <row r="30" customFormat="false" ht="15" hidden="false" customHeight="false" outlineLevel="0" collapsed="false">
      <c r="A30" s="4" t="s">
        <v>1439</v>
      </c>
      <c r="B30" s="4" t="s">
        <v>4608</v>
      </c>
      <c r="C30" s="4" t="s">
        <v>4609</v>
      </c>
    </row>
    <row r="31" customFormat="false" ht="15" hidden="false" customHeight="false" outlineLevel="0" collapsed="false">
      <c r="A31" s="4" t="s">
        <v>1435</v>
      </c>
      <c r="B31" s="4" t="s">
        <v>4606</v>
      </c>
      <c r="C31" s="4" t="s">
        <v>4610</v>
      </c>
    </row>
    <row r="32" customFormat="false" ht="15" hidden="false" customHeight="false" outlineLevel="0" collapsed="false">
      <c r="A32" s="4" t="s">
        <v>3547</v>
      </c>
      <c r="B32" s="4" t="s">
        <v>4611</v>
      </c>
      <c r="C32" s="4" t="s">
        <v>4612</v>
      </c>
    </row>
    <row r="33" customFormat="false" ht="15" hidden="false" customHeight="false" outlineLevel="0" collapsed="false">
      <c r="A33" s="4" t="s">
        <v>4565</v>
      </c>
      <c r="B33" s="4" t="s">
        <v>4613</v>
      </c>
      <c r="C33" s="4" t="s">
        <v>4614</v>
      </c>
    </row>
    <row r="34" customFormat="false" ht="15" hidden="false" customHeight="false" outlineLevel="0" collapsed="false">
      <c r="A34" s="4" t="s">
        <v>1431</v>
      </c>
      <c r="B34" s="4" t="s">
        <v>3556</v>
      </c>
      <c r="C34" s="4" t="s">
        <v>4615</v>
      </c>
    </row>
    <row r="35" customFormat="false" ht="15" hidden="false" customHeight="false" outlineLevel="0" collapsed="false">
      <c r="A35" s="4" t="s">
        <v>1427</v>
      </c>
      <c r="B35" s="4" t="s">
        <v>4616</v>
      </c>
      <c r="C35" s="4" t="s">
        <v>4617</v>
      </c>
    </row>
    <row r="38" customFormat="false" ht="15" hidden="false" customHeight="false" outlineLevel="0" collapsed="false">
      <c r="A38" s="17" t="s">
        <v>4618</v>
      </c>
      <c r="B38" s="18"/>
      <c r="C38" s="18"/>
      <c r="D38" s="18"/>
      <c r="E38" s="18"/>
    </row>
    <row r="39" customFormat="false" ht="15" hidden="false" customHeight="false" outlineLevel="0" collapsed="false">
      <c r="A39" s="19" t="s">
        <v>4619</v>
      </c>
    </row>
    <row r="40" customFormat="false" ht="15" hidden="false" customHeight="false" outlineLevel="0" collapsed="false">
      <c r="A40" s="19" t="s">
        <v>4620</v>
      </c>
    </row>
    <row r="41" customFormat="false" ht="15" hidden="false" customHeight="false" outlineLevel="0" collapsed="false">
      <c r="A41" s="24" t="s">
        <v>1459</v>
      </c>
    </row>
    <row r="42" customFormat="false" ht="15" hidden="false" customHeight="false" outlineLevel="0" collapsed="false">
      <c r="A42" s="21" t="s">
        <v>4621</v>
      </c>
    </row>
    <row r="43" customFormat="false" ht="15" hidden="false" customHeight="false" outlineLevel="0" collapsed="false">
      <c r="A43" s="21" t="s">
        <v>4622</v>
      </c>
    </row>
    <row r="44" customFormat="false" ht="15" hidden="false" customHeight="false" outlineLevel="0" collapsed="false">
      <c r="A44" s="22" t="s">
        <v>2742</v>
      </c>
      <c r="B44" s="22" t="s">
        <v>4623</v>
      </c>
      <c r="C44" s="22" t="s">
        <v>4624</v>
      </c>
      <c r="D44" s="22" t="s">
        <v>4625</v>
      </c>
      <c r="E44" s="22" t="s">
        <v>4626</v>
      </c>
    </row>
    <row r="45" customFormat="false" ht="15" hidden="false" customHeight="false" outlineLevel="0" collapsed="false">
      <c r="A45" s="4" t="s">
        <v>1643</v>
      </c>
      <c r="B45" s="4" t="n">
        <v>25</v>
      </c>
      <c r="C45" s="4" t="n">
        <v>40</v>
      </c>
      <c r="D45" s="4" t="n">
        <v>15</v>
      </c>
      <c r="E45" s="4" t="s">
        <v>4627</v>
      </c>
    </row>
    <row r="46" customFormat="false" ht="15" hidden="false" customHeight="false" outlineLevel="0" collapsed="false">
      <c r="A46" s="4" t="s">
        <v>4585</v>
      </c>
      <c r="B46" s="4" t="n">
        <v>15</v>
      </c>
      <c r="C46" s="4" t="n">
        <v>5</v>
      </c>
      <c r="D46" s="4" t="n">
        <v>30</v>
      </c>
      <c r="E46" s="4" t="n">
        <v>5</v>
      </c>
    </row>
    <row r="47" customFormat="false" ht="15" hidden="false" customHeight="false" outlineLevel="0" collapsed="false">
      <c r="A47" s="4" t="s">
        <v>4628</v>
      </c>
      <c r="B47" s="4" t="n">
        <v>10</v>
      </c>
      <c r="C47" s="4" t="n">
        <v>5</v>
      </c>
      <c r="D47" s="4" t="n">
        <v>20</v>
      </c>
      <c r="E47" s="4" t="n">
        <v>5</v>
      </c>
    </row>
    <row r="48" customFormat="false" ht="15" hidden="false" customHeight="false" outlineLevel="0" collapsed="false">
      <c r="A48" s="4" t="s">
        <v>1630</v>
      </c>
      <c r="B48" s="4" t="n">
        <v>15</v>
      </c>
      <c r="C48" s="4" t="n">
        <v>15</v>
      </c>
      <c r="D48" s="4" t="n">
        <v>5</v>
      </c>
      <c r="E48" s="4" t="n">
        <v>30</v>
      </c>
    </row>
    <row r="49" customFormat="false" ht="15" hidden="false" customHeight="false" outlineLevel="0" collapsed="false">
      <c r="A49" s="4" t="s">
        <v>4629</v>
      </c>
      <c r="B49" s="4" t="n">
        <v>5</v>
      </c>
      <c r="C49" s="4" t="n">
        <v>5</v>
      </c>
      <c r="D49" s="4" t="n">
        <v>0</v>
      </c>
      <c r="E49" s="4" t="n">
        <v>15</v>
      </c>
    </row>
    <row r="50" customFormat="false" ht="15" hidden="false" customHeight="false" outlineLevel="0" collapsed="false">
      <c r="A50" s="4" t="s">
        <v>4630</v>
      </c>
      <c r="B50" s="4" t="n">
        <v>10</v>
      </c>
      <c r="C50" s="4" t="n">
        <v>10</v>
      </c>
      <c r="D50" s="4" t="n">
        <v>10</v>
      </c>
      <c r="E50" s="4" t="n">
        <v>10</v>
      </c>
    </row>
    <row r="51" customFormat="false" ht="15" hidden="false" customHeight="false" outlineLevel="0" collapsed="false">
      <c r="A51" s="4" t="s">
        <v>4587</v>
      </c>
      <c r="B51" s="4" t="n">
        <v>5</v>
      </c>
      <c r="C51" s="4" t="n">
        <v>10</v>
      </c>
      <c r="D51" s="4" t="n">
        <v>2</v>
      </c>
      <c r="E51" s="4" t="n">
        <v>5</v>
      </c>
    </row>
    <row r="52" customFormat="false" ht="15" hidden="false" customHeight="false" outlineLevel="0" collapsed="false">
      <c r="A52" s="4" t="s">
        <v>1424</v>
      </c>
      <c r="B52" s="4" t="n">
        <v>10</v>
      </c>
      <c r="C52" s="4" t="n">
        <v>7</v>
      </c>
      <c r="D52" s="4" t="n">
        <v>5</v>
      </c>
      <c r="E52" s="4" t="n">
        <v>5</v>
      </c>
    </row>
    <row r="53" customFormat="false" ht="15" hidden="false" customHeight="false" outlineLevel="0" collapsed="false">
      <c r="A53" s="4" t="s">
        <v>4631</v>
      </c>
      <c r="B53" s="4" t="n">
        <v>5</v>
      </c>
      <c r="C53" s="4" t="n">
        <v>3</v>
      </c>
      <c r="D53" s="4" t="n">
        <v>13</v>
      </c>
      <c r="E53" s="4" t="n">
        <v>5</v>
      </c>
    </row>
    <row r="56" customFormat="false" ht="15" hidden="false" customHeight="false" outlineLevel="0" collapsed="false">
      <c r="A56" s="17" t="s">
        <v>4632</v>
      </c>
      <c r="B56" s="18"/>
      <c r="C56" s="18"/>
    </row>
    <row r="57" customFormat="false" ht="15" hidden="false" customHeight="false" outlineLevel="0" collapsed="false">
      <c r="A57" s="19" t="s">
        <v>4619</v>
      </c>
    </row>
    <row r="58" customFormat="false" ht="15" hidden="false" customHeight="false" outlineLevel="0" collapsed="false">
      <c r="A58" s="19" t="s">
        <v>4633</v>
      </c>
    </row>
    <row r="59" customFormat="false" ht="15" hidden="false" customHeight="false" outlineLevel="0" collapsed="false">
      <c r="A59" s="26" t="s">
        <v>2179</v>
      </c>
    </row>
    <row r="60" customFormat="false" ht="15" hidden="false" customHeight="false" outlineLevel="0" collapsed="false">
      <c r="A60" s="21" t="s">
        <v>4634</v>
      </c>
    </row>
    <row r="61" customFormat="false" ht="15" hidden="false" customHeight="false" outlineLevel="0" collapsed="false">
      <c r="A61" s="21" t="s">
        <v>4635</v>
      </c>
    </row>
    <row r="62" customFormat="false" ht="15" hidden="false" customHeight="false" outlineLevel="0" collapsed="false">
      <c r="A62" s="22" t="s">
        <v>4210</v>
      </c>
      <c r="B62" s="22" t="s">
        <v>4636</v>
      </c>
      <c r="C62" s="22" t="s">
        <v>4637</v>
      </c>
    </row>
    <row r="63" customFormat="false" ht="15" hidden="false" customHeight="false" outlineLevel="0" collapsed="false">
      <c r="A63" s="4" t="s">
        <v>4638</v>
      </c>
      <c r="B63" s="4" t="s">
        <v>4639</v>
      </c>
      <c r="C63" s="4" t="s">
        <v>4640</v>
      </c>
    </row>
    <row r="64" customFormat="false" ht="15" hidden="false" customHeight="false" outlineLevel="0" collapsed="false">
      <c r="A64" s="4" t="s">
        <v>4641</v>
      </c>
      <c r="B64" s="4" t="s">
        <v>4642</v>
      </c>
      <c r="C64" s="4" t="s">
        <v>4643</v>
      </c>
    </row>
    <row r="65" customFormat="false" ht="15" hidden="false" customHeight="false" outlineLevel="0" collapsed="false">
      <c r="A65" s="4" t="s">
        <v>4644</v>
      </c>
      <c r="B65" s="4" t="s">
        <v>4645</v>
      </c>
      <c r="C65" s="4" t="s">
        <v>4646</v>
      </c>
    </row>
    <row r="66" customFormat="false" ht="15" hidden="false" customHeight="false" outlineLevel="0" collapsed="false">
      <c r="A66" s="4" t="s">
        <v>4647</v>
      </c>
      <c r="B66" s="4" t="s">
        <v>4648</v>
      </c>
      <c r="C66" s="4" t="s">
        <v>4649</v>
      </c>
    </row>
    <row r="67" customFormat="false" ht="15" hidden="false" customHeight="false" outlineLevel="0" collapsed="false">
      <c r="A67" s="4" t="s">
        <v>4650</v>
      </c>
      <c r="B67" s="4" t="s">
        <v>4651</v>
      </c>
      <c r="C67" s="4" t="s">
        <v>4652</v>
      </c>
    </row>
    <row r="68" customFormat="false" ht="15" hidden="false" customHeight="false" outlineLevel="0" collapsed="false">
      <c r="A68" s="4" t="s">
        <v>4653</v>
      </c>
      <c r="B68" s="4" t="s">
        <v>4654</v>
      </c>
      <c r="C68" s="4" t="s">
        <v>4655</v>
      </c>
    </row>
    <row r="71" customFormat="false" ht="15" hidden="false" customHeight="false" outlineLevel="0" collapsed="false">
      <c r="A71" s="17" t="s">
        <v>4656</v>
      </c>
      <c r="B71" s="18"/>
      <c r="C71" s="18"/>
      <c r="D71" s="18"/>
      <c r="E71" s="18"/>
      <c r="F71" s="18"/>
      <c r="G71" s="18"/>
    </row>
    <row r="72" customFormat="false" ht="15" hidden="false" customHeight="false" outlineLevel="0" collapsed="false">
      <c r="A72" s="19" t="s">
        <v>4657</v>
      </c>
    </row>
    <row r="73" customFormat="false" ht="15" hidden="false" customHeight="false" outlineLevel="0" collapsed="false">
      <c r="A73" s="26" t="s">
        <v>2179</v>
      </c>
    </row>
    <row r="74" customFormat="false" ht="15" hidden="false" customHeight="false" outlineLevel="0" collapsed="false">
      <c r="A74" s="21" t="s">
        <v>4658</v>
      </c>
    </row>
    <row r="75" customFormat="false" ht="15" hidden="false" customHeight="false" outlineLevel="0" collapsed="false">
      <c r="A75" s="21" t="s">
        <v>4659</v>
      </c>
    </row>
    <row r="76" customFormat="false" ht="15" hidden="false" customHeight="false" outlineLevel="0" collapsed="false">
      <c r="A76" s="22" t="s">
        <v>2066</v>
      </c>
      <c r="B76" s="22" t="s">
        <v>4660</v>
      </c>
      <c r="C76" s="22" t="s">
        <v>4661</v>
      </c>
      <c r="D76" s="22" t="s">
        <v>4662</v>
      </c>
      <c r="E76" s="22" t="s">
        <v>4663</v>
      </c>
      <c r="F76" s="22" t="s">
        <v>4664</v>
      </c>
      <c r="G76" s="22" t="s">
        <v>4665</v>
      </c>
    </row>
    <row r="77" customFormat="false" ht="15" hidden="false" customHeight="false" outlineLevel="0" collapsed="false">
      <c r="A77" s="4" t="s">
        <v>4666</v>
      </c>
      <c r="B77" s="4" t="n">
        <v>705</v>
      </c>
      <c r="C77" s="4" t="n">
        <v>1547</v>
      </c>
      <c r="D77" s="4" t="n">
        <v>338</v>
      </c>
      <c r="E77" s="4" t="n">
        <v>190</v>
      </c>
      <c r="F77" s="4" t="n">
        <v>9.7</v>
      </c>
      <c r="G77" s="4" t="n">
        <v>10</v>
      </c>
    </row>
    <row r="78" customFormat="false" ht="15" hidden="false" customHeight="false" outlineLevel="0" collapsed="false">
      <c r="A78" s="4" t="s">
        <v>4667</v>
      </c>
      <c r="B78" s="4" t="n">
        <v>845</v>
      </c>
      <c r="C78" s="4" t="n">
        <v>1740</v>
      </c>
      <c r="D78" s="4" t="n">
        <v>290</v>
      </c>
      <c r="E78" s="4" t="s">
        <v>4668</v>
      </c>
      <c r="F78" s="4" t="s">
        <v>4669</v>
      </c>
      <c r="G78" s="4" t="s">
        <v>4670</v>
      </c>
    </row>
    <row r="79" customFormat="false" ht="15" hidden="false" customHeight="false" outlineLevel="0" collapsed="false">
      <c r="A79" s="4" t="s">
        <v>1406</v>
      </c>
      <c r="B79" s="4" t="n">
        <v>620</v>
      </c>
      <c r="C79" s="4" t="n">
        <v>1250</v>
      </c>
      <c r="D79" s="4" t="n">
        <v>520</v>
      </c>
      <c r="E79" s="4" t="n">
        <v>500</v>
      </c>
      <c r="F79" s="4" t="n">
        <v>10.1</v>
      </c>
      <c r="G79" s="4" t="n">
        <v>10</v>
      </c>
    </row>
    <row r="80" customFormat="false" ht="15" hidden="false" customHeight="false" outlineLevel="0" collapsed="false">
      <c r="A80" s="4" t="s">
        <v>4671</v>
      </c>
      <c r="B80" s="4" t="n">
        <v>850</v>
      </c>
      <c r="C80" s="4" t="n">
        <v>1760</v>
      </c>
      <c r="D80" s="4" t="n">
        <v>260</v>
      </c>
      <c r="E80" s="4" t="n">
        <v>35</v>
      </c>
      <c r="F80" s="4" t="n">
        <v>10.2</v>
      </c>
      <c r="G80" s="4" t="n">
        <v>9.9</v>
      </c>
    </row>
    <row r="81" customFormat="false" ht="15" hidden="false" customHeight="false" outlineLevel="0" collapsed="false">
      <c r="A81" s="4" t="s">
        <v>1409</v>
      </c>
      <c r="B81" s="4" t="n">
        <v>120</v>
      </c>
      <c r="C81" s="4" t="n">
        <v>1170</v>
      </c>
      <c r="D81" s="4" t="n">
        <v>910</v>
      </c>
      <c r="E81" s="4" t="n">
        <v>735</v>
      </c>
      <c r="F81" s="4" t="n">
        <v>10.3</v>
      </c>
      <c r="G81" s="4" t="n">
        <v>9.9</v>
      </c>
    </row>
    <row r="82" customFormat="false" ht="15" hidden="false" customHeight="false" outlineLevel="0" collapsed="false">
      <c r="A82" s="4" t="s">
        <v>4672</v>
      </c>
      <c r="B82" s="4" t="n">
        <v>980</v>
      </c>
      <c r="C82" s="4" t="n">
        <v>1700</v>
      </c>
      <c r="D82" s="4" t="n">
        <v>55</v>
      </c>
      <c r="E82" s="4" t="n">
        <v>250</v>
      </c>
      <c r="F82" s="4" t="n">
        <v>10.4</v>
      </c>
      <c r="G82" s="4" t="n">
        <v>9.8</v>
      </c>
    </row>
    <row r="83" customFormat="false" ht="15" hidden="false" customHeight="false" outlineLevel="0" collapsed="false">
      <c r="A83" s="4" t="s">
        <v>4673</v>
      </c>
      <c r="B83" s="4" t="n">
        <v>15</v>
      </c>
      <c r="C83" s="4" t="n">
        <v>1150</v>
      </c>
      <c r="D83" s="4" t="n">
        <v>1020</v>
      </c>
      <c r="E83" s="4" t="n">
        <v>835</v>
      </c>
      <c r="F83" s="4" t="n">
        <v>10.6</v>
      </c>
      <c r="G83" s="4" t="n">
        <v>9.7</v>
      </c>
    </row>
    <row r="84" customFormat="false" ht="15" hidden="false" customHeight="false" outlineLevel="0" collapsed="false">
      <c r="A84" s="4" t="s">
        <v>1397</v>
      </c>
      <c r="B84" s="4" t="s">
        <v>4674</v>
      </c>
      <c r="C84" s="4" t="n">
        <v>1760</v>
      </c>
      <c r="D84" s="4" t="n">
        <v>0</v>
      </c>
      <c r="E84" s="4" t="n">
        <v>290</v>
      </c>
      <c r="F84" s="4" t="n">
        <v>10.8</v>
      </c>
      <c r="G84" s="4" t="n">
        <v>9.6</v>
      </c>
    </row>
    <row r="85" customFormat="false" ht="15" hidden="false" customHeight="false" outlineLevel="0" collapsed="false">
      <c r="A85" s="4" t="s">
        <v>4675</v>
      </c>
      <c r="B85" s="4" t="n">
        <v>140</v>
      </c>
      <c r="C85" s="4" t="n">
        <v>1040</v>
      </c>
      <c r="D85" s="4" t="n">
        <v>1040</v>
      </c>
      <c r="E85" s="4" t="n">
        <v>900</v>
      </c>
      <c r="F85" s="4" t="n">
        <v>10.9</v>
      </c>
      <c r="G85" s="4" t="n">
        <v>9.6</v>
      </c>
    </row>
    <row r="86" customFormat="false" ht="15" hidden="false" customHeight="false" outlineLevel="0" collapsed="false">
      <c r="A86" s="4" t="s">
        <v>4676</v>
      </c>
      <c r="B86" s="4" t="n">
        <v>856</v>
      </c>
      <c r="C86" s="4" t="n">
        <v>1385</v>
      </c>
      <c r="D86" s="4" t="n">
        <v>381</v>
      </c>
      <c r="E86" s="4" t="n">
        <v>504</v>
      </c>
      <c r="F86" s="4" t="n">
        <v>10.9</v>
      </c>
      <c r="G86" s="4" t="n">
        <v>9.6</v>
      </c>
    </row>
    <row r="87" customFormat="false" ht="15" hidden="false" customHeight="false" outlineLevel="0" collapsed="false">
      <c r="A87" s="4" t="s">
        <v>4677</v>
      </c>
      <c r="B87" s="4" t="n">
        <v>820</v>
      </c>
      <c r="C87" s="4" t="n">
        <v>1810</v>
      </c>
      <c r="D87" s="4" t="n">
        <v>385</v>
      </c>
      <c r="E87" s="4" t="n">
        <v>125</v>
      </c>
      <c r="F87" s="4" t="n">
        <v>11</v>
      </c>
      <c r="G87" s="4" t="n">
        <v>9.5</v>
      </c>
    </row>
    <row r="88" customFormat="false" ht="15" hidden="false" customHeight="false" outlineLevel="0" collapsed="false">
      <c r="A88" s="4" t="s">
        <v>4678</v>
      </c>
      <c r="B88" s="4" t="n">
        <v>428</v>
      </c>
      <c r="C88" s="4" t="n">
        <v>1508</v>
      </c>
      <c r="D88" s="4" t="n">
        <v>735</v>
      </c>
      <c r="E88" s="4" t="n">
        <v>479</v>
      </c>
      <c r="F88" s="4" t="n">
        <v>11</v>
      </c>
      <c r="G88" s="4" t="n">
        <v>9.4</v>
      </c>
    </row>
    <row r="89" customFormat="false" ht="15" hidden="false" customHeight="false" outlineLevel="0" collapsed="false">
      <c r="A89" s="4" t="s">
        <v>4679</v>
      </c>
      <c r="B89" s="4" t="n">
        <v>760</v>
      </c>
      <c r="C89" s="4" t="n">
        <v>1180</v>
      </c>
      <c r="D89" s="4" t="n">
        <v>560</v>
      </c>
      <c r="E89" s="4" t="n">
        <v>640</v>
      </c>
      <c r="F89" s="4" t="n">
        <v>11</v>
      </c>
      <c r="G89" s="4" t="n">
        <v>9.5</v>
      </c>
    </row>
    <row r="90" customFormat="false" ht="15" hidden="false" customHeight="false" outlineLevel="0" collapsed="false">
      <c r="A90" s="4" t="s">
        <v>4680</v>
      </c>
      <c r="B90" s="4" t="n">
        <v>710</v>
      </c>
      <c r="C90" s="4" t="n">
        <v>1760</v>
      </c>
      <c r="D90" s="4" t="n">
        <v>580</v>
      </c>
      <c r="E90" s="4" t="n">
        <v>300</v>
      </c>
      <c r="F90" s="4" t="n">
        <v>11.7</v>
      </c>
      <c r="G90" s="4" t="n">
        <v>9</v>
      </c>
    </row>
    <row r="91" customFormat="false" ht="15" hidden="false" customHeight="false" outlineLevel="0" collapsed="false">
      <c r="A91" s="4" t="s">
        <v>4681</v>
      </c>
      <c r="B91" s="4" t="n">
        <v>685</v>
      </c>
      <c r="C91" s="4" t="n">
        <v>860</v>
      </c>
      <c r="D91" s="4" t="n">
        <v>925</v>
      </c>
      <c r="E91" s="4" t="n">
        <v>900</v>
      </c>
      <c r="F91" s="4" t="n">
        <v>11.8</v>
      </c>
      <c r="G91" s="4" t="n">
        <v>9</v>
      </c>
    </row>
    <row r="92" customFormat="false" ht="15" hidden="false" customHeight="false" outlineLevel="0" collapsed="false">
      <c r="A92" s="4" t="s">
        <v>4682</v>
      </c>
      <c r="B92" s="4" t="n">
        <v>510</v>
      </c>
      <c r="C92" s="4" t="n">
        <v>667</v>
      </c>
      <c r="D92" s="4" t="n">
        <v>1167</v>
      </c>
      <c r="E92" s="4" t="n">
        <v>1098</v>
      </c>
      <c r="F92" s="4" t="n">
        <v>12.1</v>
      </c>
      <c r="G92" s="4" t="n">
        <v>8.8</v>
      </c>
    </row>
    <row r="93" customFormat="false" ht="15" hidden="false" customHeight="false" outlineLevel="0" collapsed="false">
      <c r="A93" s="4" t="s">
        <v>4683</v>
      </c>
      <c r="B93" s="4" t="n">
        <v>663</v>
      </c>
      <c r="C93" s="4" t="n">
        <v>594</v>
      </c>
      <c r="D93" s="4" t="n">
        <v>1170</v>
      </c>
      <c r="E93" s="4" t="n">
        <v>1142</v>
      </c>
      <c r="F93" s="4" t="n">
        <v>12.5</v>
      </c>
      <c r="G93" s="4" t="n">
        <v>8.5</v>
      </c>
    </row>
    <row r="94" customFormat="false" ht="15" hidden="false" customHeight="false" outlineLevel="0" collapsed="false">
      <c r="A94" s="4" t="s">
        <v>4684</v>
      </c>
      <c r="B94" s="4" t="n">
        <v>1000</v>
      </c>
      <c r="C94" s="4" t="n">
        <v>1960</v>
      </c>
      <c r="D94" s="4" t="n">
        <v>430</v>
      </c>
      <c r="E94" s="4" t="n">
        <v>225</v>
      </c>
      <c r="F94" s="4" t="n">
        <v>12.7</v>
      </c>
      <c r="G94" s="4" t="n">
        <v>8.4</v>
      </c>
    </row>
    <row r="95" customFormat="false" ht="15" hidden="false" customHeight="false" outlineLevel="0" collapsed="false">
      <c r="A95" s="4" t="s">
        <v>4685</v>
      </c>
      <c r="B95" s="4" t="n">
        <v>360</v>
      </c>
      <c r="C95" s="4" t="n">
        <v>850</v>
      </c>
      <c r="D95" s="4" t="n">
        <v>1330</v>
      </c>
      <c r="E95" s="4" t="n">
        <v>1170</v>
      </c>
      <c r="F95" s="4" t="n">
        <v>13</v>
      </c>
      <c r="G95" s="4" t="n">
        <v>8.2</v>
      </c>
    </row>
    <row r="96" customFormat="false" ht="15" hidden="false" customHeight="false" outlineLevel="0" collapsed="false">
      <c r="A96" s="4" t="s">
        <v>4686</v>
      </c>
      <c r="B96" s="4" t="n">
        <v>440</v>
      </c>
      <c r="C96" s="4" t="n">
        <v>775</v>
      </c>
      <c r="D96" s="4" t="n">
        <v>1380</v>
      </c>
      <c r="E96" s="4" t="n">
        <v>1230</v>
      </c>
      <c r="F96" s="4" t="n">
        <v>13.4</v>
      </c>
      <c r="G96" s="4" t="n">
        <v>8</v>
      </c>
    </row>
    <row r="97" customFormat="false" ht="15" hidden="false" customHeight="false" outlineLevel="0" collapsed="false">
      <c r="A97" s="4" t="s">
        <v>4687</v>
      </c>
      <c r="B97" s="4" t="n">
        <v>957</v>
      </c>
      <c r="C97" s="4" t="n">
        <v>953</v>
      </c>
      <c r="D97" s="4" t="n">
        <v>913</v>
      </c>
      <c r="E97" s="4" t="n">
        <v>1013</v>
      </c>
      <c r="F97" s="4" t="n">
        <v>13.4</v>
      </c>
      <c r="G97" s="4" t="n">
        <v>8</v>
      </c>
    </row>
    <row r="98" customFormat="false" ht="15" hidden="false" customHeight="false" outlineLevel="0" collapsed="false">
      <c r="A98" s="4" t="s">
        <v>2085</v>
      </c>
      <c r="B98" s="4" t="n">
        <v>1100</v>
      </c>
      <c r="C98" s="4" t="n">
        <v>1340</v>
      </c>
      <c r="D98" s="4" t="n">
        <v>610</v>
      </c>
      <c r="E98" s="4" t="n">
        <v>800</v>
      </c>
      <c r="F98" s="4" t="n">
        <v>13.5</v>
      </c>
      <c r="G98" s="4" t="n">
        <v>7.9</v>
      </c>
    </row>
    <row r="99" customFormat="false" ht="15" hidden="false" customHeight="false" outlineLevel="0" collapsed="false">
      <c r="A99" s="4" t="s">
        <v>4688</v>
      </c>
      <c r="B99" s="4" t="n">
        <v>1080</v>
      </c>
      <c r="C99" s="4" t="n">
        <v>2060</v>
      </c>
      <c r="D99" s="4" t="n">
        <v>545</v>
      </c>
      <c r="E99" s="4" t="n">
        <v>355</v>
      </c>
      <c r="F99" s="4" t="n">
        <v>14.1</v>
      </c>
      <c r="G99" s="4" t="n">
        <v>7.5</v>
      </c>
    </row>
    <row r="100" customFormat="false" ht="15" hidden="false" customHeight="false" outlineLevel="0" collapsed="false">
      <c r="A100" s="4" t="s">
        <v>4689</v>
      </c>
      <c r="B100" s="4" t="s">
        <v>4690</v>
      </c>
      <c r="C100" s="4" t="s">
        <v>4691</v>
      </c>
      <c r="D100" s="4" t="s">
        <v>4692</v>
      </c>
      <c r="E100" s="4" t="s">
        <v>4693</v>
      </c>
      <c r="F100" s="4" t="n">
        <v>15.1</v>
      </c>
      <c r="G100" s="4" t="n">
        <v>6.9</v>
      </c>
    </row>
    <row r="101" customFormat="false" ht="15" hidden="false" customHeight="false" outlineLevel="0" collapsed="false">
      <c r="A101" s="4" t="s">
        <v>4694</v>
      </c>
      <c r="B101" s="4" t="n">
        <v>1201</v>
      </c>
      <c r="C101" s="4" t="n">
        <v>1022</v>
      </c>
      <c r="D101" s="4" t="n">
        <v>1051</v>
      </c>
      <c r="E101" s="4" t="n">
        <v>1197</v>
      </c>
      <c r="F101" s="4" t="n">
        <v>15.6</v>
      </c>
      <c r="G101" s="4" t="n">
        <v>6.5</v>
      </c>
    </row>
    <row r="102" customFormat="false" ht="15" hidden="false" customHeight="false" outlineLevel="0" collapsed="false">
      <c r="A102" s="4" t="s">
        <v>4695</v>
      </c>
      <c r="B102" s="4" t="n">
        <v>1270</v>
      </c>
      <c r="C102" s="4" t="n">
        <v>2200</v>
      </c>
      <c r="D102" s="4" t="n">
        <v>530</v>
      </c>
      <c r="E102" s="4" t="n">
        <v>470</v>
      </c>
      <c r="F102" s="4" t="n">
        <v>15.6</v>
      </c>
      <c r="G102" s="4" t="n">
        <v>6.6</v>
      </c>
    </row>
    <row r="103" customFormat="false" ht="15" hidden="false" customHeight="false" outlineLevel="0" collapsed="false">
      <c r="A103" s="4" t="s">
        <v>4696</v>
      </c>
      <c r="B103" s="4" t="n">
        <v>1200</v>
      </c>
      <c r="C103" s="4" t="n">
        <v>2210</v>
      </c>
      <c r="D103" s="4" t="n">
        <v>620</v>
      </c>
      <c r="E103" s="4" t="n">
        <v>490</v>
      </c>
      <c r="F103" s="4" t="n">
        <v>15.8</v>
      </c>
      <c r="G103" s="4" t="n">
        <v>6.5</v>
      </c>
    </row>
    <row r="104" customFormat="false" ht="15" hidden="false" customHeight="false" outlineLevel="0" collapsed="false">
      <c r="A104" s="4" t="s">
        <v>4697</v>
      </c>
      <c r="B104" s="4" t="n">
        <v>795</v>
      </c>
      <c r="C104" s="4" t="n">
        <v>540</v>
      </c>
      <c r="D104" s="4" t="n">
        <v>1700</v>
      </c>
      <c r="E104" s="4" t="n">
        <v>1570</v>
      </c>
      <c r="F104" s="4" t="n">
        <v>16.1</v>
      </c>
      <c r="G104" s="4" t="n">
        <v>6.3</v>
      </c>
    </row>
    <row r="105" customFormat="false" ht="15" hidden="false" customHeight="false" outlineLevel="0" collapsed="false">
      <c r="A105" s="4" t="s">
        <v>4698</v>
      </c>
      <c r="B105" s="4" t="s">
        <v>4699</v>
      </c>
      <c r="C105" s="4" t="s">
        <v>4700</v>
      </c>
      <c r="D105" s="4" t="s">
        <v>4701</v>
      </c>
      <c r="E105" s="4" t="s">
        <v>4702</v>
      </c>
      <c r="F105" s="4" t="s">
        <v>4703</v>
      </c>
      <c r="G105" s="4" t="n">
        <v>6.1</v>
      </c>
    </row>
    <row r="106" customFormat="false" ht="15" hidden="false" customHeight="false" outlineLevel="0" collapsed="false">
      <c r="A106" s="4" t="s">
        <v>4704</v>
      </c>
      <c r="B106" s="4" t="n">
        <v>1190</v>
      </c>
      <c r="C106" s="4" t="n">
        <v>420</v>
      </c>
      <c r="D106" s="4" t="n">
        <v>1550</v>
      </c>
      <c r="E106" s="4" t="n">
        <v>1580</v>
      </c>
      <c r="F106" s="4" t="n">
        <v>16.6</v>
      </c>
      <c r="G106" s="4" t="n">
        <v>6</v>
      </c>
    </row>
    <row r="107" customFormat="false" ht="15" hidden="false" customHeight="false" outlineLevel="0" collapsed="false">
      <c r="A107" s="4" t="s">
        <v>4705</v>
      </c>
      <c r="B107" s="4" t="n">
        <v>1365</v>
      </c>
      <c r="C107" s="4" t="n">
        <v>1274</v>
      </c>
      <c r="D107" s="4" t="n">
        <v>996</v>
      </c>
      <c r="E107" s="4" t="n">
        <v>1195</v>
      </c>
      <c r="F107" s="4" t="n">
        <v>16.9</v>
      </c>
      <c r="G107" s="4" t="n">
        <v>5.8</v>
      </c>
    </row>
    <row r="108" customFormat="false" ht="15" hidden="false" customHeight="false" outlineLevel="0" collapsed="false">
      <c r="A108" s="4" t="s">
        <v>4706</v>
      </c>
      <c r="B108" s="4" t="n">
        <v>1380</v>
      </c>
      <c r="C108" s="4" t="n">
        <v>1006</v>
      </c>
      <c r="D108" s="4" t="n">
        <v>1257</v>
      </c>
      <c r="E108" s="4" t="n">
        <v>1410</v>
      </c>
      <c r="F108" s="4" t="n">
        <v>17.7</v>
      </c>
      <c r="G108" s="4" t="n">
        <v>5.3</v>
      </c>
    </row>
    <row r="109" customFormat="false" ht="15" hidden="false" customHeight="false" outlineLevel="0" collapsed="false">
      <c r="A109" s="4" t="s">
        <v>4707</v>
      </c>
      <c r="B109" s="4" t="s">
        <v>4708</v>
      </c>
      <c r="C109" s="4" t="s">
        <v>4709</v>
      </c>
      <c r="D109" s="4" t="s">
        <v>4710</v>
      </c>
      <c r="E109" s="4" t="s">
        <v>4711</v>
      </c>
      <c r="F109" s="4" t="n">
        <v>18.9</v>
      </c>
      <c r="G109" s="4" t="n">
        <v>4.5</v>
      </c>
    </row>
    <row r="110" customFormat="false" ht="15" hidden="false" customHeight="false" outlineLevel="0" collapsed="false">
      <c r="A110" s="4" t="s">
        <v>4712</v>
      </c>
      <c r="B110" s="4" t="n">
        <v>1552</v>
      </c>
      <c r="C110" s="4" t="n">
        <v>1297</v>
      </c>
      <c r="D110" s="4" t="n">
        <v>1213</v>
      </c>
      <c r="E110" s="4" t="n">
        <v>1412</v>
      </c>
      <c r="F110" s="4" t="n">
        <v>19.2</v>
      </c>
      <c r="G110" s="4" t="n">
        <v>4.3</v>
      </c>
    </row>
    <row r="111" customFormat="false" ht="15" hidden="false" customHeight="false" outlineLevel="0" collapsed="false">
      <c r="A111" s="4" t="s">
        <v>4713</v>
      </c>
      <c r="B111" s="4" t="n">
        <v>1380</v>
      </c>
      <c r="C111" s="4" t="n">
        <v>240</v>
      </c>
      <c r="D111" s="4" t="n">
        <v>1990</v>
      </c>
      <c r="E111" s="4" t="n">
        <v>1960</v>
      </c>
      <c r="F111" s="4" t="n">
        <v>19.5</v>
      </c>
      <c r="G111" s="4" t="n">
        <v>4.2</v>
      </c>
    </row>
    <row r="112" customFormat="false" ht="15" hidden="false" customHeight="false" outlineLevel="0" collapsed="false">
      <c r="A112" s="4" t="s">
        <v>1412</v>
      </c>
      <c r="B112" s="4" t="n">
        <v>1650</v>
      </c>
      <c r="C112" s="4" t="n">
        <v>1300</v>
      </c>
      <c r="D112" s="4" t="n">
        <v>1360</v>
      </c>
      <c r="E112" s="4" t="n">
        <v>1560</v>
      </c>
      <c r="F112" s="4" t="n">
        <v>20.5</v>
      </c>
      <c r="G112" s="4" t="n">
        <v>3.5</v>
      </c>
    </row>
    <row r="113" customFormat="false" ht="15" hidden="false" customHeight="false" outlineLevel="0" collapsed="false">
      <c r="A113" s="4" t="s">
        <v>4714</v>
      </c>
      <c r="B113" s="4" t="n">
        <v>2079</v>
      </c>
      <c r="C113" s="4" t="n">
        <v>1461</v>
      </c>
      <c r="D113" s="4" t="n">
        <v>1880</v>
      </c>
      <c r="E113" s="4" t="n">
        <v>2078</v>
      </c>
      <c r="F113" s="4" t="n">
        <v>26.2</v>
      </c>
      <c r="G113" s="4" t="n">
        <v>0</v>
      </c>
    </row>
    <row r="116" customFormat="false" ht="15" hidden="false" customHeight="false" outlineLevel="0" collapsed="false">
      <c r="A116" s="17" t="s">
        <v>4715</v>
      </c>
      <c r="B116" s="18"/>
      <c r="C116" s="18"/>
      <c r="D116" s="18"/>
      <c r="E116" s="18"/>
      <c r="F116" s="18"/>
      <c r="G116" s="18"/>
      <c r="H116" s="18"/>
      <c r="I116" s="18"/>
      <c r="J116" s="18"/>
    </row>
    <row r="117" customFormat="false" ht="15" hidden="false" customHeight="false" outlineLevel="0" collapsed="false">
      <c r="A117" s="19" t="s">
        <v>4716</v>
      </c>
    </row>
    <row r="118" customFormat="false" ht="15" hidden="false" customHeight="false" outlineLevel="0" collapsed="false">
      <c r="A118" s="19" t="s">
        <v>4717</v>
      </c>
    </row>
    <row r="119" customFormat="false" ht="15" hidden="false" customHeight="false" outlineLevel="0" collapsed="false">
      <c r="A119" s="20" t="s">
        <v>1193</v>
      </c>
    </row>
    <row r="120" customFormat="false" ht="15" hidden="false" customHeight="false" outlineLevel="0" collapsed="false">
      <c r="A120" s="21" t="s">
        <v>4718</v>
      </c>
    </row>
    <row r="121" customFormat="false" ht="15" hidden="false" customHeight="false" outlineLevel="0" collapsed="false">
      <c r="A121" s="21" t="s">
        <v>4719</v>
      </c>
    </row>
    <row r="122" customFormat="false" ht="15" hidden="false" customHeight="false" outlineLevel="0" collapsed="false">
      <c r="A122" s="22" t="s">
        <v>4583</v>
      </c>
      <c r="B122" s="22" t="s">
        <v>4720</v>
      </c>
      <c r="C122" s="22" t="s">
        <v>4721</v>
      </c>
      <c r="D122" s="22" t="s">
        <v>1630</v>
      </c>
      <c r="E122" s="22" t="s">
        <v>4722</v>
      </c>
      <c r="F122" s="22" t="s">
        <v>4723</v>
      </c>
      <c r="G122" s="22" t="s">
        <v>4724</v>
      </c>
      <c r="H122" s="22" t="s">
        <v>4725</v>
      </c>
      <c r="I122" s="22" t="s">
        <v>1139</v>
      </c>
      <c r="J122" s="22" t="s">
        <v>4726</v>
      </c>
    </row>
    <row r="123" customFormat="false" ht="23.85" hidden="false" customHeight="false" outlineLevel="0" collapsed="false">
      <c r="A123" s="4" t="n">
        <v>1</v>
      </c>
      <c r="B123" s="4" t="s">
        <v>4727</v>
      </c>
      <c r="C123" s="4" t="s">
        <v>4728</v>
      </c>
      <c r="D123" s="4" t="s">
        <v>4729</v>
      </c>
      <c r="E123" s="4" t="s">
        <v>4730</v>
      </c>
      <c r="F123" s="4" t="s">
        <v>4731</v>
      </c>
      <c r="G123" s="4" t="s">
        <v>4732</v>
      </c>
      <c r="H123" s="4" t="s">
        <v>4733</v>
      </c>
      <c r="I123" s="4" t="n">
        <v>6.6</v>
      </c>
      <c r="J123" s="4" t="s">
        <v>4734</v>
      </c>
    </row>
    <row r="124" customFormat="false" ht="15" hidden="false" customHeight="false" outlineLevel="0" collapsed="false">
      <c r="A124" s="4" t="n">
        <v>2</v>
      </c>
      <c r="B124" s="4" t="s">
        <v>4735</v>
      </c>
      <c r="C124" s="4" t="s">
        <v>4736</v>
      </c>
      <c r="D124" s="4" t="s">
        <v>4737</v>
      </c>
      <c r="E124" s="4" t="s">
        <v>4738</v>
      </c>
      <c r="F124" s="4" t="s">
        <v>4739</v>
      </c>
      <c r="G124" s="4" t="s">
        <v>4740</v>
      </c>
      <c r="H124" s="4" t="s">
        <v>4741</v>
      </c>
      <c r="I124" s="4" t="n">
        <v>6.3</v>
      </c>
      <c r="J124" s="4" t="s">
        <v>4734</v>
      </c>
    </row>
    <row r="125" customFormat="false" ht="15" hidden="false" customHeight="false" outlineLevel="0" collapsed="false">
      <c r="A125" s="4" t="n">
        <v>3</v>
      </c>
      <c r="B125" s="4" t="s">
        <v>4742</v>
      </c>
      <c r="C125" s="4" t="s">
        <v>4743</v>
      </c>
      <c r="D125" s="4" t="s">
        <v>4744</v>
      </c>
      <c r="E125" s="4" t="s">
        <v>4745</v>
      </c>
      <c r="F125" s="4" t="s">
        <v>4746</v>
      </c>
      <c r="G125" s="4" t="s">
        <v>4747</v>
      </c>
      <c r="H125" s="4" t="s">
        <v>4748</v>
      </c>
      <c r="I125" s="4" t="n">
        <v>6.3</v>
      </c>
      <c r="J125" s="4" t="s">
        <v>4734</v>
      </c>
    </row>
    <row r="126" customFormat="false" ht="15" hidden="false" customHeight="false" outlineLevel="0" collapsed="false">
      <c r="A126" s="4" t="n">
        <v>4</v>
      </c>
      <c r="B126" s="4" t="s">
        <v>4749</v>
      </c>
      <c r="C126" s="4" t="s">
        <v>4750</v>
      </c>
      <c r="D126" s="4" t="s">
        <v>4744</v>
      </c>
      <c r="E126" s="4" t="s">
        <v>4738</v>
      </c>
      <c r="F126" s="4" t="s">
        <v>4751</v>
      </c>
      <c r="G126" s="4" t="s">
        <v>4752</v>
      </c>
      <c r="H126" s="4" t="s">
        <v>4753</v>
      </c>
      <c r="I126" s="4" t="n">
        <v>5.8</v>
      </c>
      <c r="J126" s="4" t="s">
        <v>4663</v>
      </c>
    </row>
    <row r="129" customFormat="false" ht="15" hidden="false" customHeight="false" outlineLevel="0" collapsed="false">
      <c r="A129" s="17" t="s">
        <v>4754</v>
      </c>
      <c r="B129" s="18"/>
      <c r="C129" s="18"/>
      <c r="D129" s="18"/>
      <c r="E129" s="18"/>
      <c r="F129" s="18"/>
      <c r="G129" s="18"/>
      <c r="H129" s="18"/>
      <c r="I129" s="18"/>
      <c r="J129" s="18"/>
    </row>
    <row r="130" customFormat="false" ht="15" hidden="false" customHeight="false" outlineLevel="0" collapsed="false">
      <c r="A130" s="19" t="s">
        <v>4755</v>
      </c>
    </row>
    <row r="131" customFormat="false" ht="15" hidden="false" customHeight="false" outlineLevel="0" collapsed="false">
      <c r="A131" s="19" t="s">
        <v>4756</v>
      </c>
    </row>
    <row r="132" customFormat="false" ht="15" hidden="false" customHeight="false" outlineLevel="0" collapsed="false">
      <c r="A132" s="20" t="s">
        <v>1193</v>
      </c>
    </row>
    <row r="133" customFormat="false" ht="15" hidden="false" customHeight="false" outlineLevel="0" collapsed="false">
      <c r="A133" s="21" t="s">
        <v>4718</v>
      </c>
    </row>
    <row r="134" customFormat="false" ht="15" hidden="false" customHeight="false" outlineLevel="0" collapsed="false">
      <c r="A134" s="21" t="s">
        <v>4719</v>
      </c>
    </row>
    <row r="135" customFormat="false" ht="15" hidden="false" customHeight="false" outlineLevel="0" collapsed="false">
      <c r="A135" s="22" t="s">
        <v>4583</v>
      </c>
      <c r="B135" s="22" t="s">
        <v>2066</v>
      </c>
      <c r="C135" s="22" t="s">
        <v>4721</v>
      </c>
      <c r="D135" s="22" t="s">
        <v>1630</v>
      </c>
      <c r="E135" s="22" t="s">
        <v>4757</v>
      </c>
      <c r="F135" s="22" t="s">
        <v>4758</v>
      </c>
      <c r="G135" s="22" t="s">
        <v>4724</v>
      </c>
      <c r="H135" s="22" t="s">
        <v>4725</v>
      </c>
      <c r="I135" s="22" t="s">
        <v>1139</v>
      </c>
      <c r="J135" s="22" t="s">
        <v>4726</v>
      </c>
    </row>
    <row r="136" customFormat="false" ht="15" hidden="false" customHeight="false" outlineLevel="0" collapsed="false">
      <c r="A136" s="4" t="n">
        <v>1</v>
      </c>
      <c r="B136" s="4" t="s">
        <v>4759</v>
      </c>
      <c r="C136" s="4" t="s">
        <v>4760</v>
      </c>
      <c r="D136" s="4" t="s">
        <v>4761</v>
      </c>
      <c r="E136" s="4" t="s">
        <v>4762</v>
      </c>
      <c r="F136" s="4" t="s">
        <v>4763</v>
      </c>
      <c r="G136" s="4" t="s">
        <v>4764</v>
      </c>
      <c r="H136" s="4" t="s">
        <v>4765</v>
      </c>
      <c r="I136" s="4" t="n">
        <v>5.7</v>
      </c>
      <c r="J136" s="4" t="s">
        <v>4663</v>
      </c>
    </row>
    <row r="137" customFormat="false" ht="23.85" hidden="false" customHeight="false" outlineLevel="0" collapsed="false">
      <c r="A137" s="4" t="n">
        <v>2</v>
      </c>
      <c r="B137" s="4" t="s">
        <v>4766</v>
      </c>
      <c r="C137" s="4" t="s">
        <v>4767</v>
      </c>
      <c r="D137" s="4" t="s">
        <v>4768</v>
      </c>
      <c r="E137" s="4" t="s">
        <v>4769</v>
      </c>
      <c r="F137" s="4" t="s">
        <v>4770</v>
      </c>
      <c r="G137" s="4" t="s">
        <v>4771</v>
      </c>
      <c r="H137" s="4" t="s">
        <v>4772</v>
      </c>
      <c r="I137" s="4" t="n">
        <v>5.5</v>
      </c>
      <c r="J137" s="4" t="s">
        <v>4773</v>
      </c>
    </row>
    <row r="138" customFormat="false" ht="15" hidden="false" customHeight="false" outlineLevel="0" collapsed="false">
      <c r="A138" s="4" t="n">
        <v>3</v>
      </c>
      <c r="B138" s="4" t="s">
        <v>4774</v>
      </c>
      <c r="C138" s="4" t="s">
        <v>4775</v>
      </c>
      <c r="D138" s="4" t="s">
        <v>4776</v>
      </c>
      <c r="E138" s="4" t="s">
        <v>4738</v>
      </c>
      <c r="F138" s="4" t="s">
        <v>4777</v>
      </c>
      <c r="G138" s="4" t="s">
        <v>4778</v>
      </c>
      <c r="H138" s="4" t="s">
        <v>4779</v>
      </c>
      <c r="I138" s="4" t="n">
        <v>5.4</v>
      </c>
      <c r="J138" s="4" t="s">
        <v>4663</v>
      </c>
    </row>
    <row r="139" customFormat="false" ht="15" hidden="false" customHeight="false" outlineLevel="0" collapsed="false">
      <c r="A139" s="4" t="n">
        <v>4</v>
      </c>
      <c r="B139" s="4" t="s">
        <v>4780</v>
      </c>
      <c r="C139" s="4" t="s">
        <v>4781</v>
      </c>
      <c r="D139" s="4" t="s">
        <v>4782</v>
      </c>
      <c r="E139" s="4" t="s">
        <v>4783</v>
      </c>
      <c r="F139" s="4" t="s">
        <v>4784</v>
      </c>
      <c r="G139" s="4" t="s">
        <v>4785</v>
      </c>
      <c r="H139" s="4" t="s">
        <v>4786</v>
      </c>
      <c r="I139" s="4" t="n">
        <v>5.2</v>
      </c>
      <c r="J139" s="4" t="s">
        <v>4662</v>
      </c>
    </row>
    <row r="142" customFormat="false" ht="15" hidden="false" customHeight="false" outlineLevel="0" collapsed="false">
      <c r="A142" s="17" t="s">
        <v>4787</v>
      </c>
      <c r="B142" s="18"/>
      <c r="C142" s="18"/>
      <c r="D142" s="18"/>
      <c r="E142" s="18"/>
      <c r="F142" s="18"/>
      <c r="G142" s="18"/>
      <c r="H142" s="18"/>
      <c r="I142" s="18"/>
      <c r="J142" s="18"/>
    </row>
    <row r="143" customFormat="false" ht="15" hidden="false" customHeight="false" outlineLevel="0" collapsed="false">
      <c r="A143" s="19" t="s">
        <v>4788</v>
      </c>
    </row>
    <row r="144" customFormat="false" ht="15" hidden="false" customHeight="false" outlineLevel="0" collapsed="false">
      <c r="A144" s="19" t="s">
        <v>4789</v>
      </c>
    </row>
    <row r="145" customFormat="false" ht="15" hidden="false" customHeight="false" outlineLevel="0" collapsed="false">
      <c r="A145" s="20" t="s">
        <v>1193</v>
      </c>
    </row>
    <row r="146" customFormat="false" ht="15" hidden="false" customHeight="false" outlineLevel="0" collapsed="false">
      <c r="A146" s="21" t="s">
        <v>4718</v>
      </c>
    </row>
    <row r="147" customFormat="false" ht="15" hidden="false" customHeight="false" outlineLevel="0" collapsed="false">
      <c r="A147" s="21" t="s">
        <v>4719</v>
      </c>
    </row>
    <row r="148" customFormat="false" ht="15" hidden="false" customHeight="false" outlineLevel="0" collapsed="false">
      <c r="A148" s="22" t="s">
        <v>4583</v>
      </c>
      <c r="B148" s="22" t="s">
        <v>2066</v>
      </c>
      <c r="C148" s="22" t="s">
        <v>4721</v>
      </c>
      <c r="D148" s="22" t="s">
        <v>1630</v>
      </c>
      <c r="E148" s="22" t="s">
        <v>4757</v>
      </c>
      <c r="F148" s="22" t="s">
        <v>4758</v>
      </c>
      <c r="G148" s="22" t="s">
        <v>4724</v>
      </c>
      <c r="H148" s="22" t="s">
        <v>4725</v>
      </c>
      <c r="I148" s="22" t="s">
        <v>1139</v>
      </c>
      <c r="J148" s="22" t="s">
        <v>4726</v>
      </c>
    </row>
    <row r="149" customFormat="false" ht="15" hidden="false" customHeight="false" outlineLevel="0" collapsed="false">
      <c r="A149" s="4" t="n">
        <v>1</v>
      </c>
      <c r="B149" s="4" t="s">
        <v>4790</v>
      </c>
      <c r="C149" s="4" t="s">
        <v>4791</v>
      </c>
      <c r="D149" s="4" t="s">
        <v>4792</v>
      </c>
      <c r="E149" s="4" t="s">
        <v>4762</v>
      </c>
      <c r="F149" s="4" t="s">
        <v>4793</v>
      </c>
      <c r="G149" s="4" t="s">
        <v>4794</v>
      </c>
      <c r="H149" s="4" t="s">
        <v>4795</v>
      </c>
      <c r="I149" s="4" t="n">
        <v>6.5</v>
      </c>
      <c r="J149" s="4" t="s">
        <v>4734</v>
      </c>
    </row>
    <row r="150" customFormat="false" ht="15" hidden="false" customHeight="false" outlineLevel="0" collapsed="false">
      <c r="A150" s="4" t="n">
        <v>2</v>
      </c>
      <c r="B150" s="4" t="s">
        <v>4796</v>
      </c>
      <c r="C150" s="4" t="s">
        <v>4797</v>
      </c>
      <c r="D150" s="4" t="s">
        <v>4798</v>
      </c>
      <c r="E150" s="4" t="s">
        <v>4762</v>
      </c>
      <c r="F150" s="4" t="s">
        <v>4799</v>
      </c>
      <c r="G150" s="4" t="s">
        <v>4800</v>
      </c>
      <c r="H150" s="4" t="s">
        <v>4801</v>
      </c>
      <c r="I150" s="4" t="n">
        <v>6.4</v>
      </c>
      <c r="J150" s="4" t="s">
        <v>4802</v>
      </c>
    </row>
    <row r="151" customFormat="false" ht="15" hidden="false" customHeight="false" outlineLevel="0" collapsed="false">
      <c r="A151" s="4" t="n">
        <v>3</v>
      </c>
      <c r="B151" s="4" t="s">
        <v>4803</v>
      </c>
      <c r="C151" s="4" t="s">
        <v>4804</v>
      </c>
      <c r="D151" s="4" t="s">
        <v>4805</v>
      </c>
      <c r="E151" s="4" t="s">
        <v>4806</v>
      </c>
      <c r="F151" s="4" t="s">
        <v>4807</v>
      </c>
      <c r="G151" s="4" t="s">
        <v>4808</v>
      </c>
      <c r="H151" s="4" t="s">
        <v>4809</v>
      </c>
      <c r="I151" s="4" t="n">
        <v>6.1</v>
      </c>
      <c r="J151" s="4" t="s">
        <v>4810</v>
      </c>
    </row>
    <row r="152" customFormat="false" ht="15" hidden="false" customHeight="false" outlineLevel="0" collapsed="false">
      <c r="A152" s="4" t="n">
        <v>4</v>
      </c>
      <c r="B152" s="4" t="s">
        <v>4811</v>
      </c>
      <c r="C152" s="4" t="s">
        <v>4812</v>
      </c>
      <c r="D152" s="4" t="s">
        <v>4813</v>
      </c>
      <c r="E152" s="4" t="s">
        <v>4814</v>
      </c>
      <c r="F152" s="4" t="s">
        <v>4815</v>
      </c>
      <c r="G152" s="4" t="s">
        <v>4816</v>
      </c>
      <c r="H152" s="4" t="s">
        <v>4817</v>
      </c>
      <c r="I152" s="4" t="n">
        <v>6.1</v>
      </c>
      <c r="J152" s="4" t="s">
        <v>4663</v>
      </c>
    </row>
    <row r="155" customFormat="false" ht="15" hidden="false" customHeight="false" outlineLevel="0" collapsed="false">
      <c r="A155" s="17" t="s">
        <v>4818</v>
      </c>
      <c r="B155" s="18"/>
      <c r="C155" s="18"/>
      <c r="D155" s="18"/>
      <c r="E155" s="18"/>
      <c r="F155" s="18"/>
      <c r="G155" s="18"/>
      <c r="H155" s="18"/>
      <c r="I155" s="18"/>
      <c r="J155" s="18"/>
    </row>
    <row r="156" customFormat="false" ht="15" hidden="false" customHeight="false" outlineLevel="0" collapsed="false">
      <c r="A156" s="19" t="s">
        <v>4819</v>
      </c>
    </row>
    <row r="157" customFormat="false" ht="15" hidden="false" customHeight="false" outlineLevel="0" collapsed="false">
      <c r="A157" s="19" t="s">
        <v>4820</v>
      </c>
    </row>
    <row r="158" customFormat="false" ht="15" hidden="false" customHeight="false" outlineLevel="0" collapsed="false">
      <c r="A158" s="20" t="s">
        <v>1193</v>
      </c>
    </row>
    <row r="159" customFormat="false" ht="15" hidden="false" customHeight="false" outlineLevel="0" collapsed="false">
      <c r="A159" s="21" t="s">
        <v>4718</v>
      </c>
    </row>
    <row r="160" customFormat="false" ht="15" hidden="false" customHeight="false" outlineLevel="0" collapsed="false">
      <c r="A160" s="21" t="s">
        <v>4719</v>
      </c>
    </row>
    <row r="161" customFormat="false" ht="15" hidden="false" customHeight="false" outlineLevel="0" collapsed="false">
      <c r="A161" s="22" t="s">
        <v>4583</v>
      </c>
      <c r="B161" s="22" t="s">
        <v>2066</v>
      </c>
      <c r="C161" s="22" t="s">
        <v>4721</v>
      </c>
      <c r="D161" s="22" t="s">
        <v>1630</v>
      </c>
      <c r="E161" s="22" t="s">
        <v>4757</v>
      </c>
      <c r="F161" s="22" t="s">
        <v>4758</v>
      </c>
      <c r="G161" s="22" t="s">
        <v>4724</v>
      </c>
      <c r="H161" s="22" t="s">
        <v>4725</v>
      </c>
      <c r="I161" s="22" t="s">
        <v>1139</v>
      </c>
      <c r="J161" s="22" t="s">
        <v>4726</v>
      </c>
    </row>
    <row r="162" customFormat="false" ht="23.85" hidden="false" customHeight="false" outlineLevel="0" collapsed="false">
      <c r="A162" s="4" t="n">
        <v>1</v>
      </c>
      <c r="B162" s="4" t="s">
        <v>4821</v>
      </c>
      <c r="C162" s="4" t="s">
        <v>4822</v>
      </c>
      <c r="D162" s="4" t="s">
        <v>4823</v>
      </c>
      <c r="E162" s="4" t="s">
        <v>4762</v>
      </c>
      <c r="F162" s="4" t="s">
        <v>4824</v>
      </c>
      <c r="G162" s="4" t="s">
        <v>4825</v>
      </c>
      <c r="H162" s="4" t="s">
        <v>4826</v>
      </c>
      <c r="I162" s="4" t="n">
        <v>7.2</v>
      </c>
      <c r="J162" s="4" t="s">
        <v>4734</v>
      </c>
    </row>
    <row r="163" customFormat="false" ht="23.85" hidden="false" customHeight="false" outlineLevel="0" collapsed="false">
      <c r="A163" s="4" t="n">
        <v>2</v>
      </c>
      <c r="B163" s="4" t="s">
        <v>4827</v>
      </c>
      <c r="C163" s="4" t="s">
        <v>4828</v>
      </c>
      <c r="D163" s="4" t="s">
        <v>4829</v>
      </c>
      <c r="E163" s="4" t="s">
        <v>4762</v>
      </c>
      <c r="F163" s="4" t="s">
        <v>4824</v>
      </c>
      <c r="G163" s="4" t="s">
        <v>4830</v>
      </c>
      <c r="H163" s="4" t="s">
        <v>4831</v>
      </c>
      <c r="I163" s="4" t="n">
        <v>6.7</v>
      </c>
      <c r="J163" s="4" t="s">
        <v>4734</v>
      </c>
    </row>
    <row r="164" customFormat="false" ht="15" hidden="false" customHeight="false" outlineLevel="0" collapsed="false">
      <c r="A164" s="4" t="n">
        <v>3</v>
      </c>
      <c r="B164" s="4" t="s">
        <v>4832</v>
      </c>
      <c r="C164" s="4" t="s">
        <v>4833</v>
      </c>
      <c r="D164" s="4" t="s">
        <v>4744</v>
      </c>
      <c r="E164" s="4" t="s">
        <v>4762</v>
      </c>
      <c r="F164" s="4" t="s">
        <v>4834</v>
      </c>
      <c r="G164" s="4" t="s">
        <v>2519</v>
      </c>
      <c r="H164" s="4" t="s">
        <v>4835</v>
      </c>
      <c r="I164" s="4" t="n">
        <v>6.4</v>
      </c>
      <c r="J164" s="4" t="s">
        <v>4734</v>
      </c>
    </row>
    <row r="167" customFormat="false" ht="15" hidden="false" customHeight="false" outlineLevel="0" collapsed="false">
      <c r="A167" s="17" t="s">
        <v>4836</v>
      </c>
      <c r="B167" s="18"/>
      <c r="C167" s="18"/>
      <c r="D167" s="18"/>
      <c r="E167" s="18"/>
      <c r="F167" s="18"/>
      <c r="G167" s="18"/>
      <c r="H167" s="18"/>
      <c r="I167" s="18"/>
      <c r="J167" s="18"/>
    </row>
    <row r="168" customFormat="false" ht="15" hidden="false" customHeight="false" outlineLevel="0" collapsed="false">
      <c r="A168" s="19" t="s">
        <v>4837</v>
      </c>
    </row>
    <row r="169" customFormat="false" ht="15" hidden="false" customHeight="false" outlineLevel="0" collapsed="false">
      <c r="A169" s="19" t="s">
        <v>4838</v>
      </c>
    </row>
    <row r="170" customFormat="false" ht="15" hidden="false" customHeight="false" outlineLevel="0" collapsed="false">
      <c r="A170" s="20" t="s">
        <v>1193</v>
      </c>
    </row>
    <row r="171" customFormat="false" ht="15" hidden="false" customHeight="false" outlineLevel="0" collapsed="false">
      <c r="A171" s="21" t="s">
        <v>4718</v>
      </c>
    </row>
    <row r="172" customFormat="false" ht="15" hidden="false" customHeight="false" outlineLevel="0" collapsed="false">
      <c r="A172" s="21" t="s">
        <v>4719</v>
      </c>
    </row>
    <row r="173" customFormat="false" ht="15" hidden="false" customHeight="false" outlineLevel="0" collapsed="false">
      <c r="A173" s="22" t="s">
        <v>4583</v>
      </c>
      <c r="B173" s="22" t="s">
        <v>2066</v>
      </c>
      <c r="C173" s="22" t="s">
        <v>4721</v>
      </c>
      <c r="D173" s="22" t="s">
        <v>1630</v>
      </c>
      <c r="E173" s="22" t="s">
        <v>4757</v>
      </c>
      <c r="F173" s="22" t="s">
        <v>4758</v>
      </c>
      <c r="G173" s="22" t="s">
        <v>4724</v>
      </c>
      <c r="H173" s="22" t="s">
        <v>4725</v>
      </c>
      <c r="I173" s="22" t="s">
        <v>1139</v>
      </c>
      <c r="J173" s="22" t="s">
        <v>4726</v>
      </c>
    </row>
    <row r="174" customFormat="false" ht="23.85" hidden="false" customHeight="false" outlineLevel="0" collapsed="false">
      <c r="A174" s="4" t="n">
        <v>1</v>
      </c>
      <c r="B174" s="4" t="s">
        <v>4839</v>
      </c>
      <c r="C174" s="4" t="s">
        <v>4840</v>
      </c>
      <c r="D174" s="4" t="s">
        <v>4744</v>
      </c>
      <c r="E174" s="4" t="s">
        <v>4841</v>
      </c>
      <c r="F174" s="4" t="s">
        <v>4842</v>
      </c>
      <c r="G174" s="4" t="s">
        <v>4843</v>
      </c>
      <c r="H174" s="4" t="s">
        <v>4844</v>
      </c>
      <c r="I174" s="4" t="n">
        <v>6.8</v>
      </c>
      <c r="J174" s="4" t="s">
        <v>4734</v>
      </c>
    </row>
    <row r="175" customFormat="false" ht="15" hidden="false" customHeight="false" outlineLevel="0" collapsed="false">
      <c r="A175" s="4" t="n">
        <v>2</v>
      </c>
      <c r="B175" s="4" t="s">
        <v>4845</v>
      </c>
      <c r="C175" s="4" t="s">
        <v>4846</v>
      </c>
      <c r="D175" s="4" t="s">
        <v>4776</v>
      </c>
      <c r="E175" s="4" t="s">
        <v>4847</v>
      </c>
      <c r="F175" s="4" t="s">
        <v>4848</v>
      </c>
      <c r="G175" s="4" t="s">
        <v>4849</v>
      </c>
      <c r="H175" s="4" t="s">
        <v>4850</v>
      </c>
      <c r="I175" s="4" t="n">
        <v>6.4</v>
      </c>
      <c r="J175" s="4" t="s">
        <v>4734</v>
      </c>
    </row>
    <row r="176" customFormat="false" ht="15" hidden="false" customHeight="false" outlineLevel="0" collapsed="false">
      <c r="A176" s="4" t="n">
        <v>3</v>
      </c>
      <c r="B176" s="4" t="s">
        <v>4851</v>
      </c>
      <c r="C176" s="4" t="s">
        <v>4852</v>
      </c>
      <c r="D176" s="4" t="s">
        <v>4853</v>
      </c>
      <c r="E176" s="4" t="s">
        <v>4762</v>
      </c>
      <c r="F176" s="4" t="s">
        <v>4854</v>
      </c>
      <c r="G176" s="4" t="s">
        <v>4855</v>
      </c>
      <c r="H176" s="4" t="s">
        <v>4856</v>
      </c>
      <c r="I176" s="4" t="n">
        <v>6.3</v>
      </c>
      <c r="J176" s="4" t="s">
        <v>4802</v>
      </c>
    </row>
    <row r="177" customFormat="false" ht="15" hidden="false" customHeight="false" outlineLevel="0" collapsed="false">
      <c r="A177" s="4" t="n">
        <v>4</v>
      </c>
      <c r="B177" s="4" t="s">
        <v>4857</v>
      </c>
      <c r="C177" s="4" t="s">
        <v>4858</v>
      </c>
      <c r="D177" s="4" t="s">
        <v>4744</v>
      </c>
      <c r="E177" s="4" t="s">
        <v>4859</v>
      </c>
      <c r="F177" s="4" t="s">
        <v>4860</v>
      </c>
      <c r="G177" s="4" t="s">
        <v>4861</v>
      </c>
      <c r="H177" s="4" t="s">
        <v>4862</v>
      </c>
      <c r="I177" s="4" t="n">
        <v>6.2</v>
      </c>
      <c r="J177" s="4" t="s">
        <v>4663</v>
      </c>
    </row>
    <row r="180" customFormat="false" ht="15" hidden="false" customHeight="false" outlineLevel="0" collapsed="false">
      <c r="A180" s="17" t="s">
        <v>4863</v>
      </c>
      <c r="B180" s="18"/>
      <c r="C180" s="18"/>
      <c r="D180" s="18"/>
      <c r="E180" s="18"/>
      <c r="F180" s="18"/>
      <c r="G180" s="18"/>
      <c r="H180" s="18"/>
      <c r="I180" s="18"/>
      <c r="J180" s="18"/>
    </row>
    <row r="181" customFormat="false" ht="15" hidden="false" customHeight="false" outlineLevel="0" collapsed="false">
      <c r="A181" s="19" t="s">
        <v>4864</v>
      </c>
    </row>
    <row r="182" customFormat="false" ht="15" hidden="false" customHeight="false" outlineLevel="0" collapsed="false">
      <c r="A182" s="19" t="s">
        <v>4865</v>
      </c>
    </row>
    <row r="183" customFormat="false" ht="15" hidden="false" customHeight="false" outlineLevel="0" collapsed="false">
      <c r="A183" s="20" t="s">
        <v>1193</v>
      </c>
    </row>
    <row r="184" customFormat="false" ht="15" hidden="false" customHeight="false" outlineLevel="0" collapsed="false">
      <c r="A184" s="21" t="s">
        <v>4718</v>
      </c>
    </row>
    <row r="185" customFormat="false" ht="15" hidden="false" customHeight="false" outlineLevel="0" collapsed="false">
      <c r="A185" s="21" t="s">
        <v>4719</v>
      </c>
    </row>
    <row r="186" customFormat="false" ht="15" hidden="false" customHeight="false" outlineLevel="0" collapsed="false">
      <c r="A186" s="22" t="s">
        <v>4583</v>
      </c>
      <c r="B186" s="22" t="s">
        <v>2066</v>
      </c>
      <c r="C186" s="22" t="s">
        <v>4721</v>
      </c>
      <c r="D186" s="22" t="s">
        <v>1630</v>
      </c>
      <c r="E186" s="22" t="s">
        <v>4757</v>
      </c>
      <c r="F186" s="22" t="s">
        <v>4758</v>
      </c>
      <c r="G186" s="22" t="s">
        <v>4724</v>
      </c>
      <c r="H186" s="22" t="s">
        <v>4725</v>
      </c>
      <c r="I186" s="22" t="s">
        <v>1139</v>
      </c>
      <c r="J186" s="22" t="s">
        <v>4726</v>
      </c>
    </row>
    <row r="187" customFormat="false" ht="23.85" hidden="false" customHeight="false" outlineLevel="0" collapsed="false">
      <c r="A187" s="4" t="n">
        <v>1</v>
      </c>
      <c r="B187" s="4" t="s">
        <v>4866</v>
      </c>
      <c r="C187" s="4" t="s">
        <v>4867</v>
      </c>
      <c r="D187" s="4" t="s">
        <v>4868</v>
      </c>
      <c r="E187" s="4" t="s">
        <v>4869</v>
      </c>
      <c r="F187" s="4" t="s">
        <v>4870</v>
      </c>
      <c r="G187" s="4" t="s">
        <v>4871</v>
      </c>
      <c r="H187" s="4" t="s">
        <v>4872</v>
      </c>
      <c r="I187" s="4" t="n">
        <v>6.4</v>
      </c>
      <c r="J187" s="4" t="s">
        <v>4734</v>
      </c>
    </row>
    <row r="188" customFormat="false" ht="15" hidden="false" customHeight="false" outlineLevel="0" collapsed="false">
      <c r="A188" s="4" t="n">
        <v>2</v>
      </c>
      <c r="B188" s="4" t="s">
        <v>4873</v>
      </c>
      <c r="C188" s="4" t="s">
        <v>4874</v>
      </c>
      <c r="D188" s="4" t="s">
        <v>4875</v>
      </c>
      <c r="E188" s="4" t="s">
        <v>4869</v>
      </c>
      <c r="F188" s="4" t="s">
        <v>4870</v>
      </c>
      <c r="G188" s="4" t="s">
        <v>4876</v>
      </c>
      <c r="H188" s="4" t="s">
        <v>4877</v>
      </c>
      <c r="I188" s="4" t="n">
        <v>6.1</v>
      </c>
      <c r="J188" s="4" t="s">
        <v>4663</v>
      </c>
    </row>
    <row r="189" customFormat="false" ht="15" hidden="false" customHeight="false" outlineLevel="0" collapsed="false">
      <c r="A189" s="4" t="n">
        <v>3</v>
      </c>
      <c r="B189" s="4" t="s">
        <v>4878</v>
      </c>
      <c r="C189" s="4" t="s">
        <v>4879</v>
      </c>
      <c r="D189" s="4" t="s">
        <v>4880</v>
      </c>
      <c r="E189" s="4" t="s">
        <v>4869</v>
      </c>
      <c r="F189" s="4" t="s">
        <v>4870</v>
      </c>
      <c r="G189" s="4" t="s">
        <v>4881</v>
      </c>
      <c r="H189" s="4" t="s">
        <v>4882</v>
      </c>
      <c r="I189" s="4" t="n">
        <v>6</v>
      </c>
      <c r="J189" s="4" t="s">
        <v>4663</v>
      </c>
    </row>
    <row r="190" customFormat="false" ht="15" hidden="false" customHeight="false" outlineLevel="0" collapsed="false">
      <c r="A190" s="4" t="n">
        <v>4</v>
      </c>
      <c r="B190" s="4" t="s">
        <v>4883</v>
      </c>
      <c r="C190" s="4" t="s">
        <v>4884</v>
      </c>
      <c r="D190" s="4" t="s">
        <v>4885</v>
      </c>
      <c r="E190" s="4" t="s">
        <v>4738</v>
      </c>
      <c r="F190" s="4" t="s">
        <v>4886</v>
      </c>
      <c r="G190" s="4" t="s">
        <v>4752</v>
      </c>
      <c r="H190" s="4" t="s">
        <v>4887</v>
      </c>
      <c r="I190" s="4" t="n">
        <v>5.5</v>
      </c>
      <c r="J190" s="4" t="s">
        <v>4663</v>
      </c>
    </row>
    <row r="191" customFormat="false" ht="15" hidden="false" customHeight="false" outlineLevel="0" collapsed="false">
      <c r="A191" s="4" t="n">
        <v>5</v>
      </c>
      <c r="B191" s="4" t="s">
        <v>4888</v>
      </c>
      <c r="C191" s="4" t="s">
        <v>4889</v>
      </c>
      <c r="D191" s="4" t="s">
        <v>4880</v>
      </c>
      <c r="E191" s="4" t="s">
        <v>4738</v>
      </c>
      <c r="F191" s="4" t="s">
        <v>4890</v>
      </c>
      <c r="G191" s="4" t="s">
        <v>2519</v>
      </c>
      <c r="H191" s="4" t="s">
        <v>4891</v>
      </c>
      <c r="I191" s="4" t="n">
        <v>5.2</v>
      </c>
      <c r="J191" s="4" t="s">
        <v>4662</v>
      </c>
    </row>
    <row r="194" customFormat="false" ht="15" hidden="false" customHeight="false" outlineLevel="0" collapsed="false">
      <c r="A194" s="17" t="s">
        <v>4892</v>
      </c>
      <c r="B194" s="18"/>
      <c r="C194" s="18"/>
      <c r="D194" s="18"/>
      <c r="E194" s="18"/>
      <c r="F194" s="18"/>
      <c r="G194" s="18"/>
      <c r="H194" s="18"/>
      <c r="I194" s="18"/>
      <c r="J194" s="18"/>
    </row>
    <row r="195" customFormat="false" ht="15" hidden="false" customHeight="false" outlineLevel="0" collapsed="false">
      <c r="A195" s="19" t="s">
        <v>4893</v>
      </c>
    </row>
    <row r="196" customFormat="false" ht="15" hidden="false" customHeight="false" outlineLevel="0" collapsed="false">
      <c r="A196" s="19" t="s">
        <v>4894</v>
      </c>
    </row>
    <row r="197" customFormat="false" ht="15" hidden="false" customHeight="false" outlineLevel="0" collapsed="false">
      <c r="A197" s="20" t="s">
        <v>1193</v>
      </c>
    </row>
    <row r="198" customFormat="false" ht="15" hidden="false" customHeight="false" outlineLevel="0" collapsed="false">
      <c r="A198" s="21" t="s">
        <v>4718</v>
      </c>
    </row>
    <row r="199" customFormat="false" ht="15" hidden="false" customHeight="false" outlineLevel="0" collapsed="false">
      <c r="A199" s="21" t="s">
        <v>4719</v>
      </c>
    </row>
    <row r="200" customFormat="false" ht="15" hidden="false" customHeight="false" outlineLevel="0" collapsed="false">
      <c r="A200" s="22" t="s">
        <v>4583</v>
      </c>
      <c r="B200" s="22" t="s">
        <v>2066</v>
      </c>
      <c r="C200" s="22" t="s">
        <v>4721</v>
      </c>
      <c r="D200" s="22" t="s">
        <v>1630</v>
      </c>
      <c r="E200" s="22" t="s">
        <v>4757</v>
      </c>
      <c r="F200" s="22" t="s">
        <v>4758</v>
      </c>
      <c r="G200" s="22" t="s">
        <v>4724</v>
      </c>
      <c r="H200" s="22" t="s">
        <v>4725</v>
      </c>
      <c r="I200" s="22" t="s">
        <v>1139</v>
      </c>
      <c r="J200" s="22" t="s">
        <v>4726</v>
      </c>
    </row>
    <row r="201" customFormat="false" ht="15" hidden="false" customHeight="false" outlineLevel="0" collapsed="false">
      <c r="A201" s="4" t="n">
        <v>1</v>
      </c>
      <c r="B201" s="4" t="s">
        <v>4895</v>
      </c>
      <c r="C201" s="4" t="s">
        <v>4896</v>
      </c>
      <c r="D201" s="4" t="s">
        <v>4897</v>
      </c>
      <c r="E201" s="4" t="s">
        <v>4869</v>
      </c>
      <c r="F201" s="4" t="s">
        <v>4898</v>
      </c>
      <c r="G201" s="4" t="s">
        <v>4899</v>
      </c>
      <c r="H201" s="4" t="s">
        <v>4900</v>
      </c>
      <c r="I201" s="4" t="n">
        <v>5.5</v>
      </c>
      <c r="J201" s="4" t="s">
        <v>4810</v>
      </c>
    </row>
    <row r="202" customFormat="false" ht="15" hidden="false" customHeight="false" outlineLevel="0" collapsed="false">
      <c r="A202" s="4" t="n">
        <v>2</v>
      </c>
      <c r="B202" s="4" t="s">
        <v>4901</v>
      </c>
      <c r="C202" s="4" t="s">
        <v>4902</v>
      </c>
      <c r="D202" s="4" t="s">
        <v>4903</v>
      </c>
      <c r="E202" s="4" t="s">
        <v>4869</v>
      </c>
      <c r="F202" s="4" t="s">
        <v>4904</v>
      </c>
      <c r="G202" s="4" t="s">
        <v>2519</v>
      </c>
      <c r="H202" s="4" t="s">
        <v>4905</v>
      </c>
      <c r="I202" s="4" t="n">
        <v>5</v>
      </c>
      <c r="J202" s="4" t="s">
        <v>4662</v>
      </c>
    </row>
    <row r="205" customFormat="false" ht="15" hidden="false" customHeight="false" outlineLevel="0" collapsed="false">
      <c r="A205" s="17" t="s">
        <v>4906</v>
      </c>
      <c r="B205" s="18"/>
      <c r="C205" s="18"/>
      <c r="D205" s="18"/>
      <c r="E205" s="18"/>
      <c r="F205" s="18"/>
      <c r="G205" s="18"/>
      <c r="H205" s="18"/>
      <c r="I205" s="18"/>
      <c r="J205" s="18"/>
    </row>
    <row r="206" customFormat="false" ht="15" hidden="false" customHeight="false" outlineLevel="0" collapsed="false">
      <c r="A206" s="19" t="s">
        <v>4907</v>
      </c>
    </row>
    <row r="207" customFormat="false" ht="15" hidden="false" customHeight="false" outlineLevel="0" collapsed="false">
      <c r="A207" s="19" t="s">
        <v>4908</v>
      </c>
    </row>
    <row r="208" customFormat="false" ht="15" hidden="false" customHeight="false" outlineLevel="0" collapsed="false">
      <c r="A208" s="20" t="s">
        <v>1193</v>
      </c>
    </row>
    <row r="209" customFormat="false" ht="15" hidden="false" customHeight="false" outlineLevel="0" collapsed="false">
      <c r="A209" s="21" t="s">
        <v>4718</v>
      </c>
    </row>
    <row r="210" customFormat="false" ht="15" hidden="false" customHeight="false" outlineLevel="0" collapsed="false">
      <c r="A210" s="21" t="s">
        <v>4719</v>
      </c>
    </row>
    <row r="211" customFormat="false" ht="15" hidden="false" customHeight="false" outlineLevel="0" collapsed="false">
      <c r="A211" s="22" t="s">
        <v>4583</v>
      </c>
      <c r="B211" s="22" t="s">
        <v>2066</v>
      </c>
      <c r="C211" s="22" t="s">
        <v>4721</v>
      </c>
      <c r="D211" s="22" t="s">
        <v>1630</v>
      </c>
      <c r="E211" s="22" t="s">
        <v>4757</v>
      </c>
      <c r="F211" s="22" t="s">
        <v>4758</v>
      </c>
      <c r="G211" s="22" t="s">
        <v>4724</v>
      </c>
      <c r="H211" s="22" t="s">
        <v>4725</v>
      </c>
      <c r="I211" s="22" t="s">
        <v>1139</v>
      </c>
      <c r="J211" s="22" t="s">
        <v>4726</v>
      </c>
    </row>
    <row r="212" customFormat="false" ht="15" hidden="false" customHeight="false" outlineLevel="0" collapsed="false">
      <c r="A212" s="4" t="n">
        <v>1</v>
      </c>
      <c r="B212" s="4" t="s">
        <v>4909</v>
      </c>
      <c r="C212" s="4" t="s">
        <v>4910</v>
      </c>
      <c r="D212" s="4" t="s">
        <v>4911</v>
      </c>
      <c r="E212" s="4" t="s">
        <v>4912</v>
      </c>
      <c r="F212" s="4" t="s">
        <v>4870</v>
      </c>
      <c r="G212" s="4" t="s">
        <v>4913</v>
      </c>
      <c r="H212" s="4" t="s">
        <v>4914</v>
      </c>
      <c r="I212" s="4" t="n">
        <v>4.7</v>
      </c>
      <c r="J212" s="4" t="s">
        <v>4915</v>
      </c>
    </row>
    <row r="215" customFormat="false" ht="15" hidden="false" customHeight="false" outlineLevel="0" collapsed="false">
      <c r="A215" s="17" t="s">
        <v>4916</v>
      </c>
      <c r="B215" s="18"/>
      <c r="C215" s="18"/>
      <c r="D215" s="18"/>
      <c r="E215" s="18"/>
      <c r="F215" s="18"/>
      <c r="G215" s="18"/>
      <c r="H215" s="18"/>
      <c r="I215" s="18"/>
      <c r="J215" s="18"/>
    </row>
    <row r="216" customFormat="false" ht="15" hidden="false" customHeight="false" outlineLevel="0" collapsed="false">
      <c r="A216" s="19" t="s">
        <v>4917</v>
      </c>
    </row>
    <row r="217" customFormat="false" ht="15" hidden="false" customHeight="false" outlineLevel="0" collapsed="false">
      <c r="A217" s="19" t="s">
        <v>4918</v>
      </c>
    </row>
    <row r="218" customFormat="false" ht="15" hidden="false" customHeight="false" outlineLevel="0" collapsed="false">
      <c r="A218" s="20" t="s">
        <v>1193</v>
      </c>
    </row>
    <row r="219" customFormat="false" ht="15" hidden="false" customHeight="false" outlineLevel="0" collapsed="false">
      <c r="A219" s="21" t="s">
        <v>4718</v>
      </c>
    </row>
    <row r="220" customFormat="false" ht="15" hidden="false" customHeight="false" outlineLevel="0" collapsed="false">
      <c r="A220" s="21" t="s">
        <v>4719</v>
      </c>
    </row>
    <row r="221" customFormat="false" ht="15" hidden="false" customHeight="false" outlineLevel="0" collapsed="false">
      <c r="A221" s="22" t="s">
        <v>4583</v>
      </c>
      <c r="B221" s="22" t="s">
        <v>2066</v>
      </c>
      <c r="C221" s="22" t="s">
        <v>4721</v>
      </c>
      <c r="D221" s="22" t="s">
        <v>1630</v>
      </c>
      <c r="E221" s="22" t="s">
        <v>4757</v>
      </c>
      <c r="F221" s="22" t="s">
        <v>4758</v>
      </c>
      <c r="G221" s="22" t="s">
        <v>4724</v>
      </c>
      <c r="H221" s="22" t="s">
        <v>4725</v>
      </c>
      <c r="I221" s="22" t="s">
        <v>1139</v>
      </c>
      <c r="J221" s="22" t="s">
        <v>4726</v>
      </c>
    </row>
    <row r="222" customFormat="false" ht="15" hidden="false" customHeight="false" outlineLevel="0" collapsed="false">
      <c r="A222" s="4" t="n">
        <v>1</v>
      </c>
      <c r="B222" s="4" t="s">
        <v>4919</v>
      </c>
      <c r="C222" s="4" t="s">
        <v>4920</v>
      </c>
      <c r="D222" s="4" t="s">
        <v>4921</v>
      </c>
      <c r="E222" s="4" t="s">
        <v>4738</v>
      </c>
      <c r="F222" s="4" t="s">
        <v>4922</v>
      </c>
      <c r="G222" s="4" t="s">
        <v>4923</v>
      </c>
      <c r="H222" s="4" t="s">
        <v>4924</v>
      </c>
      <c r="I222" s="4" t="n">
        <v>6</v>
      </c>
      <c r="J222" s="4" t="s">
        <v>4663</v>
      </c>
    </row>
    <row r="223" customFormat="false" ht="15" hidden="false" customHeight="false" outlineLevel="0" collapsed="false">
      <c r="A223" s="4" t="n">
        <v>2</v>
      </c>
      <c r="B223" s="4" t="s">
        <v>4925</v>
      </c>
      <c r="C223" s="4" t="s">
        <v>4926</v>
      </c>
      <c r="D223" s="4" t="s">
        <v>4927</v>
      </c>
      <c r="E223" s="4" t="s">
        <v>4738</v>
      </c>
      <c r="F223" s="4" t="s">
        <v>4922</v>
      </c>
      <c r="G223" s="4" t="s">
        <v>4928</v>
      </c>
      <c r="H223" s="4" t="s">
        <v>4929</v>
      </c>
      <c r="I223" s="4" t="n">
        <v>5.9</v>
      </c>
      <c r="J223" s="4" t="s">
        <v>4663</v>
      </c>
    </row>
    <row r="224" customFormat="false" ht="15" hidden="false" customHeight="false" outlineLevel="0" collapsed="false">
      <c r="A224" s="4" t="n">
        <v>3</v>
      </c>
      <c r="B224" s="4" t="s">
        <v>4930</v>
      </c>
      <c r="C224" s="4" t="s">
        <v>4931</v>
      </c>
      <c r="D224" s="4" t="s">
        <v>4932</v>
      </c>
      <c r="E224" s="4" t="s">
        <v>4933</v>
      </c>
      <c r="F224" s="4" t="s">
        <v>4934</v>
      </c>
      <c r="G224" s="4" t="s">
        <v>4935</v>
      </c>
      <c r="H224" s="4" t="s">
        <v>4936</v>
      </c>
      <c r="I224" s="4" t="n">
        <v>5.3</v>
      </c>
      <c r="J224" s="4" t="s">
        <v>4663</v>
      </c>
    </row>
    <row r="225" customFormat="false" ht="15" hidden="false" customHeight="false" outlineLevel="0" collapsed="false">
      <c r="A225" s="4" t="n">
        <v>4</v>
      </c>
      <c r="B225" s="4" t="s">
        <v>4937</v>
      </c>
      <c r="C225" s="4" t="s">
        <v>4938</v>
      </c>
      <c r="D225" s="4" t="s">
        <v>4939</v>
      </c>
      <c r="E225" s="4" t="s">
        <v>4940</v>
      </c>
      <c r="F225" s="4" t="s">
        <v>4941</v>
      </c>
      <c r="G225" s="4" t="s">
        <v>4942</v>
      </c>
      <c r="H225" s="4" t="s">
        <v>4943</v>
      </c>
      <c r="I225" s="4" t="n">
        <v>5.2</v>
      </c>
      <c r="J225" s="4" t="s">
        <v>4662</v>
      </c>
    </row>
    <row r="228" customFormat="false" ht="15" hidden="false" customHeight="false" outlineLevel="0" collapsed="false">
      <c r="A228" s="17" t="s">
        <v>4944</v>
      </c>
      <c r="B228" s="18"/>
      <c r="C228" s="18"/>
      <c r="D228" s="18"/>
      <c r="E228" s="18"/>
      <c r="F228" s="18"/>
      <c r="G228" s="18"/>
      <c r="H228" s="18"/>
      <c r="I228" s="18"/>
      <c r="J228" s="18"/>
    </row>
    <row r="229" customFormat="false" ht="15" hidden="false" customHeight="false" outlineLevel="0" collapsed="false">
      <c r="A229" s="19" t="s">
        <v>4945</v>
      </c>
    </row>
    <row r="230" customFormat="false" ht="15" hidden="false" customHeight="false" outlineLevel="0" collapsed="false">
      <c r="A230" s="19" t="s">
        <v>4946</v>
      </c>
    </row>
    <row r="231" customFormat="false" ht="15" hidden="false" customHeight="false" outlineLevel="0" collapsed="false">
      <c r="A231" s="20" t="s">
        <v>1193</v>
      </c>
    </row>
    <row r="232" customFormat="false" ht="15" hidden="false" customHeight="false" outlineLevel="0" collapsed="false">
      <c r="A232" s="21" t="s">
        <v>4718</v>
      </c>
    </row>
    <row r="233" customFormat="false" ht="15" hidden="false" customHeight="false" outlineLevel="0" collapsed="false">
      <c r="A233" s="21" t="s">
        <v>4719</v>
      </c>
    </row>
    <row r="234" customFormat="false" ht="15" hidden="false" customHeight="false" outlineLevel="0" collapsed="false">
      <c r="A234" s="22" t="s">
        <v>4583</v>
      </c>
      <c r="B234" s="22" t="s">
        <v>2066</v>
      </c>
      <c r="C234" s="22" t="s">
        <v>4721</v>
      </c>
      <c r="D234" s="22" t="s">
        <v>1630</v>
      </c>
      <c r="E234" s="22" t="s">
        <v>4757</v>
      </c>
      <c r="F234" s="22" t="s">
        <v>4758</v>
      </c>
      <c r="G234" s="22" t="s">
        <v>4724</v>
      </c>
      <c r="H234" s="22" t="s">
        <v>4725</v>
      </c>
      <c r="I234" s="22" t="s">
        <v>1139</v>
      </c>
      <c r="J234" s="22" t="s">
        <v>4726</v>
      </c>
    </row>
    <row r="235" customFormat="false" ht="15" hidden="false" customHeight="false" outlineLevel="0" collapsed="false">
      <c r="A235" s="4" t="n">
        <v>1</v>
      </c>
      <c r="B235" s="4" t="s">
        <v>4947</v>
      </c>
      <c r="C235" s="4" t="s">
        <v>4948</v>
      </c>
      <c r="D235" s="4" t="s">
        <v>4949</v>
      </c>
      <c r="E235" s="4" t="s">
        <v>4950</v>
      </c>
      <c r="F235" s="4" t="s">
        <v>4951</v>
      </c>
      <c r="G235" s="4" t="s">
        <v>4952</v>
      </c>
      <c r="H235" s="4" t="s">
        <v>4953</v>
      </c>
      <c r="I235" s="4" t="n">
        <v>4.9</v>
      </c>
      <c r="J235" s="4" t="s">
        <v>4662</v>
      </c>
    </row>
    <row r="236" customFormat="false" ht="23.85" hidden="false" customHeight="false" outlineLevel="0" collapsed="false">
      <c r="A236" s="4" t="n">
        <v>2</v>
      </c>
      <c r="B236" s="4" t="s">
        <v>4954</v>
      </c>
      <c r="C236" s="4" t="s">
        <v>4955</v>
      </c>
      <c r="D236" s="4" t="s">
        <v>4956</v>
      </c>
      <c r="E236" s="4" t="s">
        <v>4957</v>
      </c>
      <c r="F236" s="4" t="s">
        <v>4958</v>
      </c>
      <c r="G236" s="4" t="s">
        <v>4959</v>
      </c>
      <c r="H236" s="4" t="s">
        <v>4960</v>
      </c>
      <c r="I236" s="4" t="n">
        <v>4.8</v>
      </c>
      <c r="J236" s="4" t="s">
        <v>4662</v>
      </c>
    </row>
    <row r="237" customFormat="false" ht="15" hidden="false" customHeight="false" outlineLevel="0" collapsed="false">
      <c r="A237" s="4" t="n">
        <v>3</v>
      </c>
      <c r="B237" s="4" t="s">
        <v>4961</v>
      </c>
      <c r="C237" s="4" t="s">
        <v>4962</v>
      </c>
      <c r="D237" s="4" t="s">
        <v>4744</v>
      </c>
      <c r="E237" s="4" t="s">
        <v>4963</v>
      </c>
      <c r="F237" s="4" t="s">
        <v>4964</v>
      </c>
      <c r="G237" s="4" t="s">
        <v>4965</v>
      </c>
      <c r="H237" s="4" t="s">
        <v>4966</v>
      </c>
      <c r="I237" s="4" t="n">
        <v>4.6</v>
      </c>
      <c r="J237" s="4" t="s">
        <v>4967</v>
      </c>
    </row>
    <row r="240" customFormat="false" ht="15" hidden="false" customHeight="false" outlineLevel="0" collapsed="false">
      <c r="A240" s="17" t="s">
        <v>4968</v>
      </c>
      <c r="B240" s="18"/>
      <c r="C240" s="18"/>
      <c r="D240" s="18"/>
      <c r="E240" s="18"/>
      <c r="F240" s="18"/>
      <c r="G240" s="18"/>
      <c r="H240" s="18"/>
      <c r="I240" s="18"/>
      <c r="J240" s="18"/>
    </row>
    <row r="241" customFormat="false" ht="15" hidden="false" customHeight="false" outlineLevel="0" collapsed="false">
      <c r="A241" s="19" t="s">
        <v>4969</v>
      </c>
    </row>
    <row r="242" customFormat="false" ht="15" hidden="false" customHeight="false" outlineLevel="0" collapsed="false">
      <c r="A242" s="19" t="s">
        <v>4970</v>
      </c>
    </row>
    <row r="243" customFormat="false" ht="15" hidden="false" customHeight="false" outlineLevel="0" collapsed="false">
      <c r="A243" s="20" t="s">
        <v>1193</v>
      </c>
    </row>
    <row r="244" customFormat="false" ht="15" hidden="false" customHeight="false" outlineLevel="0" collapsed="false">
      <c r="A244" s="21" t="s">
        <v>4718</v>
      </c>
    </row>
    <row r="245" customFormat="false" ht="15" hidden="false" customHeight="false" outlineLevel="0" collapsed="false">
      <c r="A245" s="21" t="s">
        <v>4719</v>
      </c>
    </row>
    <row r="246" customFormat="false" ht="15" hidden="false" customHeight="false" outlineLevel="0" collapsed="false">
      <c r="A246" s="22" t="s">
        <v>4583</v>
      </c>
      <c r="B246" s="22" t="s">
        <v>2066</v>
      </c>
      <c r="C246" s="22" t="s">
        <v>4721</v>
      </c>
      <c r="D246" s="22" t="s">
        <v>1630</v>
      </c>
      <c r="E246" s="22" t="s">
        <v>4757</v>
      </c>
      <c r="F246" s="22" t="s">
        <v>4758</v>
      </c>
      <c r="G246" s="22" t="s">
        <v>4724</v>
      </c>
      <c r="H246" s="22" t="s">
        <v>4725</v>
      </c>
      <c r="I246" s="22" t="s">
        <v>1139</v>
      </c>
      <c r="J246" s="22" t="s">
        <v>4726</v>
      </c>
    </row>
    <row r="247" customFormat="false" ht="15" hidden="false" customHeight="false" outlineLevel="0" collapsed="false">
      <c r="A247" s="4" t="n">
        <v>1</v>
      </c>
      <c r="B247" s="4" t="s">
        <v>4971</v>
      </c>
      <c r="C247" s="4" t="s">
        <v>4972</v>
      </c>
      <c r="D247" s="4" t="s">
        <v>4973</v>
      </c>
      <c r="E247" s="4" t="s">
        <v>4974</v>
      </c>
      <c r="F247" s="4" t="s">
        <v>4975</v>
      </c>
      <c r="G247" s="4" t="s">
        <v>4976</v>
      </c>
      <c r="H247" s="4" t="s">
        <v>4977</v>
      </c>
      <c r="I247" s="4" t="n">
        <v>6.3</v>
      </c>
      <c r="J247" s="4" t="s">
        <v>4734</v>
      </c>
    </row>
    <row r="248" customFormat="false" ht="23.85" hidden="false" customHeight="false" outlineLevel="0" collapsed="false">
      <c r="A248" s="4" t="n">
        <v>2</v>
      </c>
      <c r="B248" s="4" t="s">
        <v>4978</v>
      </c>
      <c r="C248" s="4" t="s">
        <v>4979</v>
      </c>
      <c r="D248" s="4" t="s">
        <v>4980</v>
      </c>
      <c r="E248" s="4" t="s">
        <v>4738</v>
      </c>
      <c r="F248" s="4" t="s">
        <v>4981</v>
      </c>
      <c r="G248" s="4" t="s">
        <v>4982</v>
      </c>
      <c r="H248" s="4" t="s">
        <v>4983</v>
      </c>
      <c r="I248" s="4" t="n">
        <v>6</v>
      </c>
      <c r="J248" s="4" t="s">
        <v>4663</v>
      </c>
    </row>
    <row r="251" customFormat="false" ht="15" hidden="false" customHeight="false" outlineLevel="0" collapsed="false">
      <c r="A251" s="17" t="s">
        <v>4984</v>
      </c>
      <c r="B251" s="18"/>
      <c r="C251" s="18"/>
      <c r="D251" s="18"/>
      <c r="E251" s="18"/>
      <c r="F251" s="18"/>
      <c r="G251" s="18"/>
      <c r="H251" s="18"/>
      <c r="I251" s="18"/>
      <c r="J251" s="18"/>
    </row>
    <row r="252" customFormat="false" ht="15" hidden="false" customHeight="false" outlineLevel="0" collapsed="false">
      <c r="A252" s="19" t="s">
        <v>4985</v>
      </c>
    </row>
    <row r="253" customFormat="false" ht="15" hidden="false" customHeight="false" outlineLevel="0" collapsed="false">
      <c r="A253" s="19" t="s">
        <v>4986</v>
      </c>
    </row>
    <row r="254" customFormat="false" ht="15" hidden="false" customHeight="false" outlineLevel="0" collapsed="false">
      <c r="A254" s="20" t="s">
        <v>1193</v>
      </c>
    </row>
    <row r="255" customFormat="false" ht="15" hidden="false" customHeight="false" outlineLevel="0" collapsed="false">
      <c r="A255" s="21" t="s">
        <v>4718</v>
      </c>
    </row>
    <row r="256" customFormat="false" ht="15" hidden="false" customHeight="false" outlineLevel="0" collapsed="false">
      <c r="A256" s="21" t="s">
        <v>4719</v>
      </c>
    </row>
    <row r="257" customFormat="false" ht="15" hidden="false" customHeight="false" outlineLevel="0" collapsed="false">
      <c r="A257" s="22" t="s">
        <v>4583</v>
      </c>
      <c r="B257" s="22" t="s">
        <v>2066</v>
      </c>
      <c r="C257" s="22" t="s">
        <v>4721</v>
      </c>
      <c r="D257" s="22" t="s">
        <v>1630</v>
      </c>
      <c r="E257" s="22" t="s">
        <v>4757</v>
      </c>
      <c r="F257" s="22" t="s">
        <v>4758</v>
      </c>
      <c r="G257" s="22" t="s">
        <v>4724</v>
      </c>
      <c r="H257" s="22" t="s">
        <v>4725</v>
      </c>
      <c r="I257" s="22" t="s">
        <v>1139</v>
      </c>
      <c r="J257" s="22" t="s">
        <v>4726</v>
      </c>
    </row>
    <row r="258" customFormat="false" ht="15" hidden="false" customHeight="false" outlineLevel="0" collapsed="false">
      <c r="A258" s="4" t="n">
        <v>1</v>
      </c>
      <c r="B258" s="4" t="s">
        <v>4987</v>
      </c>
      <c r="C258" s="4" t="s">
        <v>4988</v>
      </c>
      <c r="D258" s="4" t="s">
        <v>4989</v>
      </c>
      <c r="E258" s="4" t="s">
        <v>4990</v>
      </c>
      <c r="F258" s="4" t="s">
        <v>4991</v>
      </c>
      <c r="G258" s="4" t="s">
        <v>4992</v>
      </c>
      <c r="H258" s="4" t="s">
        <v>4993</v>
      </c>
      <c r="I258" s="4" t="n">
        <v>6.3</v>
      </c>
      <c r="J258" s="4" t="s">
        <v>4734</v>
      </c>
    </row>
    <row r="259" customFormat="false" ht="15" hidden="false" customHeight="false" outlineLevel="0" collapsed="false">
      <c r="A259" s="4" t="n">
        <v>2</v>
      </c>
      <c r="B259" s="4" t="s">
        <v>4994</v>
      </c>
      <c r="C259" s="4" t="s">
        <v>4995</v>
      </c>
      <c r="D259" s="4" t="s">
        <v>4744</v>
      </c>
      <c r="E259" s="4" t="s">
        <v>4996</v>
      </c>
      <c r="F259" s="4" t="s">
        <v>4997</v>
      </c>
      <c r="G259" s="4" t="s">
        <v>4998</v>
      </c>
      <c r="H259" s="4" t="s">
        <v>4999</v>
      </c>
      <c r="I259" s="4" t="n">
        <v>6.2</v>
      </c>
      <c r="J259" s="4" t="s">
        <v>4663</v>
      </c>
    </row>
    <row r="262" customFormat="false" ht="15" hidden="false" customHeight="false" outlineLevel="0" collapsed="false">
      <c r="A262" s="17" t="s">
        <v>5000</v>
      </c>
      <c r="B262" s="18"/>
      <c r="C262" s="18"/>
      <c r="D262" s="18"/>
      <c r="E262" s="18"/>
      <c r="F262" s="18"/>
      <c r="G262" s="18"/>
      <c r="H262" s="18"/>
      <c r="I262" s="18"/>
      <c r="J262" s="18"/>
    </row>
    <row r="263" customFormat="false" ht="15" hidden="false" customHeight="false" outlineLevel="0" collapsed="false">
      <c r="A263" s="19" t="s">
        <v>5001</v>
      </c>
    </row>
    <row r="264" customFormat="false" ht="15" hidden="false" customHeight="false" outlineLevel="0" collapsed="false">
      <c r="A264" s="19" t="s">
        <v>5002</v>
      </c>
    </row>
    <row r="265" customFormat="false" ht="15" hidden="false" customHeight="false" outlineLevel="0" collapsed="false">
      <c r="A265" s="20" t="s">
        <v>1193</v>
      </c>
    </row>
    <row r="266" customFormat="false" ht="15" hidden="false" customHeight="false" outlineLevel="0" collapsed="false">
      <c r="A266" s="21" t="s">
        <v>4718</v>
      </c>
    </row>
    <row r="267" customFormat="false" ht="15" hidden="false" customHeight="false" outlineLevel="0" collapsed="false">
      <c r="A267" s="21" t="s">
        <v>4719</v>
      </c>
    </row>
    <row r="268" customFormat="false" ht="15" hidden="false" customHeight="false" outlineLevel="0" collapsed="false">
      <c r="A268" s="22" t="s">
        <v>4583</v>
      </c>
      <c r="B268" s="22" t="s">
        <v>2066</v>
      </c>
      <c r="C268" s="22" t="s">
        <v>4721</v>
      </c>
      <c r="D268" s="22" t="s">
        <v>1630</v>
      </c>
      <c r="E268" s="22" t="s">
        <v>4757</v>
      </c>
      <c r="F268" s="22" t="s">
        <v>4758</v>
      </c>
      <c r="G268" s="22" t="s">
        <v>4724</v>
      </c>
      <c r="H268" s="22" t="s">
        <v>4725</v>
      </c>
      <c r="I268" s="22" t="s">
        <v>1139</v>
      </c>
      <c r="J268" s="22" t="s">
        <v>4726</v>
      </c>
    </row>
    <row r="269" customFormat="false" ht="15" hidden="false" customHeight="false" outlineLevel="0" collapsed="false">
      <c r="A269" s="4" t="n">
        <v>1</v>
      </c>
      <c r="B269" s="4" t="s">
        <v>5003</v>
      </c>
      <c r="C269" s="4" t="s">
        <v>5004</v>
      </c>
      <c r="D269" s="4" t="s">
        <v>4875</v>
      </c>
      <c r="E269" s="4" t="s">
        <v>4762</v>
      </c>
      <c r="F269" s="4" t="s">
        <v>5005</v>
      </c>
      <c r="G269" s="4" t="s">
        <v>1296</v>
      </c>
      <c r="H269" s="4" t="s">
        <v>5006</v>
      </c>
      <c r="I269" s="4" t="n">
        <v>5.3</v>
      </c>
      <c r="J269" s="4" t="s">
        <v>4810</v>
      </c>
    </row>
    <row r="270" customFormat="false" ht="15" hidden="false" customHeight="false" outlineLevel="0" collapsed="false">
      <c r="A270" s="4" t="n">
        <v>2</v>
      </c>
      <c r="B270" s="4" t="s">
        <v>5007</v>
      </c>
      <c r="C270" s="4" t="s">
        <v>5008</v>
      </c>
      <c r="D270" s="4" t="s">
        <v>4875</v>
      </c>
      <c r="E270" s="4" t="s">
        <v>5009</v>
      </c>
      <c r="F270" s="4" t="s">
        <v>5010</v>
      </c>
      <c r="G270" s="4" t="s">
        <v>5011</v>
      </c>
      <c r="H270" s="4" t="s">
        <v>5012</v>
      </c>
      <c r="I270" s="4" t="n">
        <v>5</v>
      </c>
      <c r="J270" s="4" t="s">
        <v>4662</v>
      </c>
    </row>
    <row r="273" customFormat="false" ht="15" hidden="false" customHeight="false" outlineLevel="0" collapsed="false">
      <c r="A273" s="17" t="s">
        <v>5013</v>
      </c>
      <c r="B273" s="18"/>
      <c r="C273" s="18"/>
      <c r="D273" s="18"/>
      <c r="E273" s="18"/>
      <c r="F273" s="18"/>
      <c r="G273" s="18"/>
      <c r="H273" s="18"/>
      <c r="I273" s="18"/>
      <c r="J273" s="18"/>
    </row>
    <row r="274" customFormat="false" ht="15" hidden="false" customHeight="false" outlineLevel="0" collapsed="false">
      <c r="A274" s="19" t="s">
        <v>5014</v>
      </c>
    </row>
    <row r="275" customFormat="false" ht="15" hidden="false" customHeight="false" outlineLevel="0" collapsed="false">
      <c r="A275" s="19" t="s">
        <v>5015</v>
      </c>
    </row>
    <row r="276" customFormat="false" ht="15" hidden="false" customHeight="false" outlineLevel="0" collapsed="false">
      <c r="A276" s="20" t="s">
        <v>1193</v>
      </c>
    </row>
    <row r="277" customFormat="false" ht="15" hidden="false" customHeight="false" outlineLevel="0" collapsed="false">
      <c r="A277" s="21" t="s">
        <v>4718</v>
      </c>
    </row>
    <row r="278" customFormat="false" ht="15" hidden="false" customHeight="false" outlineLevel="0" collapsed="false">
      <c r="A278" s="21" t="s">
        <v>4719</v>
      </c>
    </row>
    <row r="279" customFormat="false" ht="15" hidden="false" customHeight="false" outlineLevel="0" collapsed="false">
      <c r="A279" s="22" t="s">
        <v>4583</v>
      </c>
      <c r="B279" s="22" t="s">
        <v>2066</v>
      </c>
      <c r="C279" s="22" t="s">
        <v>4721</v>
      </c>
      <c r="D279" s="22" t="s">
        <v>1630</v>
      </c>
      <c r="E279" s="22" t="s">
        <v>4757</v>
      </c>
      <c r="F279" s="22" t="s">
        <v>4758</v>
      </c>
      <c r="G279" s="22" t="s">
        <v>4724</v>
      </c>
      <c r="H279" s="22" t="s">
        <v>4725</v>
      </c>
      <c r="I279" s="22" t="s">
        <v>1139</v>
      </c>
      <c r="J279" s="22" t="s">
        <v>4726</v>
      </c>
    </row>
    <row r="280" customFormat="false" ht="15" hidden="false" customHeight="false" outlineLevel="0" collapsed="false">
      <c r="A280" s="4" t="n">
        <v>1</v>
      </c>
      <c r="B280" s="4" t="s">
        <v>5016</v>
      </c>
      <c r="C280" s="4" t="s">
        <v>5017</v>
      </c>
      <c r="D280" s="4" t="s">
        <v>4880</v>
      </c>
      <c r="E280" s="4" t="s">
        <v>4762</v>
      </c>
      <c r="F280" s="4" t="s">
        <v>5018</v>
      </c>
      <c r="G280" s="4" t="s">
        <v>4752</v>
      </c>
      <c r="H280" s="4" t="s">
        <v>5019</v>
      </c>
      <c r="I280" s="4" t="n">
        <v>5.7</v>
      </c>
      <c r="J280" s="4" t="s">
        <v>4663</v>
      </c>
    </row>
    <row r="281" customFormat="false" ht="15" hidden="false" customHeight="false" outlineLevel="0" collapsed="false">
      <c r="A281" s="4" t="n">
        <v>2</v>
      </c>
      <c r="B281" s="4" t="s">
        <v>5020</v>
      </c>
      <c r="C281" s="4" t="s">
        <v>5021</v>
      </c>
      <c r="D281" s="4" t="s">
        <v>4875</v>
      </c>
      <c r="E281" s="4" t="s">
        <v>4738</v>
      </c>
      <c r="F281" s="4" t="s">
        <v>5022</v>
      </c>
      <c r="G281" s="4" t="s">
        <v>4752</v>
      </c>
      <c r="H281" s="4" t="s">
        <v>5023</v>
      </c>
      <c r="I281" s="4" t="n">
        <v>5.2</v>
      </c>
      <c r="J281" s="4" t="s">
        <v>4662</v>
      </c>
    </row>
    <row r="284" customFormat="false" ht="15" hidden="false" customHeight="false" outlineLevel="0" collapsed="false">
      <c r="A284" s="17" t="s">
        <v>5024</v>
      </c>
      <c r="B284" s="18"/>
      <c r="C284" s="18"/>
      <c r="D284" s="18"/>
      <c r="E284" s="18"/>
      <c r="F284" s="18"/>
    </row>
    <row r="285" customFormat="false" ht="15" hidden="false" customHeight="false" outlineLevel="0" collapsed="false">
      <c r="A285" s="19" t="s">
        <v>5025</v>
      </c>
    </row>
    <row r="286" customFormat="false" ht="15" hidden="false" customHeight="false" outlineLevel="0" collapsed="false">
      <c r="A286" s="20" t="s">
        <v>1193</v>
      </c>
    </row>
    <row r="287" customFormat="false" ht="15" hidden="false" customHeight="false" outlineLevel="0" collapsed="false">
      <c r="A287" s="21" t="s">
        <v>4718</v>
      </c>
    </row>
    <row r="288" customFormat="false" ht="15" hidden="false" customHeight="false" outlineLevel="0" collapsed="false">
      <c r="A288" s="21" t="s">
        <v>4719</v>
      </c>
    </row>
    <row r="289" customFormat="false" ht="15" hidden="false" customHeight="false" outlineLevel="0" collapsed="false">
      <c r="A289" s="22" t="s">
        <v>1423</v>
      </c>
      <c r="B289" s="22" t="s">
        <v>4720</v>
      </c>
      <c r="C289" s="22" t="s">
        <v>5026</v>
      </c>
      <c r="D289" s="22" t="s">
        <v>4725</v>
      </c>
      <c r="E289" s="22" t="s">
        <v>1139</v>
      </c>
      <c r="F289" s="22" t="s">
        <v>4726</v>
      </c>
    </row>
    <row r="290" customFormat="false" ht="23.85" hidden="false" customHeight="false" outlineLevel="0" collapsed="false">
      <c r="A290" s="4" t="s">
        <v>5027</v>
      </c>
      <c r="B290" s="4" t="s">
        <v>5028</v>
      </c>
      <c r="C290" s="4" t="s">
        <v>5029</v>
      </c>
      <c r="D290" s="4" t="s">
        <v>5030</v>
      </c>
      <c r="E290" s="4" t="n">
        <v>6.4</v>
      </c>
      <c r="F290" s="4" t="s">
        <v>4734</v>
      </c>
    </row>
    <row r="291" customFormat="false" ht="15" hidden="false" customHeight="false" outlineLevel="0" collapsed="false">
      <c r="A291" s="4" t="s">
        <v>5031</v>
      </c>
      <c r="B291" s="4" t="s">
        <v>5032</v>
      </c>
      <c r="C291" s="4" t="s">
        <v>5033</v>
      </c>
      <c r="D291" s="4" t="s">
        <v>5034</v>
      </c>
      <c r="E291" s="4" t="n">
        <v>5.3</v>
      </c>
      <c r="F291" s="4" t="s">
        <v>4663</v>
      </c>
    </row>
    <row r="292" customFormat="false" ht="15" hidden="false" customHeight="false" outlineLevel="0" collapsed="false">
      <c r="A292" s="4" t="s">
        <v>5035</v>
      </c>
      <c r="B292" s="4" t="s">
        <v>5036</v>
      </c>
      <c r="C292" s="4" t="s">
        <v>5037</v>
      </c>
      <c r="D292" s="4" t="s">
        <v>5038</v>
      </c>
      <c r="E292" s="4" t="n">
        <v>5.3</v>
      </c>
      <c r="F292" s="4" t="s">
        <v>4663</v>
      </c>
    </row>
    <row r="293" customFormat="false" ht="15" hidden="false" customHeight="false" outlineLevel="0" collapsed="false">
      <c r="A293" s="4" t="s">
        <v>5039</v>
      </c>
      <c r="B293" s="4" t="s">
        <v>5040</v>
      </c>
      <c r="C293" s="4" t="s">
        <v>5041</v>
      </c>
      <c r="D293" s="4" t="s">
        <v>5042</v>
      </c>
      <c r="E293" s="4" t="n">
        <v>5.1</v>
      </c>
      <c r="F293" s="4" t="s">
        <v>4662</v>
      </c>
    </row>
    <row r="294" customFormat="false" ht="15" hidden="false" customHeight="false" outlineLevel="0" collapsed="false">
      <c r="A294" s="4" t="s">
        <v>5043</v>
      </c>
      <c r="B294" s="4" t="s">
        <v>5044</v>
      </c>
      <c r="C294" s="4" t="s">
        <v>5045</v>
      </c>
      <c r="D294" s="4" t="s">
        <v>5046</v>
      </c>
      <c r="E294" s="4" t="n">
        <v>4.9</v>
      </c>
      <c r="F294" s="4" t="s">
        <v>4662</v>
      </c>
    </row>
    <row r="295" customFormat="false" ht="23.85" hidden="false" customHeight="false" outlineLevel="0" collapsed="false">
      <c r="A295" s="4" t="s">
        <v>5047</v>
      </c>
      <c r="B295" s="4" t="s">
        <v>5048</v>
      </c>
      <c r="C295" s="4" t="s">
        <v>5049</v>
      </c>
      <c r="D295" s="4" t="s">
        <v>5050</v>
      </c>
      <c r="E295" s="4" t="n">
        <v>4.8</v>
      </c>
      <c r="F295" s="4" t="s">
        <v>4662</v>
      </c>
    </row>
    <row r="296" customFormat="false" ht="15" hidden="false" customHeight="false" outlineLevel="0" collapsed="false">
      <c r="A296" s="4" t="s">
        <v>4572</v>
      </c>
      <c r="B296" s="4" t="s">
        <v>5051</v>
      </c>
      <c r="C296" s="4" t="s">
        <v>5052</v>
      </c>
      <c r="D296" s="4" t="s">
        <v>5053</v>
      </c>
      <c r="E296" s="4" t="n">
        <v>4.2</v>
      </c>
      <c r="F296" s="4" t="s">
        <v>4662</v>
      </c>
    </row>
    <row r="297" customFormat="false" ht="15" hidden="false" customHeight="false" outlineLevel="0" collapsed="false">
      <c r="A297" s="4" t="s">
        <v>5054</v>
      </c>
      <c r="B297" s="4" t="s">
        <v>5055</v>
      </c>
      <c r="C297" s="4" t="s">
        <v>5056</v>
      </c>
      <c r="D297" s="4" t="s">
        <v>5057</v>
      </c>
      <c r="E297" s="4" t="n">
        <v>4</v>
      </c>
      <c r="F297" s="4" t="s">
        <v>5058</v>
      </c>
    </row>
    <row r="300" customFormat="false" ht="15" hidden="false" customHeight="false" outlineLevel="0" collapsed="false">
      <c r="A300" s="17" t="s">
        <v>5059</v>
      </c>
      <c r="B300" s="18"/>
      <c r="C300" s="18"/>
      <c r="D300" s="18"/>
      <c r="E300" s="18"/>
      <c r="F300" s="18"/>
      <c r="G300" s="18"/>
      <c r="H300" s="18"/>
      <c r="I300" s="18"/>
      <c r="J300" s="18"/>
    </row>
    <row r="301" customFormat="false" ht="15" hidden="false" customHeight="false" outlineLevel="0" collapsed="false">
      <c r="A301" s="19" t="s">
        <v>5060</v>
      </c>
    </row>
    <row r="302" customFormat="false" ht="15" hidden="false" customHeight="false" outlineLevel="0" collapsed="false">
      <c r="A302" s="26" t="s">
        <v>2179</v>
      </c>
    </row>
    <row r="303" customFormat="false" ht="15" hidden="false" customHeight="false" outlineLevel="0" collapsed="false">
      <c r="A303" s="21" t="s">
        <v>5061</v>
      </c>
    </row>
    <row r="304" customFormat="false" ht="15" hidden="false" customHeight="false" outlineLevel="0" collapsed="false">
      <c r="A304" s="21" t="s">
        <v>5062</v>
      </c>
    </row>
    <row r="305" customFormat="false" ht="15" hidden="false" customHeight="false" outlineLevel="0" collapsed="false">
      <c r="A305" s="22" t="s">
        <v>2</v>
      </c>
      <c r="B305" s="22" t="s">
        <v>2066</v>
      </c>
      <c r="C305" s="22" t="s">
        <v>1423</v>
      </c>
      <c r="D305" s="22" t="s">
        <v>5063</v>
      </c>
      <c r="E305" s="22" t="s">
        <v>5064</v>
      </c>
      <c r="F305" s="22" t="s">
        <v>5065</v>
      </c>
      <c r="G305" s="22" t="s">
        <v>4665</v>
      </c>
      <c r="H305" s="22" t="s">
        <v>4726</v>
      </c>
      <c r="I305" s="22" t="s">
        <v>5066</v>
      </c>
      <c r="J305" s="22" t="s">
        <v>5067</v>
      </c>
    </row>
    <row r="306" customFormat="false" ht="15" hidden="false" customHeight="false" outlineLevel="0" collapsed="false">
      <c r="A306" s="4" t="n">
        <v>1</v>
      </c>
      <c r="B306" s="4" t="s">
        <v>5068</v>
      </c>
      <c r="C306" s="4" t="s">
        <v>1435</v>
      </c>
      <c r="D306" s="4" t="s">
        <v>5069</v>
      </c>
      <c r="E306" s="4" t="n">
        <v>17.1</v>
      </c>
      <c r="F306" s="4" t="n">
        <v>78.2</v>
      </c>
      <c r="G306" s="4" t="n">
        <v>7.2</v>
      </c>
      <c r="H306" s="4" t="s">
        <v>4734</v>
      </c>
      <c r="I306" s="4" t="s">
        <v>5070</v>
      </c>
      <c r="J306" s="4" t="s">
        <v>5071</v>
      </c>
    </row>
    <row r="307" customFormat="false" ht="15" hidden="false" customHeight="false" outlineLevel="0" collapsed="false">
      <c r="A307" s="4" t="n">
        <v>2</v>
      </c>
      <c r="B307" s="4" t="s">
        <v>2085</v>
      </c>
      <c r="C307" s="4" t="s">
        <v>5072</v>
      </c>
      <c r="D307" s="4" t="s">
        <v>5073</v>
      </c>
      <c r="E307" s="4" t="n">
        <v>17.69</v>
      </c>
      <c r="F307" s="4" t="n">
        <v>83.22</v>
      </c>
      <c r="G307" s="4" t="n">
        <v>6.8</v>
      </c>
      <c r="H307" s="4" t="s">
        <v>4734</v>
      </c>
      <c r="I307" s="4" t="s">
        <v>5074</v>
      </c>
      <c r="J307" s="4" t="s">
        <v>5075</v>
      </c>
    </row>
    <row r="308" customFormat="false" ht="15" hidden="false" customHeight="false" outlineLevel="0" collapsed="false">
      <c r="A308" s="4" t="n">
        <v>3</v>
      </c>
      <c r="B308" s="4" t="s">
        <v>5076</v>
      </c>
      <c r="C308" s="4" t="s">
        <v>1435</v>
      </c>
      <c r="D308" s="4" t="s">
        <v>5069</v>
      </c>
      <c r="E308" s="4" t="n">
        <v>17.44</v>
      </c>
      <c r="F308" s="4" t="n">
        <v>78.35</v>
      </c>
      <c r="G308" s="4" t="n">
        <v>6.7</v>
      </c>
      <c r="H308" s="4" t="s">
        <v>4734</v>
      </c>
      <c r="I308" s="4" t="s">
        <v>5077</v>
      </c>
      <c r="J308" s="4" t="s">
        <v>5078</v>
      </c>
    </row>
    <row r="309" customFormat="false" ht="15" hidden="false" customHeight="false" outlineLevel="0" collapsed="false">
      <c r="A309" s="4" t="n">
        <v>4</v>
      </c>
      <c r="B309" s="4" t="s">
        <v>4673</v>
      </c>
      <c r="C309" s="4" t="s">
        <v>1427</v>
      </c>
      <c r="D309" s="4" t="s">
        <v>5079</v>
      </c>
      <c r="E309" s="4" t="n">
        <v>19.03</v>
      </c>
      <c r="F309" s="4" t="n">
        <v>73.03</v>
      </c>
      <c r="G309" s="4" t="n">
        <v>6.6</v>
      </c>
      <c r="H309" s="4" t="s">
        <v>4734</v>
      </c>
      <c r="I309" s="4" t="s">
        <v>5080</v>
      </c>
      <c r="J309" s="4" t="s">
        <v>5081</v>
      </c>
    </row>
    <row r="310" customFormat="false" ht="15" hidden="false" customHeight="false" outlineLevel="0" collapsed="false">
      <c r="A310" s="4" t="n">
        <v>5</v>
      </c>
      <c r="B310" s="4" t="s">
        <v>4677</v>
      </c>
      <c r="C310" s="4" t="s">
        <v>3547</v>
      </c>
      <c r="D310" s="4" t="s">
        <v>4677</v>
      </c>
      <c r="E310" s="4" t="n">
        <v>12.3</v>
      </c>
      <c r="F310" s="4" t="n">
        <v>76.64</v>
      </c>
      <c r="G310" s="4" t="n">
        <v>6.5</v>
      </c>
      <c r="H310" s="4" t="s">
        <v>4734</v>
      </c>
      <c r="I310" s="4" t="s">
        <v>5082</v>
      </c>
      <c r="J310" s="4" t="s">
        <v>5083</v>
      </c>
    </row>
    <row r="311" customFormat="false" ht="15" hidden="false" customHeight="false" outlineLevel="0" collapsed="false">
      <c r="A311" s="4" t="n">
        <v>6</v>
      </c>
      <c r="B311" s="4" t="s">
        <v>5084</v>
      </c>
      <c r="C311" s="4" t="s">
        <v>5085</v>
      </c>
      <c r="D311" s="4" t="s">
        <v>5086</v>
      </c>
      <c r="E311" s="4" t="n">
        <v>28.47</v>
      </c>
      <c r="F311" s="4" t="n">
        <v>77.5</v>
      </c>
      <c r="G311" s="4" t="n">
        <v>6.4</v>
      </c>
      <c r="H311" s="4" t="s">
        <v>4734</v>
      </c>
      <c r="I311" s="4" t="s">
        <v>5087</v>
      </c>
      <c r="J311" s="4" t="s">
        <v>5088</v>
      </c>
    </row>
    <row r="312" customFormat="false" ht="15" hidden="false" customHeight="false" outlineLevel="0" collapsed="false">
      <c r="A312" s="4" t="n">
        <v>7</v>
      </c>
      <c r="B312" s="4" t="s">
        <v>5089</v>
      </c>
      <c r="C312" s="4" t="s">
        <v>3547</v>
      </c>
      <c r="D312" s="4" t="s">
        <v>5090</v>
      </c>
      <c r="E312" s="4" t="n">
        <v>13.07</v>
      </c>
      <c r="F312" s="4" t="n">
        <v>77.8</v>
      </c>
      <c r="G312" s="4" t="n">
        <v>6.4</v>
      </c>
      <c r="H312" s="4" t="s">
        <v>5091</v>
      </c>
      <c r="I312" s="4" t="s">
        <v>5092</v>
      </c>
      <c r="J312" s="4" t="s">
        <v>5093</v>
      </c>
    </row>
    <row r="313" customFormat="false" ht="15" hidden="false" customHeight="false" outlineLevel="0" collapsed="false">
      <c r="A313" s="4" t="n">
        <v>8</v>
      </c>
      <c r="B313" s="4" t="s">
        <v>4672</v>
      </c>
      <c r="C313" s="4" t="s">
        <v>5072</v>
      </c>
      <c r="D313" s="4" t="s">
        <v>5094</v>
      </c>
      <c r="E313" s="4" t="n">
        <v>13.53</v>
      </c>
      <c r="F313" s="4" t="n">
        <v>79.99</v>
      </c>
      <c r="G313" s="4" t="n">
        <v>6.4</v>
      </c>
      <c r="H313" s="4" t="s">
        <v>4734</v>
      </c>
      <c r="I313" s="4" t="s">
        <v>5095</v>
      </c>
      <c r="J313" s="4" t="s">
        <v>5096</v>
      </c>
    </row>
    <row r="314" customFormat="false" ht="15" hidden="false" customHeight="false" outlineLevel="0" collapsed="false">
      <c r="A314" s="4" t="n">
        <v>9</v>
      </c>
      <c r="B314" s="4" t="s">
        <v>4687</v>
      </c>
      <c r="C314" s="4" t="s">
        <v>5027</v>
      </c>
      <c r="D314" s="4" t="s">
        <v>5097</v>
      </c>
      <c r="E314" s="4" t="n">
        <v>21.16</v>
      </c>
      <c r="F314" s="4" t="n">
        <v>81.79</v>
      </c>
      <c r="G314" s="4" t="n">
        <v>6.4</v>
      </c>
      <c r="H314" s="4" t="s">
        <v>4734</v>
      </c>
      <c r="I314" s="4" t="s">
        <v>5098</v>
      </c>
      <c r="J314" s="4" t="s">
        <v>5099</v>
      </c>
    </row>
    <row r="315" customFormat="false" ht="15" hidden="false" customHeight="false" outlineLevel="0" collapsed="false">
      <c r="A315" s="4" t="n">
        <v>10</v>
      </c>
      <c r="B315" s="4" t="s">
        <v>4679</v>
      </c>
      <c r="C315" s="4" t="s">
        <v>1435</v>
      </c>
      <c r="D315" s="4" t="s">
        <v>5100</v>
      </c>
      <c r="E315" s="4" t="n">
        <v>17.97</v>
      </c>
      <c r="F315" s="4" t="n">
        <v>79.59</v>
      </c>
      <c r="G315" s="4" t="n">
        <v>6.4</v>
      </c>
      <c r="H315" s="4" t="s">
        <v>4734</v>
      </c>
      <c r="I315" s="4" t="s">
        <v>5101</v>
      </c>
      <c r="J315" s="4" t="s">
        <v>5102</v>
      </c>
    </row>
    <row r="316" customFormat="false" ht="15" hidden="false" customHeight="false" outlineLevel="0" collapsed="false">
      <c r="A316" s="4" t="n">
        <v>11</v>
      </c>
      <c r="B316" s="4" t="s">
        <v>1409</v>
      </c>
      <c r="C316" s="4" t="s">
        <v>1427</v>
      </c>
      <c r="D316" s="4" t="s">
        <v>1409</v>
      </c>
      <c r="E316" s="4" t="n">
        <v>18.52</v>
      </c>
      <c r="F316" s="4" t="n">
        <v>73.86</v>
      </c>
      <c r="G316" s="4" t="n">
        <v>6.3</v>
      </c>
      <c r="H316" s="4" t="s">
        <v>4734</v>
      </c>
      <c r="I316" s="4" t="s">
        <v>5103</v>
      </c>
      <c r="J316" s="4" t="s">
        <v>3571</v>
      </c>
    </row>
    <row r="317" customFormat="false" ht="15" hidden="false" customHeight="false" outlineLevel="0" collapsed="false">
      <c r="A317" s="4" t="n">
        <v>12</v>
      </c>
      <c r="B317" s="4" t="s">
        <v>4681</v>
      </c>
      <c r="C317" s="4" t="s">
        <v>1427</v>
      </c>
      <c r="D317" s="4" t="s">
        <v>4681</v>
      </c>
      <c r="E317" s="4" t="n">
        <v>21.15</v>
      </c>
      <c r="F317" s="4" t="n">
        <v>79.09</v>
      </c>
      <c r="G317" s="4" t="n">
        <v>6.3</v>
      </c>
      <c r="H317" s="4" t="s">
        <v>4734</v>
      </c>
      <c r="I317" s="4" t="s">
        <v>5104</v>
      </c>
      <c r="J317" s="4" t="s">
        <v>5105</v>
      </c>
    </row>
    <row r="318" customFormat="false" ht="15" hidden="false" customHeight="false" outlineLevel="0" collapsed="false">
      <c r="A318" s="4" t="n">
        <v>13</v>
      </c>
      <c r="B318" s="4" t="s">
        <v>4688</v>
      </c>
      <c r="C318" s="4" t="s">
        <v>4603</v>
      </c>
      <c r="D318" s="4" t="s">
        <v>5106</v>
      </c>
      <c r="E318" s="4" t="n">
        <v>9.93</v>
      </c>
      <c r="F318" s="4" t="n">
        <v>76.27</v>
      </c>
      <c r="G318" s="4" t="n">
        <v>6.3</v>
      </c>
      <c r="H318" s="4" t="s">
        <v>4734</v>
      </c>
      <c r="I318" s="4" t="s">
        <v>5107</v>
      </c>
      <c r="J318" s="4" t="s">
        <v>5108</v>
      </c>
    </row>
    <row r="319" customFormat="false" ht="15" hidden="false" customHeight="false" outlineLevel="0" collapsed="false">
      <c r="A319" s="4" t="n">
        <v>14</v>
      </c>
      <c r="B319" s="4" t="s">
        <v>4666</v>
      </c>
      <c r="C319" s="4" t="s">
        <v>5072</v>
      </c>
      <c r="D319" s="4" t="s">
        <v>4666</v>
      </c>
      <c r="E319" s="4" t="n">
        <v>14.68</v>
      </c>
      <c r="F319" s="4" t="n">
        <v>77.6</v>
      </c>
      <c r="G319" s="4" t="n">
        <v>6.3</v>
      </c>
      <c r="H319" s="4" t="s">
        <v>5091</v>
      </c>
      <c r="I319" s="4" t="s">
        <v>5109</v>
      </c>
      <c r="J319" s="4" t="s">
        <v>5110</v>
      </c>
    </row>
    <row r="320" customFormat="false" ht="15" hidden="false" customHeight="false" outlineLevel="0" collapsed="false">
      <c r="A320" s="4" t="n">
        <v>15</v>
      </c>
      <c r="B320" s="4" t="s">
        <v>4694</v>
      </c>
      <c r="C320" s="4" t="s">
        <v>4551</v>
      </c>
      <c r="D320" s="4" t="s">
        <v>4694</v>
      </c>
      <c r="E320" s="4" t="n">
        <v>21.86</v>
      </c>
      <c r="F320" s="4" t="n">
        <v>84.01</v>
      </c>
      <c r="G320" s="4" t="n">
        <v>6.3</v>
      </c>
      <c r="H320" s="4" t="s">
        <v>4734</v>
      </c>
      <c r="I320" s="4" t="s">
        <v>5111</v>
      </c>
      <c r="J320" s="4" t="s">
        <v>5112</v>
      </c>
    </row>
    <row r="321" customFormat="false" ht="15" hidden="false" customHeight="false" outlineLevel="0" collapsed="false">
      <c r="A321" s="4" t="n">
        <v>16</v>
      </c>
      <c r="B321" s="4" t="s">
        <v>4705</v>
      </c>
      <c r="C321" s="4" t="s">
        <v>4551</v>
      </c>
      <c r="D321" s="4" t="s">
        <v>5113</v>
      </c>
      <c r="E321" s="4" t="n">
        <v>20.3</v>
      </c>
      <c r="F321" s="4" t="n">
        <v>85.82</v>
      </c>
      <c r="G321" s="4" t="n">
        <v>6.2</v>
      </c>
      <c r="H321" s="4" t="s">
        <v>4663</v>
      </c>
      <c r="I321" s="4" t="s">
        <v>3571</v>
      </c>
      <c r="J321" s="4" t="s">
        <v>5075</v>
      </c>
    </row>
    <row r="322" customFormat="false" ht="15" hidden="false" customHeight="false" outlineLevel="0" collapsed="false">
      <c r="A322" s="4" t="n">
        <v>17</v>
      </c>
      <c r="B322" s="4" t="s">
        <v>4676</v>
      </c>
      <c r="C322" s="4" t="s">
        <v>5072</v>
      </c>
      <c r="D322" s="4" t="s">
        <v>5114</v>
      </c>
      <c r="E322" s="4" t="n">
        <v>16.51</v>
      </c>
      <c r="F322" s="4" t="n">
        <v>80.52</v>
      </c>
      <c r="G322" s="4" t="n">
        <v>6.2</v>
      </c>
      <c r="H322" s="4" t="s">
        <v>4663</v>
      </c>
      <c r="I322" s="4" t="s">
        <v>5108</v>
      </c>
      <c r="J322" s="4" t="s">
        <v>4585</v>
      </c>
    </row>
    <row r="323" customFormat="false" ht="15" hidden="false" customHeight="false" outlineLevel="0" collapsed="false">
      <c r="A323" s="4" t="n">
        <v>18</v>
      </c>
      <c r="B323" s="4" t="s">
        <v>5115</v>
      </c>
      <c r="C323" s="4" t="s">
        <v>3547</v>
      </c>
      <c r="D323" s="4" t="s">
        <v>5116</v>
      </c>
      <c r="E323" s="4" t="n">
        <v>12.97</v>
      </c>
      <c r="F323" s="4" t="n">
        <v>77.59</v>
      </c>
      <c r="G323" s="4" t="n">
        <v>6.1</v>
      </c>
      <c r="H323" s="4" t="s">
        <v>5117</v>
      </c>
      <c r="I323" s="4" t="s">
        <v>5118</v>
      </c>
      <c r="J323" s="4" t="s">
        <v>5119</v>
      </c>
    </row>
    <row r="324" customFormat="false" ht="15" hidden="false" customHeight="false" outlineLevel="0" collapsed="false">
      <c r="A324" s="4" t="n">
        <v>19</v>
      </c>
      <c r="B324" s="4" t="s">
        <v>4680</v>
      </c>
      <c r="C324" s="4" t="s">
        <v>3547</v>
      </c>
      <c r="D324" s="4" t="s">
        <v>5120</v>
      </c>
      <c r="E324" s="4" t="n">
        <v>12.91</v>
      </c>
      <c r="F324" s="4" t="n">
        <v>74.86</v>
      </c>
      <c r="G324" s="4" t="n">
        <v>6.1</v>
      </c>
      <c r="H324" s="4" t="s">
        <v>4663</v>
      </c>
      <c r="I324" s="4" t="s">
        <v>5121</v>
      </c>
      <c r="J324" s="4" t="s">
        <v>5122</v>
      </c>
    </row>
    <row r="325" customFormat="false" ht="15" hidden="false" customHeight="false" outlineLevel="0" collapsed="false">
      <c r="A325" s="4" t="n">
        <v>20</v>
      </c>
      <c r="B325" s="4" t="s">
        <v>5123</v>
      </c>
      <c r="C325" s="4" t="s">
        <v>5085</v>
      </c>
      <c r="D325" s="4" t="s">
        <v>5086</v>
      </c>
      <c r="E325" s="4" t="n">
        <v>28.54</v>
      </c>
      <c r="F325" s="4" t="n">
        <v>77.39</v>
      </c>
      <c r="G325" s="4" t="n">
        <v>6.1</v>
      </c>
      <c r="H325" s="4" t="s">
        <v>4663</v>
      </c>
      <c r="I325" s="4" t="s">
        <v>5124</v>
      </c>
      <c r="J325" s="4" t="s">
        <v>5125</v>
      </c>
    </row>
    <row r="326" customFormat="false" ht="15" hidden="false" customHeight="false" outlineLevel="0" collapsed="false">
      <c r="A326" s="4" t="n">
        <v>21</v>
      </c>
      <c r="B326" s="4" t="s">
        <v>5126</v>
      </c>
      <c r="C326" s="4" t="s">
        <v>1451</v>
      </c>
      <c r="D326" s="4" t="s">
        <v>5127</v>
      </c>
      <c r="E326" s="4" t="n">
        <v>23.16</v>
      </c>
      <c r="F326" s="4" t="n">
        <v>72.68</v>
      </c>
      <c r="G326" s="4" t="n">
        <v>6</v>
      </c>
      <c r="H326" s="4" t="s">
        <v>4663</v>
      </c>
      <c r="I326" s="4" t="s">
        <v>5128</v>
      </c>
      <c r="J326" s="4" t="s">
        <v>4407</v>
      </c>
    </row>
    <row r="327" customFormat="false" ht="15" hidden="false" customHeight="false" outlineLevel="0" collapsed="false">
      <c r="A327" s="4" t="n">
        <v>22</v>
      </c>
      <c r="B327" s="4" t="s">
        <v>5129</v>
      </c>
      <c r="C327" s="4" t="s">
        <v>5085</v>
      </c>
      <c r="D327" s="4" t="s">
        <v>5086</v>
      </c>
      <c r="E327" s="4" t="n">
        <v>28.17</v>
      </c>
      <c r="F327" s="4" t="n">
        <v>77.6</v>
      </c>
      <c r="G327" s="4" t="n">
        <v>6</v>
      </c>
      <c r="H327" s="4" t="s">
        <v>4663</v>
      </c>
      <c r="I327" s="4" t="s">
        <v>4587</v>
      </c>
      <c r="J327" s="4" t="s">
        <v>5130</v>
      </c>
    </row>
    <row r="328" customFormat="false" ht="15" hidden="false" customHeight="false" outlineLevel="0" collapsed="false">
      <c r="A328" s="4" t="n">
        <v>23</v>
      </c>
      <c r="B328" s="4" t="s">
        <v>4696</v>
      </c>
      <c r="C328" s="4" t="s">
        <v>4603</v>
      </c>
      <c r="D328" s="4" t="s">
        <v>4696</v>
      </c>
      <c r="E328" s="4" t="n">
        <v>8.52</v>
      </c>
      <c r="F328" s="4" t="n">
        <v>76.94</v>
      </c>
      <c r="G328" s="4" t="n">
        <v>6</v>
      </c>
      <c r="H328" s="4" t="s">
        <v>4663</v>
      </c>
      <c r="I328" s="4" t="s">
        <v>5131</v>
      </c>
      <c r="J328" s="4" t="s">
        <v>5132</v>
      </c>
    </row>
    <row r="329" customFormat="false" ht="15" hidden="false" customHeight="false" outlineLevel="0" collapsed="false">
      <c r="A329" s="4" t="n">
        <v>24</v>
      </c>
      <c r="B329" s="4" t="s">
        <v>5133</v>
      </c>
      <c r="C329" s="4" t="s">
        <v>1451</v>
      </c>
      <c r="D329" s="4" t="s">
        <v>5133</v>
      </c>
      <c r="E329" s="4" t="n">
        <v>23.02</v>
      </c>
      <c r="F329" s="4" t="n">
        <v>72.57</v>
      </c>
      <c r="G329" s="4" t="n">
        <v>5.9</v>
      </c>
      <c r="H329" s="4" t="s">
        <v>4663</v>
      </c>
      <c r="I329" s="4" t="s">
        <v>5134</v>
      </c>
      <c r="J329" s="4" t="s">
        <v>1630</v>
      </c>
    </row>
    <row r="330" customFormat="false" ht="15" hidden="false" customHeight="false" outlineLevel="0" collapsed="false">
      <c r="A330" s="4" t="n">
        <v>25</v>
      </c>
      <c r="B330" s="4" t="s">
        <v>4675</v>
      </c>
      <c r="C330" s="4" t="s">
        <v>1427</v>
      </c>
      <c r="D330" s="4" t="s">
        <v>4675</v>
      </c>
      <c r="E330" s="4" t="n">
        <v>20</v>
      </c>
      <c r="F330" s="4" t="n">
        <v>73.79</v>
      </c>
      <c r="G330" s="4" t="n">
        <v>5.8</v>
      </c>
      <c r="H330" s="4" t="s">
        <v>4663</v>
      </c>
      <c r="I330" s="4" t="s">
        <v>5135</v>
      </c>
      <c r="J330" s="4" t="s">
        <v>3571</v>
      </c>
    </row>
    <row r="331" customFormat="false" ht="15" hidden="false" customHeight="false" outlineLevel="0" collapsed="false">
      <c r="A331" s="4" t="n">
        <v>26</v>
      </c>
      <c r="B331" s="4" t="s">
        <v>4671</v>
      </c>
      <c r="C331" s="4" t="s">
        <v>1431</v>
      </c>
      <c r="D331" s="4" t="s">
        <v>5136</v>
      </c>
      <c r="E331" s="4" t="n">
        <v>12.74</v>
      </c>
      <c r="F331" s="4" t="n">
        <v>77.83</v>
      </c>
      <c r="G331" s="4" t="n">
        <v>5.7</v>
      </c>
      <c r="H331" s="4" t="s">
        <v>4663</v>
      </c>
      <c r="I331" s="4" t="s">
        <v>4764</v>
      </c>
      <c r="J331" s="4" t="s">
        <v>5137</v>
      </c>
    </row>
    <row r="332" customFormat="false" ht="15" hidden="false" customHeight="false" outlineLevel="0" collapsed="false">
      <c r="A332" s="4" t="n">
        <v>27</v>
      </c>
      <c r="B332" s="4" t="s">
        <v>4683</v>
      </c>
      <c r="C332" s="4" t="s">
        <v>5138</v>
      </c>
      <c r="D332" s="4" t="s">
        <v>4683</v>
      </c>
      <c r="E332" s="4" t="n">
        <v>23.26</v>
      </c>
      <c r="F332" s="4" t="n">
        <v>77.41</v>
      </c>
      <c r="G332" s="4" t="n">
        <v>5.7</v>
      </c>
      <c r="H332" s="4" t="s">
        <v>4663</v>
      </c>
      <c r="I332" s="4" t="s">
        <v>5139</v>
      </c>
      <c r="J332" s="4" t="s">
        <v>5140</v>
      </c>
    </row>
    <row r="333" customFormat="false" ht="15" hidden="false" customHeight="false" outlineLevel="0" collapsed="false">
      <c r="A333" s="4" t="n">
        <v>28</v>
      </c>
      <c r="B333" s="4" t="s">
        <v>1397</v>
      </c>
      <c r="C333" s="4" t="s">
        <v>1431</v>
      </c>
      <c r="D333" s="4" t="s">
        <v>5141</v>
      </c>
      <c r="E333" s="4" t="n">
        <v>13.08</v>
      </c>
      <c r="F333" s="4" t="n">
        <v>80.27</v>
      </c>
      <c r="G333" s="4" t="n">
        <v>5.5</v>
      </c>
      <c r="H333" s="4" t="s">
        <v>5117</v>
      </c>
      <c r="I333" s="4" t="s">
        <v>5142</v>
      </c>
      <c r="J333" s="4" t="s">
        <v>5143</v>
      </c>
    </row>
    <row r="334" customFormat="false" ht="15" hidden="false" customHeight="false" outlineLevel="0" collapsed="false">
      <c r="A334" s="4" t="n">
        <v>29</v>
      </c>
      <c r="B334" s="4" t="s">
        <v>5144</v>
      </c>
      <c r="C334" s="4" t="s">
        <v>4539</v>
      </c>
      <c r="D334" s="4" t="s">
        <v>5144</v>
      </c>
      <c r="E334" s="4" t="n">
        <v>28.46</v>
      </c>
      <c r="F334" s="4" t="n">
        <v>77.03</v>
      </c>
      <c r="G334" s="4" t="n">
        <v>5.5</v>
      </c>
      <c r="H334" s="4" t="s">
        <v>5117</v>
      </c>
      <c r="I334" s="4" t="s">
        <v>4724</v>
      </c>
      <c r="J334" s="4" t="s">
        <v>5145</v>
      </c>
    </row>
    <row r="335" customFormat="false" ht="15" hidden="false" customHeight="false" outlineLevel="0" collapsed="false">
      <c r="A335" s="4" t="n">
        <v>30</v>
      </c>
      <c r="B335" s="4" t="s">
        <v>5146</v>
      </c>
      <c r="C335" s="4" t="s">
        <v>5085</v>
      </c>
      <c r="D335" s="4" t="s">
        <v>5146</v>
      </c>
      <c r="E335" s="4" t="n">
        <v>26.85</v>
      </c>
      <c r="F335" s="4" t="n">
        <v>80.95</v>
      </c>
      <c r="G335" s="4" t="n">
        <v>5.5</v>
      </c>
      <c r="H335" s="4" t="s">
        <v>4663</v>
      </c>
      <c r="I335" s="4" t="s">
        <v>1424</v>
      </c>
      <c r="J335" s="4" t="s">
        <v>5110</v>
      </c>
    </row>
    <row r="336" customFormat="false" ht="15" hidden="false" customHeight="false" outlineLevel="0" collapsed="false">
      <c r="A336" s="4" t="n">
        <v>31</v>
      </c>
      <c r="B336" s="4" t="s">
        <v>4684</v>
      </c>
      <c r="C336" s="4" t="s">
        <v>1431</v>
      </c>
      <c r="D336" s="4" t="s">
        <v>4684</v>
      </c>
      <c r="E336" s="4" t="n">
        <v>11.02</v>
      </c>
      <c r="F336" s="4" t="n">
        <v>76.96</v>
      </c>
      <c r="G336" s="4" t="n">
        <v>5.4</v>
      </c>
      <c r="H336" s="4" t="s">
        <v>4663</v>
      </c>
      <c r="I336" s="4" t="s">
        <v>5147</v>
      </c>
      <c r="J336" s="4" t="s">
        <v>1424</v>
      </c>
    </row>
    <row r="337" customFormat="false" ht="15" hidden="false" customHeight="false" outlineLevel="0" collapsed="false">
      <c r="A337" s="4" t="n">
        <v>32</v>
      </c>
      <c r="B337" s="4" t="s">
        <v>5148</v>
      </c>
      <c r="C337" s="4" t="s">
        <v>1451</v>
      </c>
      <c r="D337" s="4" t="s">
        <v>5148</v>
      </c>
      <c r="E337" s="4" t="n">
        <v>22.47</v>
      </c>
      <c r="F337" s="4" t="n">
        <v>70.06</v>
      </c>
      <c r="G337" s="4" t="n">
        <v>5.3</v>
      </c>
      <c r="H337" s="4" t="s">
        <v>4663</v>
      </c>
      <c r="I337" s="4" t="s">
        <v>5149</v>
      </c>
      <c r="J337" s="4" t="s">
        <v>4585</v>
      </c>
    </row>
    <row r="338" customFormat="false" ht="15" hidden="false" customHeight="false" outlineLevel="0" collapsed="false">
      <c r="A338" s="4" t="n">
        <v>33</v>
      </c>
      <c r="B338" s="4" t="s">
        <v>5150</v>
      </c>
      <c r="C338" s="4" t="s">
        <v>4557</v>
      </c>
      <c r="D338" s="4" t="s">
        <v>5150</v>
      </c>
      <c r="E338" s="4" t="n">
        <v>26.91</v>
      </c>
      <c r="F338" s="4" t="n">
        <v>75.79</v>
      </c>
      <c r="G338" s="4" t="n">
        <v>5.3</v>
      </c>
      <c r="H338" s="4" t="s">
        <v>5117</v>
      </c>
      <c r="I338" s="4" t="s">
        <v>5151</v>
      </c>
      <c r="J338" s="4" t="s">
        <v>1630</v>
      </c>
    </row>
    <row r="339" customFormat="false" ht="15" hidden="false" customHeight="false" outlineLevel="0" collapsed="false">
      <c r="A339" s="4" t="n">
        <v>34</v>
      </c>
      <c r="B339" s="4" t="s">
        <v>4706</v>
      </c>
      <c r="C339" s="4" t="s">
        <v>5031</v>
      </c>
      <c r="D339" s="4" t="s">
        <v>4706</v>
      </c>
      <c r="E339" s="4" t="n">
        <v>23.34</v>
      </c>
      <c r="F339" s="4" t="n">
        <v>85.31</v>
      </c>
      <c r="G339" s="4" t="n">
        <v>5.3</v>
      </c>
      <c r="H339" s="4" t="s">
        <v>4663</v>
      </c>
      <c r="I339" s="4" t="s">
        <v>5152</v>
      </c>
      <c r="J339" s="4" t="s">
        <v>1424</v>
      </c>
    </row>
    <row r="340" customFormat="false" ht="15" hidden="false" customHeight="false" outlineLevel="0" collapsed="false">
      <c r="A340" s="4" t="n">
        <v>35</v>
      </c>
      <c r="B340" s="4" t="s">
        <v>4678</v>
      </c>
      <c r="C340" s="4" t="s">
        <v>5035</v>
      </c>
      <c r="D340" s="4" t="s">
        <v>5153</v>
      </c>
      <c r="E340" s="4" t="n">
        <v>15.36</v>
      </c>
      <c r="F340" s="4" t="n">
        <v>73.93</v>
      </c>
      <c r="G340" s="4" t="n">
        <v>5.3</v>
      </c>
      <c r="H340" s="4" t="s">
        <v>4663</v>
      </c>
      <c r="I340" s="4" t="s">
        <v>5154</v>
      </c>
      <c r="J340" s="4" t="s">
        <v>3178</v>
      </c>
    </row>
    <row r="341" customFormat="false" ht="15" hidden="false" customHeight="false" outlineLevel="0" collapsed="false">
      <c r="A341" s="4" t="n">
        <v>36</v>
      </c>
      <c r="B341" s="4" t="s">
        <v>4695</v>
      </c>
      <c r="C341" s="4" t="s">
        <v>1431</v>
      </c>
      <c r="D341" s="4" t="s">
        <v>4695</v>
      </c>
      <c r="E341" s="4" t="n">
        <v>8.76</v>
      </c>
      <c r="F341" s="4" t="n">
        <v>78.13</v>
      </c>
      <c r="G341" s="4" t="n">
        <v>5.2</v>
      </c>
      <c r="H341" s="4" t="s">
        <v>4662</v>
      </c>
      <c r="I341" s="4" t="s">
        <v>5155</v>
      </c>
      <c r="J341" s="4" t="s">
        <v>5156</v>
      </c>
    </row>
    <row r="342" customFormat="false" ht="15" hidden="false" customHeight="false" outlineLevel="0" collapsed="false">
      <c r="A342" s="4" t="n">
        <v>37</v>
      </c>
      <c r="B342" s="4" t="s">
        <v>4685</v>
      </c>
      <c r="C342" s="4" t="s">
        <v>1451</v>
      </c>
      <c r="D342" s="4" t="s">
        <v>5133</v>
      </c>
      <c r="E342" s="4" t="n">
        <v>22.25</v>
      </c>
      <c r="F342" s="4" t="n">
        <v>72.19</v>
      </c>
      <c r="G342" s="4" t="n">
        <v>5.2</v>
      </c>
      <c r="H342" s="4" t="s">
        <v>4662</v>
      </c>
      <c r="I342" s="4" t="s">
        <v>4587</v>
      </c>
      <c r="J342" s="4" t="s">
        <v>4585</v>
      </c>
    </row>
    <row r="343" customFormat="false" ht="15" hidden="false" customHeight="false" outlineLevel="0" collapsed="false">
      <c r="A343" s="4" t="n">
        <v>38</v>
      </c>
      <c r="B343" s="4" t="s">
        <v>4682</v>
      </c>
      <c r="C343" s="4" t="s">
        <v>5138</v>
      </c>
      <c r="D343" s="4" t="s">
        <v>4682</v>
      </c>
      <c r="E343" s="4" t="n">
        <v>22.72</v>
      </c>
      <c r="F343" s="4" t="n">
        <v>75.86</v>
      </c>
      <c r="G343" s="4" t="n">
        <v>5.2</v>
      </c>
      <c r="H343" s="4" t="s">
        <v>5157</v>
      </c>
      <c r="I343" s="4" t="s">
        <v>4628</v>
      </c>
      <c r="J343" s="4" t="s">
        <v>5158</v>
      </c>
    </row>
    <row r="344" customFormat="false" ht="15" hidden="false" customHeight="false" outlineLevel="0" collapsed="false">
      <c r="A344" s="4" t="n">
        <v>39</v>
      </c>
      <c r="B344" s="4" t="s">
        <v>5159</v>
      </c>
      <c r="C344" s="4" t="s">
        <v>5085</v>
      </c>
      <c r="D344" s="4" t="s">
        <v>5160</v>
      </c>
      <c r="E344" s="4" t="n">
        <v>26.45</v>
      </c>
      <c r="F344" s="4" t="n">
        <v>80.33</v>
      </c>
      <c r="G344" s="4" t="n">
        <v>5.2</v>
      </c>
      <c r="H344" s="4" t="s">
        <v>4662</v>
      </c>
      <c r="I344" s="4" t="s">
        <v>1424</v>
      </c>
      <c r="J344" s="4" t="s">
        <v>4585</v>
      </c>
    </row>
    <row r="345" customFormat="false" ht="15" hidden="false" customHeight="false" outlineLevel="0" collapsed="false">
      <c r="A345" s="4" t="n">
        <v>40</v>
      </c>
      <c r="B345" s="4" t="s">
        <v>5161</v>
      </c>
      <c r="C345" s="4" t="s">
        <v>5039</v>
      </c>
      <c r="D345" s="4" t="s">
        <v>5161</v>
      </c>
      <c r="E345" s="4" t="n">
        <v>30.32</v>
      </c>
      <c r="F345" s="4" t="n">
        <v>78.03</v>
      </c>
      <c r="G345" s="4" t="n">
        <v>5.1</v>
      </c>
      <c r="H345" s="4" t="s">
        <v>4662</v>
      </c>
      <c r="I345" s="4" t="s">
        <v>5162</v>
      </c>
      <c r="J345" s="4" t="s">
        <v>5163</v>
      </c>
    </row>
    <row r="346" customFormat="false" ht="15" hidden="false" customHeight="false" outlineLevel="0" collapsed="false">
      <c r="A346" s="4" t="n">
        <v>41</v>
      </c>
      <c r="B346" s="4" t="s">
        <v>5164</v>
      </c>
      <c r="C346" s="4" t="s">
        <v>4539</v>
      </c>
      <c r="D346" s="4" t="s">
        <v>5164</v>
      </c>
      <c r="E346" s="4" t="n">
        <v>28.99</v>
      </c>
      <c r="F346" s="4" t="n">
        <v>77.02</v>
      </c>
      <c r="G346" s="4" t="n">
        <v>5</v>
      </c>
      <c r="H346" s="4" t="s">
        <v>5157</v>
      </c>
      <c r="I346" s="4" t="s">
        <v>2553</v>
      </c>
      <c r="J346" s="4" t="s">
        <v>1630</v>
      </c>
    </row>
    <row r="347" customFormat="false" ht="15" hidden="false" customHeight="false" outlineLevel="0" collapsed="false">
      <c r="A347" s="4" t="n">
        <v>42</v>
      </c>
      <c r="B347" s="4" t="s">
        <v>4697</v>
      </c>
      <c r="C347" s="4" t="s">
        <v>4557</v>
      </c>
      <c r="D347" s="4" t="s">
        <v>4697</v>
      </c>
      <c r="E347" s="4" t="n">
        <v>26.24</v>
      </c>
      <c r="F347" s="4" t="n">
        <v>73.02</v>
      </c>
      <c r="G347" s="4" t="n">
        <v>5</v>
      </c>
      <c r="H347" s="4" t="s">
        <v>5157</v>
      </c>
      <c r="I347" s="4" t="s">
        <v>5165</v>
      </c>
      <c r="J347" s="4" t="s">
        <v>5110</v>
      </c>
    </row>
    <row r="348" customFormat="false" ht="15" hidden="false" customHeight="false" outlineLevel="0" collapsed="false">
      <c r="A348" s="4" t="n">
        <v>43</v>
      </c>
      <c r="B348" s="4" t="s">
        <v>5166</v>
      </c>
      <c r="C348" s="4" t="s">
        <v>1443</v>
      </c>
      <c r="D348" s="4" t="s">
        <v>5167</v>
      </c>
      <c r="E348" s="4" t="n">
        <v>22.35</v>
      </c>
      <c r="F348" s="4" t="n">
        <v>87.32</v>
      </c>
      <c r="G348" s="4" t="n">
        <v>4.9</v>
      </c>
      <c r="H348" s="4" t="s">
        <v>4662</v>
      </c>
      <c r="I348" s="4" t="s">
        <v>5168</v>
      </c>
      <c r="J348" s="4" t="s">
        <v>5169</v>
      </c>
    </row>
    <row r="349" customFormat="false" ht="15" hidden="false" customHeight="false" outlineLevel="0" collapsed="false">
      <c r="A349" s="4" t="n">
        <v>44</v>
      </c>
      <c r="B349" s="4" t="s">
        <v>5170</v>
      </c>
      <c r="C349" s="4" t="s">
        <v>5171</v>
      </c>
      <c r="D349" s="4" t="s">
        <v>5172</v>
      </c>
      <c r="E349" s="4" t="n">
        <v>30.95</v>
      </c>
      <c r="F349" s="4" t="n">
        <v>76.79</v>
      </c>
      <c r="G349" s="4" t="n">
        <v>4.9</v>
      </c>
      <c r="H349" s="4" t="s">
        <v>4662</v>
      </c>
      <c r="I349" s="4" t="s">
        <v>5173</v>
      </c>
      <c r="J349" s="4" t="s">
        <v>5174</v>
      </c>
    </row>
    <row r="350" customFormat="false" ht="15" hidden="false" customHeight="false" outlineLevel="0" collapsed="false">
      <c r="A350" s="4" t="n">
        <v>45</v>
      </c>
      <c r="B350" s="4" t="s">
        <v>1412</v>
      </c>
      <c r="C350" s="4" t="s">
        <v>1443</v>
      </c>
      <c r="D350" s="4" t="s">
        <v>5175</v>
      </c>
      <c r="E350" s="4" t="n">
        <v>22.57</v>
      </c>
      <c r="F350" s="4" t="n">
        <v>88.36</v>
      </c>
      <c r="G350" s="4" t="n">
        <v>4.8</v>
      </c>
      <c r="H350" s="4" t="s">
        <v>4662</v>
      </c>
      <c r="I350" s="4" t="s">
        <v>5176</v>
      </c>
      <c r="J350" s="4" t="s">
        <v>5177</v>
      </c>
    </row>
    <row r="351" customFormat="false" ht="15" hidden="false" customHeight="false" outlineLevel="0" collapsed="false">
      <c r="A351" s="4" t="n">
        <v>46</v>
      </c>
      <c r="B351" s="4" t="s">
        <v>5178</v>
      </c>
      <c r="C351" s="4" t="s">
        <v>5047</v>
      </c>
      <c r="D351" s="4" t="s">
        <v>5179</v>
      </c>
      <c r="E351" s="4" t="n">
        <v>30.7</v>
      </c>
      <c r="F351" s="4" t="n">
        <v>76.72</v>
      </c>
      <c r="G351" s="4" t="n">
        <v>4.8</v>
      </c>
      <c r="H351" s="4" t="s">
        <v>5157</v>
      </c>
      <c r="I351" s="4" t="s">
        <v>3571</v>
      </c>
      <c r="J351" s="4" t="s">
        <v>5180</v>
      </c>
    </row>
    <row r="352" customFormat="false" ht="15" hidden="false" customHeight="false" outlineLevel="0" collapsed="false">
      <c r="A352" s="4" t="n">
        <v>47</v>
      </c>
      <c r="B352" s="4" t="s">
        <v>5181</v>
      </c>
      <c r="C352" s="4" t="s">
        <v>5181</v>
      </c>
      <c r="D352" s="4" t="s">
        <v>5182</v>
      </c>
      <c r="E352" s="4" t="n">
        <v>28.61</v>
      </c>
      <c r="F352" s="4" t="n">
        <v>77.21</v>
      </c>
      <c r="G352" s="4" t="n">
        <v>4.7</v>
      </c>
      <c r="H352" s="4" t="s">
        <v>4662</v>
      </c>
      <c r="I352" s="4" t="s">
        <v>5183</v>
      </c>
      <c r="J352" s="4" t="s">
        <v>5184</v>
      </c>
    </row>
    <row r="353" customFormat="false" ht="15" hidden="false" customHeight="false" outlineLevel="0" collapsed="false">
      <c r="A353" s="4" t="n">
        <v>48</v>
      </c>
      <c r="B353" s="4" t="s">
        <v>5185</v>
      </c>
      <c r="C353" s="4" t="s">
        <v>1443</v>
      </c>
      <c r="D353" s="4" t="s">
        <v>5186</v>
      </c>
      <c r="E353" s="4" t="n">
        <v>21.63</v>
      </c>
      <c r="F353" s="4" t="n">
        <v>87.51</v>
      </c>
      <c r="G353" s="4" t="n">
        <v>4.6</v>
      </c>
      <c r="H353" s="4" t="s">
        <v>4662</v>
      </c>
      <c r="I353" s="4" t="s">
        <v>5187</v>
      </c>
      <c r="J353" s="4" t="s">
        <v>5188</v>
      </c>
    </row>
    <row r="354" customFormat="false" ht="15" hidden="false" customHeight="false" outlineLevel="0" collapsed="false">
      <c r="A354" s="4" t="n">
        <v>49</v>
      </c>
      <c r="B354" s="4" t="s">
        <v>5189</v>
      </c>
      <c r="C354" s="4" t="s">
        <v>4572</v>
      </c>
      <c r="D354" s="4" t="s">
        <v>5189</v>
      </c>
      <c r="E354" s="4" t="n">
        <v>25.59</v>
      </c>
      <c r="F354" s="4" t="n">
        <v>85.14</v>
      </c>
      <c r="G354" s="4" t="n">
        <v>4.2</v>
      </c>
      <c r="H354" s="4" t="s">
        <v>4662</v>
      </c>
      <c r="I354" s="4" t="s">
        <v>1555</v>
      </c>
      <c r="J354" s="4" t="s">
        <v>5190</v>
      </c>
    </row>
    <row r="355" customFormat="false" ht="15" hidden="false" customHeight="false" outlineLevel="0" collapsed="false">
      <c r="A355" s="4" t="s">
        <v>1555</v>
      </c>
      <c r="B355" s="4" t="s">
        <v>4714</v>
      </c>
      <c r="C355" s="4" t="s">
        <v>5191</v>
      </c>
      <c r="D355" s="4" t="s">
        <v>5192</v>
      </c>
      <c r="E355" s="4" t="n">
        <v>26.14</v>
      </c>
      <c r="F355" s="4" t="n">
        <v>91.74</v>
      </c>
      <c r="G355" s="4" t="n">
        <v>4</v>
      </c>
      <c r="H355" s="4" t="s">
        <v>5193</v>
      </c>
      <c r="I355" s="4" t="s">
        <v>5194</v>
      </c>
      <c r="J355" s="4" t="s">
        <v>5195</v>
      </c>
    </row>
    <row r="358" customFormat="false" ht="15" hidden="false" customHeight="false" outlineLevel="0" collapsed="false">
      <c r="A358" s="17" t="s">
        <v>5196</v>
      </c>
      <c r="B358" s="18"/>
      <c r="C358" s="18"/>
      <c r="D358" s="18"/>
      <c r="E358" s="18"/>
      <c r="F358" s="18"/>
    </row>
    <row r="359" customFormat="false" ht="15" hidden="false" customHeight="false" outlineLevel="0" collapsed="false">
      <c r="A359" s="19" t="s">
        <v>5197</v>
      </c>
    </row>
    <row r="360" customFormat="false" ht="15" hidden="false" customHeight="false" outlineLevel="0" collapsed="false">
      <c r="A360" s="26" t="s">
        <v>2179</v>
      </c>
    </row>
    <row r="361" customFormat="false" ht="15" hidden="false" customHeight="false" outlineLevel="0" collapsed="false">
      <c r="A361" s="21" t="s">
        <v>5198</v>
      </c>
    </row>
    <row r="362" customFormat="false" ht="15" hidden="false" customHeight="false" outlineLevel="0" collapsed="false">
      <c r="A362" s="21" t="s">
        <v>5199</v>
      </c>
    </row>
    <row r="363" customFormat="false" ht="15" hidden="false" customHeight="false" outlineLevel="0" collapsed="false">
      <c r="A363" s="22" t="s">
        <v>2066</v>
      </c>
      <c r="B363" s="22" t="s">
        <v>4623</v>
      </c>
      <c r="C363" s="22" t="s">
        <v>4624</v>
      </c>
      <c r="D363" s="22" t="s">
        <v>4625</v>
      </c>
      <c r="E363" s="22" t="s">
        <v>4626</v>
      </c>
      <c r="F363" s="22" t="s">
        <v>5200</v>
      </c>
    </row>
    <row r="364" customFormat="false" ht="15" hidden="false" customHeight="false" outlineLevel="0" collapsed="false">
      <c r="A364" s="4" t="s">
        <v>5068</v>
      </c>
      <c r="B364" s="4" t="n">
        <v>7.2</v>
      </c>
      <c r="C364" s="4" t="n">
        <v>7</v>
      </c>
      <c r="D364" s="4" t="n">
        <v>7.9</v>
      </c>
      <c r="E364" s="4" t="n">
        <v>6.6</v>
      </c>
      <c r="F364" s="4" t="n">
        <v>7</v>
      </c>
    </row>
    <row r="365" customFormat="false" ht="15" hidden="false" customHeight="false" outlineLevel="0" collapsed="false">
      <c r="A365" s="4" t="s">
        <v>2085</v>
      </c>
      <c r="B365" s="4" t="n">
        <v>6.8</v>
      </c>
      <c r="C365" s="4" t="n">
        <v>6.6</v>
      </c>
      <c r="D365" s="4" t="n">
        <v>7.1</v>
      </c>
      <c r="E365" s="4" t="n">
        <v>6.2</v>
      </c>
      <c r="F365" s="4" t="n">
        <v>6.3</v>
      </c>
    </row>
    <row r="366" customFormat="false" ht="15" hidden="false" customHeight="false" outlineLevel="0" collapsed="false">
      <c r="A366" s="4" t="s">
        <v>5076</v>
      </c>
      <c r="B366" s="4" t="n">
        <v>6.7</v>
      </c>
      <c r="C366" s="4" t="n">
        <v>6.2</v>
      </c>
      <c r="D366" s="4" t="n">
        <v>7.8</v>
      </c>
      <c r="E366" s="4" t="n">
        <v>5.9</v>
      </c>
      <c r="F366" s="4" t="n">
        <v>6.3</v>
      </c>
    </row>
    <row r="367" customFormat="false" ht="15" hidden="false" customHeight="false" outlineLevel="0" collapsed="false">
      <c r="A367" s="4" t="s">
        <v>4673</v>
      </c>
      <c r="B367" s="4" t="n">
        <v>6.6</v>
      </c>
      <c r="C367" s="4" t="n">
        <v>5.5</v>
      </c>
      <c r="D367" s="4" t="n">
        <v>8.2</v>
      </c>
      <c r="E367" s="4" t="n">
        <v>6.1</v>
      </c>
      <c r="F367" s="4" t="n">
        <v>6</v>
      </c>
    </row>
    <row r="368" customFormat="false" ht="15" hidden="false" customHeight="false" outlineLevel="0" collapsed="false">
      <c r="A368" s="4" t="s">
        <v>4677</v>
      </c>
      <c r="B368" s="4" t="n">
        <v>6.5</v>
      </c>
      <c r="C368" s="4" t="n">
        <v>6.4</v>
      </c>
      <c r="D368" s="4" t="n">
        <v>6</v>
      </c>
      <c r="E368" s="4" t="n">
        <v>7.2</v>
      </c>
      <c r="F368" s="4" t="n">
        <v>6.1</v>
      </c>
    </row>
    <row r="369" customFormat="false" ht="15" hidden="false" customHeight="false" outlineLevel="0" collapsed="false">
      <c r="A369" s="4" t="s">
        <v>5201</v>
      </c>
      <c r="B369" s="4" t="n">
        <v>6.4</v>
      </c>
      <c r="C369" s="4" t="n">
        <v>6.2</v>
      </c>
      <c r="D369" s="4" t="n">
        <v>7</v>
      </c>
      <c r="E369" s="4" t="n">
        <v>5.3</v>
      </c>
      <c r="F369" s="4" t="n">
        <v>6.2</v>
      </c>
    </row>
    <row r="370" customFormat="false" ht="15" hidden="false" customHeight="false" outlineLevel="0" collapsed="false">
      <c r="A370" s="4" t="s">
        <v>5089</v>
      </c>
      <c r="B370" s="4" t="n">
        <v>6.4</v>
      </c>
      <c r="C370" s="4" t="n">
        <v>6</v>
      </c>
      <c r="D370" s="4" t="n">
        <v>7.2</v>
      </c>
      <c r="E370" s="4" t="n">
        <v>6</v>
      </c>
      <c r="F370" s="4" t="n">
        <v>5.8</v>
      </c>
    </row>
    <row r="371" customFormat="false" ht="15" hidden="false" customHeight="false" outlineLevel="0" collapsed="false">
      <c r="A371" s="4" t="s">
        <v>4672</v>
      </c>
      <c r="B371" s="4" t="n">
        <v>6.4</v>
      </c>
      <c r="C371" s="4" t="n">
        <v>6.2</v>
      </c>
      <c r="D371" s="4" t="n">
        <v>6.9</v>
      </c>
      <c r="E371" s="4" t="n">
        <v>5.5</v>
      </c>
      <c r="F371" s="4" t="s">
        <v>1555</v>
      </c>
    </row>
    <row r="372" customFormat="false" ht="15" hidden="false" customHeight="false" outlineLevel="0" collapsed="false">
      <c r="A372" s="4" t="s">
        <v>4687</v>
      </c>
      <c r="B372" s="4" t="n">
        <v>6.4</v>
      </c>
      <c r="C372" s="4" t="n">
        <v>7</v>
      </c>
      <c r="D372" s="4" t="n">
        <v>5.8</v>
      </c>
      <c r="E372" s="4" t="n">
        <v>5.6</v>
      </c>
      <c r="F372" s="4" t="n">
        <v>5.9</v>
      </c>
    </row>
    <row r="373" customFormat="false" ht="15" hidden="false" customHeight="false" outlineLevel="0" collapsed="false">
      <c r="A373" s="4" t="s">
        <v>1409</v>
      </c>
      <c r="B373" s="4" t="n">
        <v>6.3</v>
      </c>
      <c r="C373" s="4" t="n">
        <v>5.6</v>
      </c>
      <c r="D373" s="4" t="n">
        <v>7.2</v>
      </c>
      <c r="E373" s="4" t="n">
        <v>6.3</v>
      </c>
      <c r="F373" s="4" t="n">
        <v>6.1</v>
      </c>
    </row>
    <row r="374" customFormat="false" ht="15" hidden="false" customHeight="false" outlineLevel="0" collapsed="false">
      <c r="A374" s="4" t="s">
        <v>4681</v>
      </c>
      <c r="B374" s="4" t="n">
        <v>6.3</v>
      </c>
      <c r="C374" s="4" t="n">
        <v>6</v>
      </c>
      <c r="D374" s="4" t="n">
        <v>6.2</v>
      </c>
      <c r="E374" s="4" t="n">
        <v>6.5</v>
      </c>
      <c r="F374" s="4" t="s">
        <v>1555</v>
      </c>
    </row>
    <row r="375" customFormat="false" ht="15" hidden="false" customHeight="false" outlineLevel="0" collapsed="false">
      <c r="A375" s="4" t="s">
        <v>4688</v>
      </c>
      <c r="B375" s="4" t="n">
        <v>6.3</v>
      </c>
      <c r="C375" s="4" t="n">
        <v>6.2</v>
      </c>
      <c r="D375" s="4" t="n">
        <v>6.9</v>
      </c>
      <c r="E375" s="4" t="n">
        <v>5.6</v>
      </c>
      <c r="F375" s="4" t="s">
        <v>1555</v>
      </c>
    </row>
    <row r="376" customFormat="false" ht="15" hidden="false" customHeight="false" outlineLevel="0" collapsed="false">
      <c r="A376" s="4" t="s">
        <v>4666</v>
      </c>
      <c r="B376" s="4" t="n">
        <v>6.3</v>
      </c>
      <c r="C376" s="4" t="n">
        <v>6.7</v>
      </c>
      <c r="D376" s="4" t="n">
        <v>5.9</v>
      </c>
      <c r="E376" s="4" t="n">
        <v>6.1</v>
      </c>
      <c r="F376" s="4" t="s">
        <v>1555</v>
      </c>
    </row>
    <row r="377" customFormat="false" ht="15" hidden="false" customHeight="false" outlineLevel="0" collapsed="false">
      <c r="A377" s="4" t="s">
        <v>4694</v>
      </c>
      <c r="B377" s="4" t="n">
        <v>6.3</v>
      </c>
      <c r="C377" s="4" t="n">
        <v>7.4</v>
      </c>
      <c r="D377" s="4" t="n">
        <v>5</v>
      </c>
      <c r="E377" s="4" t="n">
        <v>5.2</v>
      </c>
      <c r="F377" s="4" t="s">
        <v>1555</v>
      </c>
    </row>
    <row r="378" customFormat="false" ht="15" hidden="false" customHeight="false" outlineLevel="0" collapsed="false">
      <c r="A378" s="4" t="s">
        <v>4705</v>
      </c>
      <c r="B378" s="4" t="n">
        <v>6.2</v>
      </c>
      <c r="C378" s="4" t="n">
        <v>6.8</v>
      </c>
      <c r="D378" s="4" t="n">
        <v>5.7</v>
      </c>
      <c r="E378" s="4" t="n">
        <v>5.2</v>
      </c>
      <c r="F378" s="4" t="s">
        <v>1555</v>
      </c>
    </row>
    <row r="379" customFormat="false" ht="15" hidden="false" customHeight="false" outlineLevel="0" collapsed="false">
      <c r="A379" s="4" t="s">
        <v>5115</v>
      </c>
      <c r="B379" s="4" t="n">
        <v>6.1</v>
      </c>
      <c r="C379" s="4" t="n">
        <v>5.4</v>
      </c>
      <c r="D379" s="4" t="n">
        <v>7.5</v>
      </c>
      <c r="E379" s="4" t="n">
        <v>5.6</v>
      </c>
      <c r="F379" s="4" t="n">
        <v>5</v>
      </c>
    </row>
    <row r="380" customFormat="false" ht="15" hidden="false" customHeight="false" outlineLevel="0" collapsed="false">
      <c r="A380" s="4" t="s">
        <v>5123</v>
      </c>
      <c r="B380" s="4" t="n">
        <v>6.1</v>
      </c>
      <c r="C380" s="4" t="n">
        <v>5.4</v>
      </c>
      <c r="D380" s="4" t="n">
        <v>7.2</v>
      </c>
      <c r="E380" s="4" t="n">
        <v>5</v>
      </c>
      <c r="F380" s="4" t="s">
        <v>1555</v>
      </c>
    </row>
    <row r="381" customFormat="false" ht="15" hidden="false" customHeight="false" outlineLevel="0" collapsed="false">
      <c r="A381" s="4" t="s">
        <v>5126</v>
      </c>
      <c r="B381" s="4" t="n">
        <v>6</v>
      </c>
      <c r="C381" s="4" t="n">
        <v>5.8</v>
      </c>
      <c r="D381" s="4" t="n">
        <v>6.4</v>
      </c>
      <c r="E381" s="4" t="n">
        <v>6.2</v>
      </c>
      <c r="F381" s="4" t="s">
        <v>1555</v>
      </c>
    </row>
    <row r="382" customFormat="false" ht="15" hidden="false" customHeight="false" outlineLevel="0" collapsed="false">
      <c r="A382" s="4" t="s">
        <v>1397</v>
      </c>
      <c r="B382" s="4" t="n">
        <v>5.5</v>
      </c>
      <c r="C382" s="4" t="n">
        <v>4.6</v>
      </c>
      <c r="D382" s="4" t="n">
        <v>7.6</v>
      </c>
      <c r="E382" s="4" t="n">
        <v>4.7</v>
      </c>
      <c r="F382" s="4" t="n">
        <v>4.7</v>
      </c>
    </row>
    <row r="383" customFormat="false" ht="15" hidden="false" customHeight="false" outlineLevel="0" collapsed="false">
      <c r="A383" s="4" t="s">
        <v>5144</v>
      </c>
      <c r="B383" s="4" t="n">
        <v>5.5</v>
      </c>
      <c r="C383" s="4" t="n">
        <v>5.1</v>
      </c>
      <c r="D383" s="4" t="n">
        <v>6.7</v>
      </c>
      <c r="E383" s="4" t="n">
        <v>4.1</v>
      </c>
      <c r="F383" s="4" t="n">
        <v>4.6</v>
      </c>
    </row>
    <row r="384" customFormat="false" ht="15" hidden="false" customHeight="false" outlineLevel="0" collapsed="false">
      <c r="A384" s="4" t="s">
        <v>5148</v>
      </c>
      <c r="B384" s="4" t="n">
        <v>5.3</v>
      </c>
      <c r="C384" s="4" t="n">
        <v>5.6</v>
      </c>
      <c r="D384" s="4" t="n">
        <v>5.1</v>
      </c>
      <c r="E384" s="4" t="n">
        <v>5.6</v>
      </c>
      <c r="F384" s="4" t="s">
        <v>1555</v>
      </c>
    </row>
    <row r="385" customFormat="false" ht="15" hidden="false" customHeight="false" outlineLevel="0" collapsed="false">
      <c r="A385" s="4" t="s">
        <v>1412</v>
      </c>
      <c r="B385" s="4" t="n">
        <v>4.8</v>
      </c>
      <c r="C385" s="4" t="n">
        <v>4.8</v>
      </c>
      <c r="D385" s="4" t="n">
        <v>4.9</v>
      </c>
      <c r="E385" s="4" t="n">
        <v>4</v>
      </c>
      <c r="F385" s="4" t="s">
        <v>1555</v>
      </c>
    </row>
    <row r="386" customFormat="false" ht="15" hidden="false" customHeight="false" outlineLevel="0" collapsed="false">
      <c r="A386" s="4" t="s">
        <v>5181</v>
      </c>
      <c r="B386" s="4" t="n">
        <v>4.7</v>
      </c>
      <c r="C386" s="4" t="n">
        <v>3.7</v>
      </c>
      <c r="D386" s="4" t="n">
        <v>6.8</v>
      </c>
      <c r="E386" s="4" t="n">
        <v>4</v>
      </c>
      <c r="F386" s="4" t="n">
        <v>3.7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4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9.7"/>
    <col collapsed="false" customWidth="true" hidden="false" outlineLevel="0" max="5" min="2" style="0" width="56"/>
    <col collapsed="false" customWidth="true" hidden="false" outlineLevel="0" max="6" min="6" style="0" width="45.2"/>
    <col collapsed="false" customWidth="true" hidden="false" outlineLevel="0" max="7" min="7" style="0" width="28.1"/>
    <col collapsed="false" customWidth="true" hidden="false" outlineLevel="0" max="9" min="8" style="0" width="29"/>
    <col collapsed="false" customWidth="true" hidden="false" outlineLevel="0" max="10" min="10" style="0" width="20.9"/>
    <col collapsed="false" customWidth="true" hidden="false" outlineLevel="0" max="11" min="11" style="0" width="19.1"/>
  </cols>
  <sheetData>
    <row r="1" customFormat="false" ht="17.35" hidden="false" customHeight="false" outlineLevel="0" collapsed="false">
      <c r="A1" s="1" t="s">
        <v>648</v>
      </c>
    </row>
    <row r="2" customFormat="false" ht="15" hidden="false" customHeight="false" outlineLevel="0" collapsed="false">
      <c r="A2" s="14" t="s">
        <v>5202</v>
      </c>
    </row>
    <row r="4" customFormat="false" ht="15" hidden="false" customHeight="false" outlineLevel="0" collapsed="false">
      <c r="A4" s="17" t="s">
        <v>5203</v>
      </c>
      <c r="B4" s="18"/>
      <c r="C4" s="18"/>
      <c r="D4" s="18"/>
    </row>
    <row r="5" customFormat="false" ht="15" hidden="false" customHeight="false" outlineLevel="0" collapsed="false">
      <c r="A5" s="19" t="s">
        <v>5204</v>
      </c>
    </row>
    <row r="6" customFormat="false" ht="15" hidden="false" customHeight="false" outlineLevel="0" collapsed="false">
      <c r="A6" s="20" t="s">
        <v>1193</v>
      </c>
    </row>
    <row r="7" customFormat="false" ht="15" hidden="false" customHeight="false" outlineLevel="0" collapsed="false">
      <c r="A7" s="21" t="s">
        <v>5205</v>
      </c>
    </row>
    <row r="8" customFormat="false" ht="15" hidden="false" customHeight="false" outlineLevel="0" collapsed="false">
      <c r="A8" s="21" t="s">
        <v>5206</v>
      </c>
    </row>
    <row r="9" customFormat="false" ht="15" hidden="false" customHeight="false" outlineLevel="0" collapsed="false">
      <c r="A9" s="22" t="s">
        <v>5207</v>
      </c>
      <c r="B9" s="22" t="s">
        <v>5208</v>
      </c>
      <c r="C9" s="22" t="s">
        <v>5209</v>
      </c>
      <c r="D9" s="22" t="s">
        <v>5210</v>
      </c>
    </row>
    <row r="10" customFormat="false" ht="15" hidden="false" customHeight="false" outlineLevel="0" collapsed="false">
      <c r="A10" s="4" t="n">
        <v>2019</v>
      </c>
      <c r="B10" s="4" t="n">
        <v>375</v>
      </c>
      <c r="C10" s="4" t="s">
        <v>5211</v>
      </c>
      <c r="D10" s="4" t="s">
        <v>5212</v>
      </c>
    </row>
    <row r="11" customFormat="false" ht="23.85" hidden="false" customHeight="false" outlineLevel="0" collapsed="false">
      <c r="A11" s="4" t="n">
        <v>2020</v>
      </c>
      <c r="B11" s="4" t="n">
        <v>450</v>
      </c>
      <c r="C11" s="4" t="s">
        <v>5213</v>
      </c>
      <c r="D11" s="4" t="s">
        <v>5212</v>
      </c>
    </row>
    <row r="12" customFormat="false" ht="23.85" hidden="false" customHeight="false" outlineLevel="0" collapsed="false">
      <c r="A12" s="4" t="n">
        <v>2021</v>
      </c>
      <c r="B12" s="4" t="n">
        <v>560</v>
      </c>
      <c r="C12" s="4" t="s">
        <v>5214</v>
      </c>
      <c r="D12" s="4" t="s">
        <v>5212</v>
      </c>
    </row>
    <row r="13" customFormat="false" ht="15" hidden="false" customHeight="false" outlineLevel="0" collapsed="false">
      <c r="A13" s="4" t="n">
        <v>2022</v>
      </c>
      <c r="B13" s="4" t="n">
        <v>720</v>
      </c>
      <c r="C13" s="4" t="s">
        <v>5215</v>
      </c>
      <c r="D13" s="4" t="s">
        <v>5216</v>
      </c>
    </row>
    <row r="14" customFormat="false" ht="23.85" hidden="false" customHeight="false" outlineLevel="0" collapsed="false">
      <c r="A14" s="4" t="n">
        <v>2023</v>
      </c>
      <c r="B14" s="4" t="n">
        <v>977</v>
      </c>
      <c r="C14" s="4" t="s">
        <v>5217</v>
      </c>
      <c r="D14" s="4" t="s">
        <v>5216</v>
      </c>
    </row>
    <row r="15" customFormat="false" ht="15" hidden="false" customHeight="false" outlineLevel="0" collapsed="false">
      <c r="A15" s="4" t="n">
        <v>2024</v>
      </c>
      <c r="B15" s="4" t="n">
        <v>1200</v>
      </c>
      <c r="C15" s="4" t="s">
        <v>5218</v>
      </c>
      <c r="D15" s="4" t="s">
        <v>5212</v>
      </c>
    </row>
    <row r="16" customFormat="false" ht="15" hidden="false" customHeight="false" outlineLevel="0" collapsed="false">
      <c r="A16" s="4" t="s">
        <v>5219</v>
      </c>
      <c r="B16" s="4" t="s">
        <v>5220</v>
      </c>
      <c r="C16" s="4" t="s">
        <v>5221</v>
      </c>
      <c r="D16" s="4" t="s">
        <v>5216</v>
      </c>
    </row>
    <row r="17" customFormat="false" ht="23.85" hidden="false" customHeight="false" outlineLevel="0" collapsed="false">
      <c r="A17" s="4" t="n">
        <v>2025</v>
      </c>
      <c r="B17" s="4" t="n">
        <v>1611</v>
      </c>
      <c r="C17" s="4" t="s">
        <v>5222</v>
      </c>
      <c r="D17" s="4" t="s">
        <v>5212</v>
      </c>
    </row>
    <row r="18" customFormat="false" ht="35.05" hidden="false" customHeight="false" outlineLevel="0" collapsed="false">
      <c r="A18" s="4" t="s">
        <v>5223</v>
      </c>
      <c r="B18" s="4" t="n">
        <v>1789</v>
      </c>
      <c r="C18" s="4" t="s">
        <v>5224</v>
      </c>
      <c r="D18" s="4" t="s">
        <v>5216</v>
      </c>
    </row>
    <row r="19" customFormat="false" ht="23.85" hidden="false" customHeight="false" outlineLevel="0" collapsed="false">
      <c r="A19" s="4" t="s">
        <v>5225</v>
      </c>
      <c r="B19" s="4" t="n">
        <v>2000</v>
      </c>
      <c r="C19" s="4" t="s">
        <v>5226</v>
      </c>
      <c r="D19" s="4" t="s">
        <v>5227</v>
      </c>
    </row>
    <row r="22" customFormat="false" ht="15" hidden="false" customHeight="false" outlineLevel="0" collapsed="false">
      <c r="A22" s="17" t="s">
        <v>5228</v>
      </c>
      <c r="B22" s="18"/>
      <c r="C22" s="18"/>
      <c r="D22" s="18"/>
      <c r="E22" s="18"/>
      <c r="F22" s="18"/>
    </row>
    <row r="23" customFormat="false" ht="15" hidden="false" customHeight="false" outlineLevel="0" collapsed="false">
      <c r="A23" s="19" t="s">
        <v>5229</v>
      </c>
    </row>
    <row r="24" customFormat="false" ht="15" hidden="false" customHeight="false" outlineLevel="0" collapsed="false">
      <c r="A24" s="19" t="s">
        <v>5230</v>
      </c>
    </row>
    <row r="25" customFormat="false" ht="15" hidden="false" customHeight="false" outlineLevel="0" collapsed="false">
      <c r="A25" s="26" t="s">
        <v>2179</v>
      </c>
    </row>
    <row r="26" customFormat="false" ht="15" hidden="false" customHeight="false" outlineLevel="0" collapsed="false">
      <c r="A26" s="21" t="s">
        <v>5231</v>
      </c>
    </row>
    <row r="27" customFormat="false" ht="15" hidden="false" customHeight="false" outlineLevel="0" collapsed="false">
      <c r="A27" s="21" t="s">
        <v>5232</v>
      </c>
    </row>
    <row r="28" customFormat="false" ht="15" hidden="false" customHeight="false" outlineLevel="0" collapsed="false">
      <c r="A28" s="22" t="s">
        <v>2710</v>
      </c>
      <c r="B28" s="22" t="s">
        <v>5233</v>
      </c>
      <c r="C28" s="22" t="s">
        <v>5234</v>
      </c>
      <c r="D28" s="22" t="s">
        <v>5235</v>
      </c>
      <c r="E28" s="22" t="s">
        <v>5236</v>
      </c>
      <c r="F28" s="22" t="s">
        <v>5237</v>
      </c>
    </row>
    <row r="29" customFormat="false" ht="15" hidden="false" customHeight="false" outlineLevel="0" collapsed="false">
      <c r="A29" s="4" t="s">
        <v>5238</v>
      </c>
      <c r="B29" s="4" t="n">
        <v>2243</v>
      </c>
      <c r="C29" s="4" t="n">
        <v>2647</v>
      </c>
      <c r="D29" s="4" t="n">
        <v>3686</v>
      </c>
      <c r="E29" s="4" t="n">
        <v>6055</v>
      </c>
      <c r="F29" s="4" t="n">
        <v>8431</v>
      </c>
    </row>
    <row r="30" customFormat="false" ht="15" hidden="false" customHeight="false" outlineLevel="0" collapsed="false">
      <c r="A30" s="4" t="s">
        <v>5239</v>
      </c>
      <c r="B30" s="4" t="n">
        <v>2517</v>
      </c>
      <c r="C30" s="4" t="n">
        <v>3146</v>
      </c>
      <c r="D30" s="4" t="n">
        <v>4916</v>
      </c>
      <c r="E30" s="4" t="n">
        <v>9602</v>
      </c>
      <c r="F30" s="4" t="n">
        <v>15003</v>
      </c>
    </row>
    <row r="31" customFormat="false" ht="15" hidden="false" customHeight="false" outlineLevel="0" collapsed="false">
      <c r="A31" s="4" t="s">
        <v>5240</v>
      </c>
      <c r="B31" s="4" t="n">
        <v>2807</v>
      </c>
      <c r="C31" s="4" t="n">
        <v>3705</v>
      </c>
      <c r="D31" s="4" t="n">
        <v>6456</v>
      </c>
      <c r="E31" s="4" t="n">
        <v>14849</v>
      </c>
      <c r="F31" s="4" t="n">
        <v>25872</v>
      </c>
    </row>
    <row r="34" customFormat="false" ht="15" hidden="false" customHeight="false" outlineLevel="0" collapsed="false">
      <c r="A34" s="17" t="s">
        <v>5241</v>
      </c>
      <c r="B34" s="18"/>
      <c r="C34" s="18"/>
      <c r="D34" s="18"/>
    </row>
    <row r="35" customFormat="false" ht="15" hidden="false" customHeight="false" outlineLevel="0" collapsed="false">
      <c r="A35" s="19" t="s">
        <v>5242</v>
      </c>
    </row>
    <row r="36" customFormat="false" ht="15" hidden="false" customHeight="false" outlineLevel="0" collapsed="false">
      <c r="A36" s="19" t="s">
        <v>5243</v>
      </c>
    </row>
    <row r="37" customFormat="false" ht="15" hidden="false" customHeight="false" outlineLevel="0" collapsed="false">
      <c r="A37" s="25" t="s">
        <v>2043</v>
      </c>
    </row>
    <row r="38" customFormat="false" ht="15" hidden="false" customHeight="false" outlineLevel="0" collapsed="false">
      <c r="A38" s="21" t="s">
        <v>5244</v>
      </c>
    </row>
    <row r="39" customFormat="false" ht="15" hidden="false" customHeight="false" outlineLevel="0" collapsed="false">
      <c r="A39" s="21" t="s">
        <v>5245</v>
      </c>
    </row>
    <row r="40" customFormat="false" ht="15" hidden="false" customHeight="false" outlineLevel="0" collapsed="false">
      <c r="A40" s="22" t="s">
        <v>2147</v>
      </c>
      <c r="B40" s="22" t="s">
        <v>2519</v>
      </c>
      <c r="C40" s="22" t="s">
        <v>5246</v>
      </c>
      <c r="D40" s="22" t="s">
        <v>5247</v>
      </c>
    </row>
    <row r="41" customFormat="false" ht="15" hidden="false" customHeight="false" outlineLevel="0" collapsed="false">
      <c r="A41" s="4" t="s">
        <v>5248</v>
      </c>
      <c r="B41" s="4" t="n">
        <v>12000</v>
      </c>
      <c r="C41" s="4" t="n">
        <v>25000</v>
      </c>
      <c r="D41" s="4" t="n">
        <v>45000</v>
      </c>
    </row>
    <row r="42" customFormat="false" ht="15" hidden="false" customHeight="false" outlineLevel="0" collapsed="false">
      <c r="A42" s="4" t="s">
        <v>5249</v>
      </c>
      <c r="B42" s="4" t="n">
        <v>0.24</v>
      </c>
      <c r="C42" s="4" t="n">
        <v>0.26</v>
      </c>
      <c r="D42" s="4" t="n">
        <v>0.3</v>
      </c>
    </row>
    <row r="43" customFormat="false" ht="15" hidden="false" customHeight="false" outlineLevel="0" collapsed="false">
      <c r="A43" s="4" t="s">
        <v>5250</v>
      </c>
      <c r="B43" s="4" t="n">
        <v>2032.8</v>
      </c>
      <c r="C43" s="4" t="n">
        <v>2035.3</v>
      </c>
      <c r="D43" s="4" t="n">
        <v>2036</v>
      </c>
    </row>
    <row r="46" customFormat="false" ht="15" hidden="false" customHeight="false" outlineLevel="0" collapsed="false">
      <c r="A46" s="17" t="s">
        <v>5251</v>
      </c>
      <c r="B46" s="18"/>
      <c r="C46" s="18"/>
      <c r="D46" s="18"/>
    </row>
    <row r="47" customFormat="false" ht="15" hidden="false" customHeight="false" outlineLevel="0" collapsed="false">
      <c r="A47" s="19" t="s">
        <v>5242</v>
      </c>
    </row>
    <row r="48" customFormat="false" ht="15" hidden="false" customHeight="false" outlineLevel="0" collapsed="false">
      <c r="A48" s="19" t="s">
        <v>5252</v>
      </c>
    </row>
    <row r="49" customFormat="false" ht="15" hidden="false" customHeight="false" outlineLevel="0" collapsed="false">
      <c r="A49" s="26" t="s">
        <v>2179</v>
      </c>
    </row>
    <row r="50" customFormat="false" ht="15" hidden="false" customHeight="false" outlineLevel="0" collapsed="false">
      <c r="A50" s="21" t="s">
        <v>5253</v>
      </c>
    </row>
    <row r="51" customFormat="false" ht="15" hidden="false" customHeight="false" outlineLevel="0" collapsed="false">
      <c r="A51" s="21" t="s">
        <v>5254</v>
      </c>
    </row>
    <row r="52" customFormat="false" ht="15" hidden="false" customHeight="false" outlineLevel="0" collapsed="false">
      <c r="A52" s="22" t="s">
        <v>1551</v>
      </c>
      <c r="B52" s="22" t="s">
        <v>2519</v>
      </c>
      <c r="C52" s="22" t="s">
        <v>5246</v>
      </c>
      <c r="D52" s="22" t="s">
        <v>5247</v>
      </c>
    </row>
    <row r="53" customFormat="false" ht="15" hidden="false" customHeight="false" outlineLevel="0" collapsed="false">
      <c r="A53" s="4" t="n">
        <v>2026</v>
      </c>
      <c r="B53" s="4" t="n">
        <v>1975</v>
      </c>
      <c r="C53" s="4" t="n">
        <v>2051</v>
      </c>
      <c r="D53" s="4" t="n">
        <v>2146</v>
      </c>
    </row>
    <row r="54" customFormat="false" ht="15" hidden="false" customHeight="false" outlineLevel="0" collapsed="false">
      <c r="A54" s="4" t="n">
        <v>2027</v>
      </c>
      <c r="B54" s="4" t="n">
        <v>2403</v>
      </c>
      <c r="C54" s="4" t="n">
        <v>2596</v>
      </c>
      <c r="D54" s="4" t="n">
        <v>2850</v>
      </c>
    </row>
    <row r="55" customFormat="false" ht="15" hidden="false" customHeight="false" outlineLevel="0" collapsed="false">
      <c r="A55" s="4" t="n">
        <v>2028</v>
      </c>
      <c r="B55" s="4" t="n">
        <v>2897</v>
      </c>
      <c r="C55" s="4" t="n">
        <v>3266</v>
      </c>
      <c r="D55" s="4" t="n">
        <v>3763</v>
      </c>
    </row>
    <row r="56" customFormat="false" ht="15" hidden="false" customHeight="false" outlineLevel="0" collapsed="false">
      <c r="A56" s="4" t="n">
        <v>2029</v>
      </c>
      <c r="B56" s="4" t="n">
        <v>3457</v>
      </c>
      <c r="C56" s="4" t="n">
        <v>4077</v>
      </c>
      <c r="D56" s="4" t="n">
        <v>4936</v>
      </c>
    </row>
    <row r="57" customFormat="false" ht="15" hidden="false" customHeight="false" outlineLevel="0" collapsed="false">
      <c r="A57" s="4" t="n">
        <v>2030</v>
      </c>
      <c r="B57" s="4" t="n">
        <v>4076</v>
      </c>
      <c r="C57" s="4" t="n">
        <v>5044</v>
      </c>
      <c r="D57" s="4" t="n">
        <v>6417</v>
      </c>
    </row>
    <row r="58" customFormat="false" ht="15" hidden="false" customHeight="false" outlineLevel="0" collapsed="false">
      <c r="A58" s="4" t="n">
        <v>2031</v>
      </c>
      <c r="B58" s="4" t="n">
        <v>4745</v>
      </c>
      <c r="C58" s="4" t="n">
        <v>6171</v>
      </c>
      <c r="D58" s="4" t="n">
        <v>8249</v>
      </c>
    </row>
    <row r="59" customFormat="false" ht="15" hidden="false" customHeight="false" outlineLevel="0" collapsed="false">
      <c r="A59" s="4" t="n">
        <v>2032</v>
      </c>
      <c r="B59" s="4" t="n">
        <v>5447</v>
      </c>
      <c r="C59" s="4" t="n">
        <v>7458</v>
      </c>
      <c r="D59" s="4" t="n">
        <v>10465</v>
      </c>
    </row>
    <row r="60" customFormat="false" ht="15" hidden="false" customHeight="false" outlineLevel="0" collapsed="false">
      <c r="A60" s="4" t="n">
        <v>2033</v>
      </c>
      <c r="B60" s="4" t="n">
        <v>6166</v>
      </c>
      <c r="C60" s="4" t="n">
        <v>8884</v>
      </c>
      <c r="D60" s="4" t="n">
        <v>13062</v>
      </c>
    </row>
    <row r="61" customFormat="false" ht="15" hidden="false" customHeight="false" outlineLevel="0" collapsed="false">
      <c r="A61" s="4" t="n">
        <v>2034</v>
      </c>
      <c r="B61" s="4" t="n">
        <v>6879</v>
      </c>
      <c r="C61" s="4" t="n">
        <v>10425</v>
      </c>
      <c r="D61" s="4" t="n">
        <v>16008</v>
      </c>
    </row>
    <row r="62" customFormat="false" ht="15" hidden="false" customHeight="false" outlineLevel="0" collapsed="false">
      <c r="A62" s="4" t="n">
        <v>2035</v>
      </c>
      <c r="B62" s="4" t="n">
        <v>7568</v>
      </c>
      <c r="C62" s="4" t="n">
        <v>12030</v>
      </c>
      <c r="D62" s="4" t="n">
        <v>19215</v>
      </c>
    </row>
    <row r="65" customFormat="false" ht="15" hidden="false" customHeight="false" outlineLevel="0" collapsed="false">
      <c r="A65" s="17" t="s">
        <v>5255</v>
      </c>
      <c r="B65" s="18"/>
      <c r="C65" s="18"/>
      <c r="D65" s="18"/>
      <c r="E65" s="18"/>
    </row>
    <row r="66" customFormat="false" ht="15" hidden="false" customHeight="false" outlineLevel="0" collapsed="false">
      <c r="A66" s="19" t="s">
        <v>5256</v>
      </c>
    </row>
    <row r="67" customFormat="false" ht="15" hidden="false" customHeight="false" outlineLevel="0" collapsed="false">
      <c r="A67" s="19" t="s">
        <v>5257</v>
      </c>
    </row>
    <row r="68" customFormat="false" ht="15" hidden="false" customHeight="false" outlineLevel="0" collapsed="false">
      <c r="A68" s="20" t="s">
        <v>1193</v>
      </c>
    </row>
    <row r="69" customFormat="false" ht="15" hidden="false" customHeight="false" outlineLevel="0" collapsed="false">
      <c r="A69" s="21" t="s">
        <v>5258</v>
      </c>
    </row>
    <row r="70" customFormat="false" ht="15" hidden="false" customHeight="false" outlineLevel="0" collapsed="false">
      <c r="A70" s="21" t="s">
        <v>5259</v>
      </c>
    </row>
    <row r="71" customFormat="false" ht="15" hidden="false" customHeight="false" outlineLevel="0" collapsed="false">
      <c r="A71" s="22" t="s">
        <v>1320</v>
      </c>
      <c r="B71" s="22" t="s">
        <v>5260</v>
      </c>
      <c r="C71" s="22" t="s">
        <v>5261</v>
      </c>
      <c r="D71" s="22" t="s">
        <v>3205</v>
      </c>
      <c r="E71" s="22" t="s">
        <v>5210</v>
      </c>
    </row>
    <row r="72" customFormat="false" ht="35.05" hidden="false" customHeight="false" outlineLevel="0" collapsed="false">
      <c r="A72" s="4" t="s">
        <v>5262</v>
      </c>
      <c r="B72" s="4" t="s">
        <v>5263</v>
      </c>
      <c r="C72" s="4" t="s">
        <v>5264</v>
      </c>
      <c r="D72" s="4" t="s">
        <v>5265</v>
      </c>
      <c r="E72" s="4" t="s">
        <v>5227</v>
      </c>
    </row>
    <row r="73" customFormat="false" ht="15" hidden="false" customHeight="false" outlineLevel="0" collapsed="false">
      <c r="A73" s="4" t="s">
        <v>5266</v>
      </c>
      <c r="B73" s="4" t="s">
        <v>5267</v>
      </c>
      <c r="C73" s="4" t="s">
        <v>5268</v>
      </c>
      <c r="D73" s="4" t="s">
        <v>5269</v>
      </c>
      <c r="E73" s="4" t="s">
        <v>5270</v>
      </c>
    </row>
    <row r="74" customFormat="false" ht="23.85" hidden="false" customHeight="false" outlineLevel="0" collapsed="false">
      <c r="A74" s="4" t="s">
        <v>5271</v>
      </c>
      <c r="B74" s="4" t="s">
        <v>5272</v>
      </c>
      <c r="C74" s="4" t="s">
        <v>5273</v>
      </c>
      <c r="D74" s="4" t="s">
        <v>5274</v>
      </c>
      <c r="E74" s="4" t="s">
        <v>5270</v>
      </c>
    </row>
    <row r="75" customFormat="false" ht="23.85" hidden="false" customHeight="false" outlineLevel="0" collapsed="false">
      <c r="A75" s="4" t="s">
        <v>5275</v>
      </c>
      <c r="B75" s="4" t="s">
        <v>5276</v>
      </c>
      <c r="C75" s="4" t="s">
        <v>5277</v>
      </c>
      <c r="D75" s="4" t="s">
        <v>5278</v>
      </c>
      <c r="E75" s="4" t="s">
        <v>4660</v>
      </c>
    </row>
    <row r="76" customFormat="false" ht="15" hidden="false" customHeight="false" outlineLevel="0" collapsed="false">
      <c r="A76" s="4" t="s">
        <v>5279</v>
      </c>
      <c r="B76" s="4" t="s">
        <v>5280</v>
      </c>
      <c r="C76" s="4" t="s">
        <v>5281</v>
      </c>
      <c r="D76" s="4" t="s">
        <v>1380</v>
      </c>
      <c r="E76" s="4" t="s">
        <v>5216</v>
      </c>
    </row>
    <row r="77" customFormat="false" ht="23.85" hidden="false" customHeight="false" outlineLevel="0" collapsed="false">
      <c r="A77" s="4" t="s">
        <v>5282</v>
      </c>
      <c r="B77" s="4" t="s">
        <v>5283</v>
      </c>
      <c r="C77" s="4" t="s">
        <v>5284</v>
      </c>
      <c r="D77" s="4" t="s">
        <v>5285</v>
      </c>
      <c r="E77" s="4" t="s">
        <v>5286</v>
      </c>
    </row>
    <row r="80" customFormat="false" ht="15" hidden="false" customHeight="false" outlineLevel="0" collapsed="false">
      <c r="A80" s="17" t="s">
        <v>5287</v>
      </c>
      <c r="B80" s="18"/>
      <c r="C80" s="18"/>
    </row>
    <row r="81" customFormat="false" ht="15" hidden="false" customHeight="false" outlineLevel="0" collapsed="false">
      <c r="A81" s="19" t="s">
        <v>5256</v>
      </c>
    </row>
    <row r="82" customFormat="false" ht="15" hidden="false" customHeight="false" outlineLevel="0" collapsed="false">
      <c r="A82" s="19" t="s">
        <v>5288</v>
      </c>
    </row>
    <row r="83" customFormat="false" ht="15" hidden="false" customHeight="false" outlineLevel="0" collapsed="false">
      <c r="A83" s="25" t="s">
        <v>2043</v>
      </c>
    </row>
    <row r="84" customFormat="false" ht="15" hidden="false" customHeight="false" outlineLevel="0" collapsed="false">
      <c r="A84" s="21" t="s">
        <v>5289</v>
      </c>
    </row>
    <row r="85" customFormat="false" ht="15" hidden="false" customHeight="false" outlineLevel="0" collapsed="false">
      <c r="A85" s="21" t="s">
        <v>5290</v>
      </c>
    </row>
    <row r="86" customFormat="false" ht="15" hidden="false" customHeight="false" outlineLevel="0" collapsed="false">
      <c r="A86" s="22" t="s">
        <v>5291</v>
      </c>
      <c r="B86" s="22" t="s">
        <v>5292</v>
      </c>
      <c r="C86" s="22" t="s">
        <v>5293</v>
      </c>
    </row>
    <row r="87" customFormat="false" ht="15" hidden="false" customHeight="false" outlineLevel="0" collapsed="false">
      <c r="A87" s="4" t="s">
        <v>5294</v>
      </c>
      <c r="B87" s="4" t="s">
        <v>5295</v>
      </c>
      <c r="C87" s="4" t="s">
        <v>5296</v>
      </c>
    </row>
    <row r="88" customFormat="false" ht="15" hidden="false" customHeight="false" outlineLevel="0" collapsed="false">
      <c r="A88" s="4" t="s">
        <v>5297</v>
      </c>
      <c r="B88" s="4" t="s">
        <v>5298</v>
      </c>
      <c r="C88" s="4" t="s">
        <v>5299</v>
      </c>
    </row>
    <row r="89" customFormat="false" ht="15" hidden="false" customHeight="false" outlineLevel="0" collapsed="false">
      <c r="A89" s="4" t="s">
        <v>5300</v>
      </c>
      <c r="B89" s="4" t="s">
        <v>5301</v>
      </c>
      <c r="C89" s="4" t="s">
        <v>5302</v>
      </c>
    </row>
    <row r="92" customFormat="false" ht="15" hidden="false" customHeight="false" outlineLevel="0" collapsed="false">
      <c r="A92" s="17" t="s">
        <v>5303</v>
      </c>
      <c r="B92" s="18"/>
      <c r="C92" s="18"/>
      <c r="D92" s="18"/>
      <c r="E92" s="18"/>
      <c r="F92" s="18"/>
    </row>
    <row r="93" customFormat="false" ht="15" hidden="false" customHeight="false" outlineLevel="0" collapsed="false">
      <c r="A93" s="19" t="s">
        <v>5256</v>
      </c>
    </row>
    <row r="94" customFormat="false" ht="15" hidden="false" customHeight="false" outlineLevel="0" collapsed="false">
      <c r="A94" s="19" t="s">
        <v>5304</v>
      </c>
    </row>
    <row r="95" customFormat="false" ht="15" hidden="false" customHeight="false" outlineLevel="0" collapsed="false">
      <c r="A95" s="26" t="s">
        <v>2179</v>
      </c>
    </row>
    <row r="96" customFormat="false" ht="15" hidden="false" customHeight="false" outlineLevel="0" collapsed="false">
      <c r="A96" s="21" t="s">
        <v>5305</v>
      </c>
    </row>
    <row r="97" customFormat="false" ht="15" hidden="false" customHeight="false" outlineLevel="0" collapsed="false">
      <c r="A97" s="21" t="s">
        <v>5306</v>
      </c>
    </row>
    <row r="98" customFormat="false" ht="15" hidden="false" customHeight="false" outlineLevel="0" collapsed="false">
      <c r="A98" s="22" t="s">
        <v>5307</v>
      </c>
      <c r="B98" s="22" t="s">
        <v>5308</v>
      </c>
      <c r="C98" s="22" t="s">
        <v>5233</v>
      </c>
      <c r="D98" s="22" t="s">
        <v>5234</v>
      </c>
      <c r="E98" s="22" t="s">
        <v>5309</v>
      </c>
      <c r="F98" s="22" t="s">
        <v>5235</v>
      </c>
    </row>
    <row r="99" customFormat="false" ht="15" hidden="false" customHeight="false" outlineLevel="0" collapsed="false">
      <c r="A99" s="4" t="s">
        <v>2519</v>
      </c>
      <c r="B99" s="4" t="n">
        <v>1950</v>
      </c>
      <c r="C99" s="4" t="n">
        <v>2250</v>
      </c>
      <c r="D99" s="4" t="n">
        <v>2650</v>
      </c>
      <c r="E99" s="4" t="n">
        <v>3100</v>
      </c>
      <c r="F99" s="4" t="n">
        <v>3560</v>
      </c>
    </row>
    <row r="100" customFormat="false" ht="15" hidden="false" customHeight="false" outlineLevel="0" collapsed="false">
      <c r="A100" s="4" t="s">
        <v>5246</v>
      </c>
      <c r="B100" s="4" t="n">
        <v>1990</v>
      </c>
      <c r="C100" s="4" t="n">
        <v>2450</v>
      </c>
      <c r="D100" s="4" t="n">
        <v>3050</v>
      </c>
      <c r="E100" s="4" t="n">
        <v>3650</v>
      </c>
      <c r="F100" s="4" t="n">
        <v>4280</v>
      </c>
    </row>
    <row r="101" customFormat="false" ht="15" hidden="false" customHeight="false" outlineLevel="0" collapsed="false">
      <c r="A101" s="4" t="s">
        <v>5247</v>
      </c>
      <c r="B101" s="4" t="n">
        <v>2050</v>
      </c>
      <c r="C101" s="4" t="n">
        <v>2800</v>
      </c>
      <c r="D101" s="4" t="n">
        <v>3800</v>
      </c>
      <c r="E101" s="4" t="n">
        <v>4900</v>
      </c>
      <c r="F101" s="4" t="n">
        <v>6000</v>
      </c>
    </row>
    <row r="104" customFormat="false" ht="15" hidden="false" customHeight="false" outlineLevel="0" collapsed="false">
      <c r="A104" s="17" t="s">
        <v>5310</v>
      </c>
      <c r="B104" s="18"/>
      <c r="C104" s="18"/>
      <c r="D104" s="18"/>
      <c r="E104" s="18"/>
      <c r="F104" s="18"/>
      <c r="G104" s="18"/>
      <c r="H104" s="18"/>
      <c r="I104" s="18"/>
      <c r="J104" s="18"/>
      <c r="K104" s="18"/>
    </row>
    <row r="105" customFormat="false" ht="15" hidden="false" customHeight="false" outlineLevel="0" collapsed="false">
      <c r="A105" s="19" t="s">
        <v>5311</v>
      </c>
    </row>
    <row r="106" customFormat="false" ht="15" hidden="false" customHeight="false" outlineLevel="0" collapsed="false">
      <c r="A106" s="19" t="s">
        <v>5312</v>
      </c>
    </row>
    <row r="107" customFormat="false" ht="15" hidden="false" customHeight="false" outlineLevel="0" collapsed="false">
      <c r="A107" s="26" t="s">
        <v>2179</v>
      </c>
    </row>
    <row r="108" customFormat="false" ht="15" hidden="false" customHeight="false" outlineLevel="0" collapsed="false">
      <c r="A108" s="21" t="s">
        <v>5313</v>
      </c>
    </row>
    <row r="109" customFormat="false" ht="15" hidden="false" customHeight="false" outlineLevel="0" collapsed="false">
      <c r="A109" s="21" t="s">
        <v>5314</v>
      </c>
    </row>
    <row r="110" customFormat="false" ht="15" hidden="false" customHeight="false" outlineLevel="0" collapsed="false">
      <c r="A110" s="22" t="s">
        <v>5315</v>
      </c>
      <c r="B110" s="22" t="s">
        <v>5308</v>
      </c>
      <c r="C110" s="22" t="s">
        <v>5233</v>
      </c>
      <c r="D110" s="22" t="s">
        <v>5234</v>
      </c>
      <c r="E110" s="22" t="s">
        <v>5309</v>
      </c>
      <c r="F110" s="22" t="s">
        <v>5235</v>
      </c>
      <c r="G110" s="22" t="s">
        <v>5316</v>
      </c>
      <c r="H110" s="22" t="s">
        <v>5317</v>
      </c>
      <c r="I110" s="22" t="s">
        <v>5236</v>
      </c>
      <c r="J110" s="22" t="s">
        <v>5318</v>
      </c>
      <c r="K110" s="22" t="s">
        <v>5237</v>
      </c>
    </row>
    <row r="111" customFormat="false" ht="15" hidden="false" customHeight="false" outlineLevel="0" collapsed="false">
      <c r="A111" s="4" t="s">
        <v>2519</v>
      </c>
      <c r="B111" s="4" t="n">
        <v>1950</v>
      </c>
      <c r="C111" s="4" t="n">
        <v>2250</v>
      </c>
      <c r="D111" s="4" t="n">
        <v>2650</v>
      </c>
      <c r="E111" s="4" t="n">
        <v>3100</v>
      </c>
      <c r="F111" s="4" t="n">
        <v>3600</v>
      </c>
      <c r="G111" s="4" t="n">
        <v>4200</v>
      </c>
      <c r="H111" s="4" t="n">
        <v>4800</v>
      </c>
      <c r="I111" s="4" t="n">
        <v>5450</v>
      </c>
      <c r="J111" s="4" t="n">
        <v>6100</v>
      </c>
      <c r="K111" s="4" t="n">
        <v>6800</v>
      </c>
    </row>
    <row r="112" customFormat="false" ht="15" hidden="false" customHeight="false" outlineLevel="0" collapsed="false">
      <c r="A112" s="4" t="s">
        <v>5246</v>
      </c>
      <c r="B112" s="4" t="n">
        <v>2000</v>
      </c>
      <c r="C112" s="4" t="n">
        <v>2500</v>
      </c>
      <c r="D112" s="4" t="n">
        <v>3100</v>
      </c>
      <c r="E112" s="4" t="n">
        <v>3850</v>
      </c>
      <c r="F112" s="4" t="n">
        <v>4700</v>
      </c>
      <c r="G112" s="4" t="n">
        <v>5700</v>
      </c>
      <c r="H112" s="4" t="n">
        <v>6850</v>
      </c>
      <c r="I112" s="4" t="n">
        <v>8100</v>
      </c>
      <c r="J112" s="4" t="n">
        <v>9450</v>
      </c>
      <c r="K112" s="4" t="n">
        <v>10800</v>
      </c>
    </row>
    <row r="113" customFormat="false" ht="15" hidden="false" customHeight="false" outlineLevel="0" collapsed="false">
      <c r="A113" s="4" t="s">
        <v>5247</v>
      </c>
      <c r="B113" s="4" t="n">
        <v>2100</v>
      </c>
      <c r="C113" s="4" t="n">
        <v>2850</v>
      </c>
      <c r="D113" s="4" t="n">
        <v>3800</v>
      </c>
      <c r="E113" s="4" t="n">
        <v>4950</v>
      </c>
      <c r="F113" s="4" t="n">
        <v>6400</v>
      </c>
      <c r="G113" s="4" t="n">
        <v>8200</v>
      </c>
      <c r="H113" s="4" t="n">
        <v>10300</v>
      </c>
      <c r="I113" s="4" t="n">
        <v>12800</v>
      </c>
      <c r="J113" s="4" t="n">
        <v>15600</v>
      </c>
      <c r="K113" s="4" t="n">
        <v>18800</v>
      </c>
    </row>
    <row r="116" customFormat="false" ht="15" hidden="false" customHeight="false" outlineLevel="0" collapsed="false">
      <c r="A116" s="17" t="s">
        <v>5319</v>
      </c>
      <c r="B116" s="18"/>
      <c r="C116" s="18"/>
      <c r="D116" s="18"/>
      <c r="E116" s="18"/>
      <c r="F116" s="18"/>
    </row>
    <row r="117" customFormat="false" ht="15" hidden="false" customHeight="false" outlineLevel="0" collapsed="false">
      <c r="A117" s="19" t="s">
        <v>5320</v>
      </c>
    </row>
    <row r="118" customFormat="false" ht="15" hidden="false" customHeight="false" outlineLevel="0" collapsed="false">
      <c r="A118" s="23" t="s">
        <v>1246</v>
      </c>
    </row>
    <row r="119" customFormat="false" ht="15" hidden="false" customHeight="false" outlineLevel="0" collapsed="false">
      <c r="A119" s="21" t="s">
        <v>5321</v>
      </c>
    </row>
    <row r="120" customFormat="false" ht="15" hidden="false" customHeight="false" outlineLevel="0" collapsed="false">
      <c r="A120" s="21" t="s">
        <v>5322</v>
      </c>
    </row>
    <row r="121" customFormat="false" ht="15" hidden="false" customHeight="false" outlineLevel="0" collapsed="false">
      <c r="A121" s="22" t="s">
        <v>5323</v>
      </c>
      <c r="B121" s="22" t="s">
        <v>5324</v>
      </c>
      <c r="C121" s="22" t="s">
        <v>5325</v>
      </c>
      <c r="D121" s="22" t="s">
        <v>5235</v>
      </c>
      <c r="E121" s="22" t="s">
        <v>5326</v>
      </c>
      <c r="F121" s="22" t="s">
        <v>5210</v>
      </c>
    </row>
    <row r="122" customFormat="false" ht="15" hidden="false" customHeight="false" outlineLevel="0" collapsed="false">
      <c r="A122" s="4" t="s">
        <v>5327</v>
      </c>
      <c r="B122" s="4" t="s">
        <v>5328</v>
      </c>
      <c r="C122" s="4" t="s">
        <v>5220</v>
      </c>
      <c r="D122" s="4" t="s">
        <v>5220</v>
      </c>
      <c r="E122" s="4" t="s">
        <v>5329</v>
      </c>
      <c r="F122" s="4" t="s">
        <v>5216</v>
      </c>
    </row>
    <row r="123" customFormat="false" ht="15" hidden="false" customHeight="false" outlineLevel="0" collapsed="false">
      <c r="A123" s="4" t="s">
        <v>5330</v>
      </c>
      <c r="B123" s="4" t="s">
        <v>5331</v>
      </c>
      <c r="C123" s="4" t="s">
        <v>5332</v>
      </c>
      <c r="D123" s="4" t="s">
        <v>5220</v>
      </c>
      <c r="E123" s="4" t="s">
        <v>5220</v>
      </c>
      <c r="F123" s="4" t="s">
        <v>5216</v>
      </c>
    </row>
    <row r="124" customFormat="false" ht="15" hidden="false" customHeight="false" outlineLevel="0" collapsed="false">
      <c r="A124" s="4" t="s">
        <v>5333</v>
      </c>
      <c r="B124" s="4" t="s">
        <v>5334</v>
      </c>
      <c r="C124" s="4" t="s">
        <v>5220</v>
      </c>
      <c r="D124" s="4" t="s">
        <v>5220</v>
      </c>
      <c r="E124" s="4" t="s">
        <v>5220</v>
      </c>
      <c r="F124" s="4" t="s">
        <v>5216</v>
      </c>
    </row>
    <row r="125" customFormat="false" ht="15" hidden="false" customHeight="false" outlineLevel="0" collapsed="false">
      <c r="A125" s="4" t="s">
        <v>5335</v>
      </c>
      <c r="B125" s="4" t="s">
        <v>5220</v>
      </c>
      <c r="C125" s="4" t="s">
        <v>5220</v>
      </c>
      <c r="D125" s="4" t="s">
        <v>5336</v>
      </c>
      <c r="E125" s="4" t="s">
        <v>5220</v>
      </c>
      <c r="F125" s="4" t="s">
        <v>5216</v>
      </c>
    </row>
    <row r="126" customFormat="false" ht="15" hidden="false" customHeight="false" outlineLevel="0" collapsed="false">
      <c r="A126" s="4" t="s">
        <v>5337</v>
      </c>
      <c r="B126" s="4" t="s">
        <v>5220</v>
      </c>
      <c r="C126" s="4" t="s">
        <v>5220</v>
      </c>
      <c r="D126" s="4" t="s">
        <v>5338</v>
      </c>
      <c r="E126" s="4" t="s">
        <v>5220</v>
      </c>
      <c r="F126" s="4" t="s">
        <v>5216</v>
      </c>
    </row>
    <row r="127" customFormat="false" ht="15" hidden="false" customHeight="false" outlineLevel="0" collapsed="false">
      <c r="A127" s="4" t="s">
        <v>5339</v>
      </c>
      <c r="B127" s="4" t="s">
        <v>5220</v>
      </c>
      <c r="C127" s="4" t="s">
        <v>5220</v>
      </c>
      <c r="D127" s="4" t="s">
        <v>5340</v>
      </c>
      <c r="E127" s="4" t="s">
        <v>5220</v>
      </c>
      <c r="F127" s="4" t="s">
        <v>5216</v>
      </c>
    </row>
    <row r="128" customFormat="false" ht="15" hidden="false" customHeight="false" outlineLevel="0" collapsed="false">
      <c r="A128" s="4" t="s">
        <v>5341</v>
      </c>
      <c r="B128" s="4" t="s">
        <v>5220</v>
      </c>
      <c r="C128" s="4" t="s">
        <v>5220</v>
      </c>
      <c r="D128" s="4" t="s">
        <v>5342</v>
      </c>
      <c r="E128" s="4" t="s">
        <v>5220</v>
      </c>
      <c r="F128" s="4" t="s">
        <v>5216</v>
      </c>
    </row>
    <row r="129" customFormat="false" ht="15" hidden="false" customHeight="false" outlineLevel="0" collapsed="false">
      <c r="A129" s="4" t="s">
        <v>5343</v>
      </c>
      <c r="B129" s="4" t="s">
        <v>5220</v>
      </c>
      <c r="C129" s="4" t="s">
        <v>5220</v>
      </c>
      <c r="D129" s="4" t="s">
        <v>5344</v>
      </c>
      <c r="E129" s="4" t="s">
        <v>5220</v>
      </c>
      <c r="F129" s="4" t="s">
        <v>5216</v>
      </c>
    </row>
    <row r="130" customFormat="false" ht="15" hidden="false" customHeight="false" outlineLevel="0" collapsed="false">
      <c r="A130" s="4" t="s">
        <v>5345</v>
      </c>
      <c r="B130" s="4" t="s">
        <v>5346</v>
      </c>
      <c r="C130" s="4" t="s">
        <v>5220</v>
      </c>
      <c r="D130" s="4" t="s">
        <v>5347</v>
      </c>
      <c r="E130" s="4" t="s">
        <v>5220</v>
      </c>
      <c r="F130" s="4" t="s">
        <v>5348</v>
      </c>
    </row>
    <row r="131" customFormat="false" ht="15" hidden="false" customHeight="false" outlineLevel="0" collapsed="false">
      <c r="A131" s="4" t="s">
        <v>5349</v>
      </c>
      <c r="B131" s="4" t="s">
        <v>5220</v>
      </c>
      <c r="C131" s="4" t="s">
        <v>5220</v>
      </c>
      <c r="D131" s="4" t="s">
        <v>5350</v>
      </c>
      <c r="E131" s="4" t="s">
        <v>5220</v>
      </c>
      <c r="F131" s="4" t="s">
        <v>5216</v>
      </c>
    </row>
    <row r="132" customFormat="false" ht="15" hidden="false" customHeight="false" outlineLevel="0" collapsed="false">
      <c r="A132" s="4" t="s">
        <v>5351</v>
      </c>
      <c r="B132" s="4" t="s">
        <v>5220</v>
      </c>
      <c r="C132" s="4" t="s">
        <v>5220</v>
      </c>
      <c r="D132" s="4" t="s">
        <v>5352</v>
      </c>
      <c r="E132" s="4" t="s">
        <v>5220</v>
      </c>
      <c r="F132" s="4" t="s">
        <v>5216</v>
      </c>
    </row>
    <row r="133" customFormat="false" ht="15" hidden="false" customHeight="false" outlineLevel="0" collapsed="false">
      <c r="A133" s="4" t="s">
        <v>5353</v>
      </c>
      <c r="B133" s="4" t="s">
        <v>5220</v>
      </c>
      <c r="C133" s="4" t="s">
        <v>5220</v>
      </c>
      <c r="D133" s="4" t="s">
        <v>5354</v>
      </c>
      <c r="E133" s="4" t="s">
        <v>5220</v>
      </c>
      <c r="F133" s="4" t="s">
        <v>5216</v>
      </c>
    </row>
    <row r="134" customFormat="false" ht="23.85" hidden="false" customHeight="false" outlineLevel="0" collapsed="false">
      <c r="A134" s="4" t="s">
        <v>5355</v>
      </c>
      <c r="B134" s="4" t="s">
        <v>5220</v>
      </c>
      <c r="C134" s="4" t="s">
        <v>5220</v>
      </c>
      <c r="D134" s="4" t="s">
        <v>5220</v>
      </c>
      <c r="E134" s="4" t="s">
        <v>5356</v>
      </c>
      <c r="F134" s="4" t="s">
        <v>5216</v>
      </c>
    </row>
    <row r="135" customFormat="false" ht="15" hidden="false" customHeight="false" outlineLevel="0" collapsed="false">
      <c r="A135" s="4" t="s">
        <v>5357</v>
      </c>
      <c r="B135" s="4" t="s">
        <v>5358</v>
      </c>
      <c r="C135" s="4" t="s">
        <v>5359</v>
      </c>
      <c r="D135" s="4" t="s">
        <v>5360</v>
      </c>
      <c r="E135" s="4" t="s">
        <v>5361</v>
      </c>
      <c r="F135" s="4" t="s">
        <v>4660</v>
      </c>
    </row>
    <row r="138" customFormat="false" ht="15" hidden="false" customHeight="false" outlineLevel="0" collapsed="false">
      <c r="A138" s="17" t="s">
        <v>5362</v>
      </c>
      <c r="B138" s="18"/>
      <c r="C138" s="18"/>
      <c r="D138" s="18"/>
      <c r="E138" s="18"/>
      <c r="F138" s="18"/>
      <c r="G138" s="18"/>
      <c r="H138" s="18"/>
    </row>
    <row r="139" customFormat="false" ht="15" hidden="false" customHeight="false" outlineLevel="0" collapsed="false">
      <c r="A139" s="19" t="s">
        <v>5363</v>
      </c>
    </row>
    <row r="140" customFormat="false" ht="15" hidden="false" customHeight="false" outlineLevel="0" collapsed="false">
      <c r="A140" s="19" t="s">
        <v>5364</v>
      </c>
    </row>
    <row r="141" customFormat="false" ht="15" hidden="false" customHeight="false" outlineLevel="0" collapsed="false">
      <c r="A141" s="26" t="s">
        <v>2179</v>
      </c>
    </row>
    <row r="142" customFormat="false" ht="15" hidden="false" customHeight="false" outlineLevel="0" collapsed="false">
      <c r="A142" s="21" t="s">
        <v>5365</v>
      </c>
    </row>
    <row r="143" customFormat="false" ht="15" hidden="false" customHeight="false" outlineLevel="0" collapsed="false">
      <c r="A143" s="21" t="s">
        <v>5366</v>
      </c>
    </row>
    <row r="144" customFormat="false" ht="15" hidden="false" customHeight="false" outlineLevel="0" collapsed="false">
      <c r="A144" s="22" t="s">
        <v>1551</v>
      </c>
      <c r="B144" s="22" t="s">
        <v>5367</v>
      </c>
      <c r="C144" s="22" t="s">
        <v>5368</v>
      </c>
      <c r="D144" s="22" t="s">
        <v>1627</v>
      </c>
      <c r="E144" s="22" t="s">
        <v>5369</v>
      </c>
      <c r="F144" s="22" t="s">
        <v>5370</v>
      </c>
      <c r="G144" s="22" t="s">
        <v>5371</v>
      </c>
      <c r="H144" s="22" t="s">
        <v>5372</v>
      </c>
    </row>
    <row r="145" customFormat="false" ht="15" hidden="false" customHeight="false" outlineLevel="0" collapsed="false">
      <c r="A145" s="4" t="n">
        <v>2026</v>
      </c>
      <c r="B145" s="4" t="n">
        <v>2000</v>
      </c>
      <c r="C145" s="4" t="n">
        <v>0.55</v>
      </c>
      <c r="D145" s="4" t="n">
        <v>1.5</v>
      </c>
      <c r="E145" s="4" t="n">
        <v>9.6</v>
      </c>
      <c r="F145" s="4" t="n">
        <v>14.5</v>
      </c>
      <c r="G145" s="4" t="n">
        <v>1918</v>
      </c>
      <c r="H145" s="4" t="s">
        <v>5373</v>
      </c>
    </row>
    <row r="146" customFormat="false" ht="15" hidden="false" customHeight="false" outlineLevel="0" collapsed="false">
      <c r="A146" s="4" t="n">
        <v>2027</v>
      </c>
      <c r="B146" s="4" t="n">
        <v>2500</v>
      </c>
      <c r="C146" s="4" t="n">
        <v>0.56</v>
      </c>
      <c r="D146" s="4" t="n">
        <v>1.48</v>
      </c>
      <c r="E146" s="4" t="n">
        <v>12.3</v>
      </c>
      <c r="F146" s="4" t="n">
        <v>18.2</v>
      </c>
      <c r="G146" s="4" t="n">
        <v>2041</v>
      </c>
      <c r="H146" s="4" t="s">
        <v>5374</v>
      </c>
    </row>
    <row r="147" customFormat="false" ht="15" hidden="false" customHeight="false" outlineLevel="0" collapsed="false">
      <c r="A147" s="4" t="n">
        <v>2028</v>
      </c>
      <c r="B147" s="4" t="n">
        <v>3100</v>
      </c>
      <c r="C147" s="4" t="n">
        <v>0.57</v>
      </c>
      <c r="D147" s="4" t="n">
        <v>1.46</v>
      </c>
      <c r="E147" s="4" t="n">
        <v>15.5</v>
      </c>
      <c r="F147" s="4" t="n">
        <v>22.6</v>
      </c>
      <c r="G147" s="4" t="n">
        <v>2172</v>
      </c>
      <c r="H147" s="4" t="s">
        <v>5375</v>
      </c>
    </row>
    <row r="148" customFormat="false" ht="15" hidden="false" customHeight="false" outlineLevel="0" collapsed="false">
      <c r="A148" s="4" t="n">
        <v>2029</v>
      </c>
      <c r="B148" s="4" t="n">
        <v>3850</v>
      </c>
      <c r="C148" s="4" t="n">
        <v>0.58</v>
      </c>
      <c r="D148" s="4" t="n">
        <v>1.44</v>
      </c>
      <c r="E148" s="4" t="n">
        <v>19.6</v>
      </c>
      <c r="F148" s="4" t="n">
        <v>28.2</v>
      </c>
      <c r="G148" s="4" t="n">
        <v>2311</v>
      </c>
      <c r="H148" s="4" t="s">
        <v>5376</v>
      </c>
    </row>
    <row r="149" customFormat="false" ht="15" hidden="false" customHeight="false" outlineLevel="0" collapsed="false">
      <c r="A149" s="4" t="n">
        <v>2030</v>
      </c>
      <c r="B149" s="4" t="n">
        <v>4700</v>
      </c>
      <c r="C149" s="4" t="n">
        <v>0.6</v>
      </c>
      <c r="D149" s="4" t="n">
        <v>1.42</v>
      </c>
      <c r="E149" s="4" t="n">
        <v>24.7</v>
      </c>
      <c r="F149" s="4" t="n">
        <v>35.1</v>
      </c>
      <c r="G149" s="4" t="n">
        <v>2459</v>
      </c>
      <c r="H149" s="4" t="s">
        <v>5377</v>
      </c>
    </row>
    <row r="150" customFormat="false" ht="15" hidden="false" customHeight="false" outlineLevel="0" collapsed="false">
      <c r="A150" s="4" t="n">
        <v>2031</v>
      </c>
      <c r="B150" s="4" t="n">
        <v>5700</v>
      </c>
      <c r="C150" s="4" t="n">
        <v>0.61</v>
      </c>
      <c r="D150" s="4" t="n">
        <v>1.41</v>
      </c>
      <c r="E150" s="4" t="n">
        <v>30.5</v>
      </c>
      <c r="F150" s="4" t="n">
        <v>43</v>
      </c>
      <c r="G150" s="4" t="n">
        <v>2617</v>
      </c>
      <c r="H150" s="4" t="s">
        <v>5378</v>
      </c>
    </row>
    <row r="151" customFormat="false" ht="15" hidden="false" customHeight="false" outlineLevel="0" collapsed="false">
      <c r="A151" s="4" t="n">
        <v>2032</v>
      </c>
      <c r="B151" s="4" t="n">
        <v>6850</v>
      </c>
      <c r="C151" s="4" t="n">
        <v>0.62</v>
      </c>
      <c r="D151" s="4" t="n">
        <v>1.4</v>
      </c>
      <c r="E151" s="4" t="n">
        <v>37.2</v>
      </c>
      <c r="F151" s="4" t="n">
        <v>52.1</v>
      </c>
      <c r="G151" s="4" t="n">
        <v>2785</v>
      </c>
      <c r="H151" s="4" t="s">
        <v>5379</v>
      </c>
    </row>
    <row r="152" customFormat="false" ht="15" hidden="false" customHeight="false" outlineLevel="0" collapsed="false">
      <c r="A152" s="4" t="n">
        <v>2033</v>
      </c>
      <c r="B152" s="4" t="n">
        <v>8100</v>
      </c>
      <c r="C152" s="4" t="n">
        <v>0.63</v>
      </c>
      <c r="D152" s="4" t="n">
        <v>1.38</v>
      </c>
      <c r="E152" s="4" t="n">
        <v>44.7</v>
      </c>
      <c r="F152" s="4" t="n">
        <v>61.7</v>
      </c>
      <c r="G152" s="4" t="n">
        <v>2963</v>
      </c>
      <c r="H152" s="4" t="s">
        <v>5380</v>
      </c>
    </row>
    <row r="153" customFormat="false" ht="15" hidden="false" customHeight="false" outlineLevel="0" collapsed="false">
      <c r="A153" s="4" t="n">
        <v>2034</v>
      </c>
      <c r="B153" s="4" t="n">
        <v>9450</v>
      </c>
      <c r="C153" s="4" t="n">
        <v>0.64</v>
      </c>
      <c r="D153" s="4" t="n">
        <v>1.37</v>
      </c>
      <c r="E153" s="4" t="n">
        <v>53</v>
      </c>
      <c r="F153" s="4" t="n">
        <v>72.6</v>
      </c>
      <c r="G153" s="4" t="n">
        <v>3153</v>
      </c>
      <c r="H153" s="4" t="s">
        <v>5381</v>
      </c>
    </row>
    <row r="154" customFormat="false" ht="15" hidden="false" customHeight="false" outlineLevel="0" collapsed="false">
      <c r="A154" s="4" t="n">
        <v>2035</v>
      </c>
      <c r="B154" s="4" t="n">
        <v>10800</v>
      </c>
      <c r="C154" s="4" t="n">
        <v>0.65</v>
      </c>
      <c r="D154" s="4" t="n">
        <v>1.35</v>
      </c>
      <c r="E154" s="4" t="n">
        <v>61.5</v>
      </c>
      <c r="F154" s="4" t="n">
        <v>83</v>
      </c>
      <c r="G154" s="4" t="n">
        <v>3355</v>
      </c>
      <c r="H154" s="4" t="s">
        <v>5382</v>
      </c>
    </row>
    <row r="157" customFormat="false" ht="15" hidden="false" customHeight="false" outlineLevel="0" collapsed="false">
      <c r="A157" s="17" t="s">
        <v>5383</v>
      </c>
      <c r="B157" s="18"/>
      <c r="C157" s="18"/>
      <c r="D157" s="18"/>
      <c r="E157" s="18"/>
      <c r="F157" s="18"/>
    </row>
    <row r="158" customFormat="false" ht="15" hidden="false" customHeight="false" outlineLevel="0" collapsed="false">
      <c r="A158" s="19" t="s">
        <v>5363</v>
      </c>
    </row>
    <row r="159" customFormat="false" ht="15" hidden="false" customHeight="false" outlineLevel="0" collapsed="false">
      <c r="A159" s="19" t="s">
        <v>5384</v>
      </c>
    </row>
    <row r="160" customFormat="false" ht="15" hidden="false" customHeight="false" outlineLevel="0" collapsed="false">
      <c r="A160" s="26" t="s">
        <v>2179</v>
      </c>
    </row>
    <row r="161" customFormat="false" ht="15" hidden="false" customHeight="false" outlineLevel="0" collapsed="false">
      <c r="A161" s="21" t="s">
        <v>5385</v>
      </c>
    </row>
    <row r="162" customFormat="false" ht="15" hidden="false" customHeight="false" outlineLevel="0" collapsed="false">
      <c r="A162" s="21" t="s">
        <v>5386</v>
      </c>
    </row>
    <row r="163" customFormat="false" ht="15" hidden="false" customHeight="false" outlineLevel="0" collapsed="false">
      <c r="A163" s="22" t="s">
        <v>2655</v>
      </c>
      <c r="B163" s="22" t="s">
        <v>5387</v>
      </c>
      <c r="C163" s="22" t="s">
        <v>5388</v>
      </c>
      <c r="D163" s="22" t="s">
        <v>5389</v>
      </c>
      <c r="E163" s="22" t="s">
        <v>5390</v>
      </c>
      <c r="F163" s="22" t="s">
        <v>5391</v>
      </c>
    </row>
    <row r="164" customFormat="false" ht="15" hidden="false" customHeight="false" outlineLevel="0" collapsed="false">
      <c r="A164" s="4" t="s">
        <v>5392</v>
      </c>
      <c r="B164" s="4" t="n">
        <v>24.7</v>
      </c>
      <c r="C164" s="4" t="s">
        <v>5393</v>
      </c>
      <c r="D164" s="4" t="n">
        <v>49.1</v>
      </c>
      <c r="E164" s="4" t="s">
        <v>5394</v>
      </c>
      <c r="F164" s="4" t="s">
        <v>5395</v>
      </c>
    </row>
    <row r="165" customFormat="false" ht="15" hidden="false" customHeight="false" outlineLevel="0" collapsed="false">
      <c r="A165" s="4" t="s">
        <v>5246</v>
      </c>
      <c r="B165" s="4" t="n">
        <v>35.1</v>
      </c>
      <c r="C165" s="4" t="s">
        <v>3523</v>
      </c>
      <c r="D165" s="4" t="n">
        <v>83</v>
      </c>
      <c r="E165" s="4" t="s">
        <v>5396</v>
      </c>
      <c r="F165" s="4" t="s">
        <v>5397</v>
      </c>
    </row>
    <row r="166" customFormat="false" ht="15" hidden="false" customHeight="false" outlineLevel="0" collapsed="false">
      <c r="A166" s="4" t="s">
        <v>5398</v>
      </c>
      <c r="B166" s="4" t="n">
        <v>51</v>
      </c>
      <c r="C166" s="4" t="s">
        <v>5399</v>
      </c>
      <c r="D166" s="4" t="n">
        <v>154.2</v>
      </c>
      <c r="E166" s="4" t="s">
        <v>5400</v>
      </c>
      <c r="F166" s="4" t="s">
        <v>5401</v>
      </c>
    </row>
    <row r="169" customFormat="false" ht="15" hidden="false" customHeight="false" outlineLevel="0" collapsed="false">
      <c r="A169" s="17" t="s">
        <v>5402</v>
      </c>
      <c r="B169" s="18"/>
      <c r="C169" s="18"/>
      <c r="D169" s="18"/>
      <c r="E169" s="18"/>
      <c r="F169" s="18"/>
      <c r="G169" s="18"/>
    </row>
    <row r="170" customFormat="false" ht="15" hidden="false" customHeight="false" outlineLevel="0" collapsed="false">
      <c r="A170" s="19" t="s">
        <v>5363</v>
      </c>
    </row>
    <row r="171" customFormat="false" ht="15" hidden="false" customHeight="false" outlineLevel="0" collapsed="false">
      <c r="A171" s="19" t="s">
        <v>5403</v>
      </c>
    </row>
    <row r="172" customFormat="false" ht="15" hidden="false" customHeight="false" outlineLevel="0" collapsed="false">
      <c r="A172" s="25" t="s">
        <v>2043</v>
      </c>
    </row>
    <row r="173" customFormat="false" ht="15" hidden="false" customHeight="false" outlineLevel="0" collapsed="false">
      <c r="A173" s="21" t="s">
        <v>5404</v>
      </c>
    </row>
    <row r="174" customFormat="false" ht="15" hidden="false" customHeight="false" outlineLevel="0" collapsed="false">
      <c r="A174" s="21" t="s">
        <v>5405</v>
      </c>
    </row>
    <row r="175" customFormat="false" ht="15" hidden="false" customHeight="false" outlineLevel="0" collapsed="false">
      <c r="A175" s="22" t="s">
        <v>5406</v>
      </c>
      <c r="B175" s="22" t="s">
        <v>5407</v>
      </c>
      <c r="C175" s="22" t="s">
        <v>5408</v>
      </c>
      <c r="D175" s="22" t="s">
        <v>3511</v>
      </c>
      <c r="E175" s="22" t="s">
        <v>5409</v>
      </c>
      <c r="F175" s="22" t="s">
        <v>5410</v>
      </c>
      <c r="G175" s="22" t="s">
        <v>3511</v>
      </c>
    </row>
    <row r="176" customFormat="false" ht="15" hidden="false" customHeight="false" outlineLevel="0" collapsed="false">
      <c r="A176" s="4" t="s">
        <v>5411</v>
      </c>
      <c r="B176" s="4" t="n">
        <v>17.9</v>
      </c>
      <c r="C176" s="4" t="n">
        <v>250</v>
      </c>
      <c r="D176" s="4" t="s">
        <v>5412</v>
      </c>
      <c r="E176" s="4" t="n">
        <v>39.9</v>
      </c>
      <c r="F176" s="4" t="n">
        <v>330</v>
      </c>
      <c r="G176" s="4" t="s">
        <v>5413</v>
      </c>
    </row>
    <row r="177" customFormat="false" ht="15" hidden="false" customHeight="false" outlineLevel="0" collapsed="false">
      <c r="A177" s="4" t="s">
        <v>5414</v>
      </c>
      <c r="B177" s="4" t="n">
        <v>4.8</v>
      </c>
      <c r="C177" s="4" t="n">
        <v>120</v>
      </c>
      <c r="D177" s="4" t="s">
        <v>5415</v>
      </c>
      <c r="E177" s="4" t="n">
        <v>12.2</v>
      </c>
      <c r="F177" s="4" t="n">
        <v>160</v>
      </c>
      <c r="G177" s="4" t="s">
        <v>5416</v>
      </c>
    </row>
    <row r="178" customFormat="false" ht="15" hidden="false" customHeight="false" outlineLevel="0" collapsed="false">
      <c r="A178" s="4" t="s">
        <v>5417</v>
      </c>
      <c r="B178" s="4" t="n">
        <v>3.5</v>
      </c>
      <c r="C178" s="4" t="n">
        <v>175</v>
      </c>
      <c r="D178" s="4" t="s">
        <v>5418</v>
      </c>
      <c r="E178" s="4" t="n">
        <v>11</v>
      </c>
      <c r="F178" s="4" t="n">
        <v>230</v>
      </c>
      <c r="G178" s="4" t="s">
        <v>5419</v>
      </c>
    </row>
    <row r="179" customFormat="false" ht="15" hidden="false" customHeight="false" outlineLevel="0" collapsed="false">
      <c r="A179" s="4" t="s">
        <v>5420</v>
      </c>
      <c r="B179" s="4" t="n">
        <v>1.9</v>
      </c>
      <c r="C179" s="4" t="n">
        <v>105</v>
      </c>
      <c r="D179" s="4" t="s">
        <v>3469</v>
      </c>
      <c r="E179" s="4" t="n">
        <v>4.9</v>
      </c>
      <c r="F179" s="4" t="n">
        <v>140</v>
      </c>
      <c r="G179" s="4" t="s">
        <v>5421</v>
      </c>
    </row>
    <row r="180" customFormat="false" ht="15" hidden="false" customHeight="false" outlineLevel="0" collapsed="false">
      <c r="A180" s="4" t="s">
        <v>5422</v>
      </c>
      <c r="B180" s="4" t="n">
        <v>1.7</v>
      </c>
      <c r="C180" s="4" t="n">
        <v>120</v>
      </c>
      <c r="D180" s="4" t="s">
        <v>3523</v>
      </c>
      <c r="E180" s="4" t="n">
        <v>3.9</v>
      </c>
      <c r="F180" s="4" t="n">
        <v>160</v>
      </c>
      <c r="G180" s="4" t="s">
        <v>5423</v>
      </c>
    </row>
    <row r="181" customFormat="false" ht="15" hidden="false" customHeight="false" outlineLevel="0" collapsed="false">
      <c r="A181" s="4" t="s">
        <v>5424</v>
      </c>
      <c r="B181" s="4" t="n">
        <v>2.4</v>
      </c>
      <c r="C181" s="4" t="n">
        <v>210</v>
      </c>
      <c r="D181" s="4" t="s">
        <v>2229</v>
      </c>
      <c r="E181" s="4" t="n">
        <v>5.5</v>
      </c>
      <c r="F181" s="4" t="n">
        <v>280</v>
      </c>
      <c r="G181" s="4" t="s">
        <v>5418</v>
      </c>
    </row>
    <row r="184" customFormat="false" ht="15" hidden="false" customHeight="false" outlineLevel="0" collapsed="false">
      <c r="A184" s="17" t="s">
        <v>5425</v>
      </c>
      <c r="B184" s="18"/>
    </row>
    <row r="185" customFormat="false" ht="15" hidden="false" customHeight="false" outlineLevel="0" collapsed="false">
      <c r="A185" s="19" t="s">
        <v>5426</v>
      </c>
    </row>
    <row r="186" customFormat="false" ht="15" hidden="false" customHeight="false" outlineLevel="0" collapsed="false">
      <c r="A186" s="19" t="s">
        <v>5427</v>
      </c>
    </row>
    <row r="187" customFormat="false" ht="15" hidden="false" customHeight="false" outlineLevel="0" collapsed="false">
      <c r="A187" s="23" t="s">
        <v>1246</v>
      </c>
    </row>
    <row r="188" customFormat="false" ht="15" hidden="false" customHeight="false" outlineLevel="0" collapsed="false">
      <c r="A188" s="21" t="s">
        <v>5428</v>
      </c>
    </row>
    <row r="189" customFormat="false" ht="15" hidden="false" customHeight="false" outlineLevel="0" collapsed="false">
      <c r="A189" s="21" t="s">
        <v>5429</v>
      </c>
    </row>
    <row r="190" customFormat="false" ht="15" hidden="false" customHeight="false" outlineLevel="0" collapsed="false">
      <c r="A190" s="22" t="s">
        <v>5430</v>
      </c>
      <c r="B190" s="22" t="s">
        <v>5431</v>
      </c>
    </row>
    <row r="191" customFormat="false" ht="15" hidden="false" customHeight="false" outlineLevel="0" collapsed="false">
      <c r="A191" s="4" t="s">
        <v>5432</v>
      </c>
      <c r="B191" s="4" t="n">
        <v>0.774</v>
      </c>
    </row>
    <row r="192" customFormat="false" ht="15" hidden="false" customHeight="false" outlineLevel="0" collapsed="false">
      <c r="A192" s="4" t="s">
        <v>5433</v>
      </c>
      <c r="B192" s="4" t="s">
        <v>5434</v>
      </c>
    </row>
    <row r="193" customFormat="false" ht="15" hidden="false" customHeight="false" outlineLevel="0" collapsed="false">
      <c r="A193" s="4" t="s">
        <v>5435</v>
      </c>
      <c r="B193" s="4" t="n">
        <v>0.716</v>
      </c>
    </row>
    <row r="194" customFormat="false" ht="15" hidden="false" customHeight="false" outlineLevel="0" collapsed="false">
      <c r="A194" s="4" t="s">
        <v>5436</v>
      </c>
      <c r="B194" s="4" t="n">
        <v>0.727</v>
      </c>
    </row>
    <row r="195" customFormat="false" ht="15" hidden="false" customHeight="false" outlineLevel="0" collapsed="false">
      <c r="A195" s="4" t="s">
        <v>5437</v>
      </c>
      <c r="B195" s="4" t="s">
        <v>5438</v>
      </c>
    </row>
    <row r="198" customFormat="false" ht="15" hidden="false" customHeight="false" outlineLevel="0" collapsed="false">
      <c r="A198" s="17" t="s">
        <v>5439</v>
      </c>
      <c r="B198" s="18"/>
      <c r="C198" s="18"/>
      <c r="D198" s="18"/>
    </row>
    <row r="199" customFormat="false" ht="15" hidden="false" customHeight="false" outlineLevel="0" collapsed="false">
      <c r="A199" s="19" t="s">
        <v>5426</v>
      </c>
    </row>
    <row r="200" customFormat="false" ht="15" hidden="false" customHeight="false" outlineLevel="0" collapsed="false">
      <c r="A200" s="19" t="s">
        <v>5440</v>
      </c>
    </row>
    <row r="201" customFormat="false" ht="15" hidden="false" customHeight="false" outlineLevel="0" collapsed="false">
      <c r="A201" s="25" t="s">
        <v>2043</v>
      </c>
    </row>
    <row r="202" customFormat="false" ht="15" hidden="false" customHeight="false" outlineLevel="0" collapsed="false">
      <c r="A202" s="21" t="s">
        <v>5441</v>
      </c>
    </row>
    <row r="203" customFormat="false" ht="15" hidden="false" customHeight="false" outlineLevel="0" collapsed="false">
      <c r="A203" s="21" t="s">
        <v>5442</v>
      </c>
    </row>
    <row r="204" customFormat="false" ht="15" hidden="false" customHeight="false" outlineLevel="0" collapsed="false">
      <c r="A204" s="22" t="s">
        <v>1551</v>
      </c>
      <c r="B204" s="22" t="s">
        <v>5443</v>
      </c>
      <c r="C204" s="22" t="s">
        <v>5246</v>
      </c>
      <c r="D204" s="22" t="s">
        <v>5444</v>
      </c>
    </row>
    <row r="205" customFormat="false" ht="15" hidden="false" customHeight="false" outlineLevel="0" collapsed="false">
      <c r="A205" s="4" t="n">
        <v>2026</v>
      </c>
      <c r="B205" s="4" t="n">
        <v>0.71</v>
      </c>
      <c r="C205" s="4" t="n">
        <v>0.7</v>
      </c>
      <c r="D205" s="4" t="n">
        <v>0.69</v>
      </c>
    </row>
    <row r="206" customFormat="false" ht="15" hidden="false" customHeight="false" outlineLevel="0" collapsed="false">
      <c r="A206" s="4" t="n">
        <v>2030</v>
      </c>
      <c r="B206" s="4" t="n">
        <v>0.69</v>
      </c>
      <c r="C206" s="4" t="n">
        <v>0.62</v>
      </c>
      <c r="D206" s="4" t="n">
        <v>0.55</v>
      </c>
    </row>
    <row r="207" customFormat="false" ht="15" hidden="false" customHeight="false" outlineLevel="0" collapsed="false">
      <c r="A207" s="4" t="n">
        <v>2035</v>
      </c>
      <c r="B207" s="4" t="n">
        <v>0.65</v>
      </c>
      <c r="C207" s="4" t="n">
        <v>0.535</v>
      </c>
      <c r="D207" s="4" t="n">
        <v>0.45</v>
      </c>
    </row>
    <row r="210" customFormat="false" ht="15" hidden="false" customHeight="false" outlineLevel="0" collapsed="false">
      <c r="A210" s="17" t="s">
        <v>5445</v>
      </c>
      <c r="B210" s="18"/>
      <c r="C210" s="18"/>
      <c r="D210" s="18"/>
      <c r="E210" s="18"/>
      <c r="F210" s="18"/>
    </row>
    <row r="211" customFormat="false" ht="15" hidden="false" customHeight="false" outlineLevel="0" collapsed="false">
      <c r="A211" s="19" t="s">
        <v>5426</v>
      </c>
    </row>
    <row r="212" customFormat="false" ht="15" hidden="false" customHeight="false" outlineLevel="0" collapsed="false">
      <c r="A212" s="19" t="s">
        <v>5446</v>
      </c>
    </row>
    <row r="213" customFormat="false" ht="15" hidden="false" customHeight="false" outlineLevel="0" collapsed="false">
      <c r="A213" s="26" t="s">
        <v>2179</v>
      </c>
    </row>
    <row r="214" customFormat="false" ht="15" hidden="false" customHeight="false" outlineLevel="0" collapsed="false">
      <c r="A214" s="21" t="s">
        <v>5447</v>
      </c>
    </row>
    <row r="215" customFormat="false" ht="15" hidden="false" customHeight="false" outlineLevel="0" collapsed="false">
      <c r="A215" s="21" t="s">
        <v>5448</v>
      </c>
    </row>
    <row r="216" customFormat="false" ht="15" hidden="false" customHeight="false" outlineLevel="0" collapsed="false">
      <c r="A216" s="22" t="s">
        <v>1551</v>
      </c>
      <c r="B216" s="22" t="s">
        <v>5370</v>
      </c>
      <c r="C216" s="22" t="s">
        <v>5449</v>
      </c>
      <c r="D216" s="22" t="s">
        <v>5450</v>
      </c>
      <c r="E216" s="22" t="s">
        <v>5451</v>
      </c>
      <c r="F216" s="22" t="s">
        <v>5452</v>
      </c>
    </row>
    <row r="217" customFormat="false" ht="15" hidden="false" customHeight="false" outlineLevel="0" collapsed="false">
      <c r="A217" s="4" t="n">
        <v>2026</v>
      </c>
      <c r="B217" s="4" t="n">
        <v>14.5</v>
      </c>
      <c r="C217" s="4" t="n">
        <v>0.7</v>
      </c>
      <c r="D217" s="4" t="n">
        <v>0.3</v>
      </c>
      <c r="E217" s="4" t="n">
        <v>7.1</v>
      </c>
      <c r="F217" s="4" t="n">
        <v>10.1</v>
      </c>
    </row>
    <row r="218" customFormat="false" ht="15" hidden="false" customHeight="false" outlineLevel="0" collapsed="false">
      <c r="A218" s="4" t="n">
        <v>2027</v>
      </c>
      <c r="B218" s="4" t="n">
        <v>18.2</v>
      </c>
      <c r="C218" s="4" t="n">
        <v>0.68</v>
      </c>
      <c r="D218" s="4" t="n">
        <v>0.33</v>
      </c>
      <c r="E218" s="4" t="n">
        <v>8.3</v>
      </c>
      <c r="F218" s="4" t="n">
        <v>12.3</v>
      </c>
    </row>
    <row r="219" customFormat="false" ht="15" hidden="false" customHeight="false" outlineLevel="0" collapsed="false">
      <c r="A219" s="4" t="n">
        <v>2028</v>
      </c>
      <c r="B219" s="4" t="n">
        <v>22.6</v>
      </c>
      <c r="C219" s="4" t="n">
        <v>0.66</v>
      </c>
      <c r="D219" s="4" t="n">
        <v>0.37</v>
      </c>
      <c r="E219" s="4" t="n">
        <v>9.4</v>
      </c>
      <c r="F219" s="4" t="n">
        <v>14.9</v>
      </c>
    </row>
    <row r="220" customFormat="false" ht="15" hidden="false" customHeight="false" outlineLevel="0" collapsed="false">
      <c r="A220" s="4" t="n">
        <v>2029</v>
      </c>
      <c r="B220" s="4" t="n">
        <v>28.2</v>
      </c>
      <c r="C220" s="4" t="n">
        <v>0.64</v>
      </c>
      <c r="D220" s="4" t="n">
        <v>0.4</v>
      </c>
      <c r="E220" s="4" t="n">
        <v>10.8</v>
      </c>
      <c r="F220" s="4" t="n">
        <v>18</v>
      </c>
    </row>
    <row r="221" customFormat="false" ht="15" hidden="false" customHeight="false" outlineLevel="0" collapsed="false">
      <c r="A221" s="4" t="n">
        <v>2030</v>
      </c>
      <c r="B221" s="4" t="n">
        <v>35.1</v>
      </c>
      <c r="C221" s="4" t="n">
        <v>0.62</v>
      </c>
      <c r="D221" s="4" t="n">
        <v>0.43</v>
      </c>
      <c r="E221" s="4" t="n">
        <v>12.4</v>
      </c>
      <c r="F221" s="4" t="n">
        <v>21.7</v>
      </c>
    </row>
    <row r="222" customFormat="false" ht="15" hidden="false" customHeight="false" outlineLevel="0" collapsed="false">
      <c r="A222" s="4" t="n">
        <v>2031</v>
      </c>
      <c r="B222" s="4" t="n">
        <v>43</v>
      </c>
      <c r="C222" s="4" t="n">
        <v>0.6</v>
      </c>
      <c r="D222" s="4" t="n">
        <v>0.47</v>
      </c>
      <c r="E222" s="4" t="n">
        <v>13.7</v>
      </c>
      <c r="F222" s="4" t="n">
        <v>25.8</v>
      </c>
    </row>
    <row r="223" customFormat="false" ht="15" hidden="false" customHeight="false" outlineLevel="0" collapsed="false">
      <c r="A223" s="4" t="n">
        <v>2032</v>
      </c>
      <c r="B223" s="4" t="n">
        <v>52.1</v>
      </c>
      <c r="C223" s="4" t="n">
        <v>0.58</v>
      </c>
      <c r="D223" s="4" t="n">
        <v>0.5</v>
      </c>
      <c r="E223" s="4" t="n">
        <v>15.1</v>
      </c>
      <c r="F223" s="4" t="n">
        <v>30.2</v>
      </c>
    </row>
    <row r="224" customFormat="false" ht="15" hidden="false" customHeight="false" outlineLevel="0" collapsed="false">
      <c r="A224" s="4" t="n">
        <v>2033</v>
      </c>
      <c r="B224" s="4" t="n">
        <v>61.7</v>
      </c>
      <c r="C224" s="4" t="n">
        <v>0.565</v>
      </c>
      <c r="D224" s="4" t="n">
        <v>0.53</v>
      </c>
      <c r="E224" s="4" t="n">
        <v>16.4</v>
      </c>
      <c r="F224" s="4" t="n">
        <v>34.9</v>
      </c>
    </row>
    <row r="225" customFormat="false" ht="15" hidden="false" customHeight="false" outlineLevel="0" collapsed="false">
      <c r="A225" s="4" t="n">
        <v>2034</v>
      </c>
      <c r="B225" s="4" t="n">
        <v>72.6</v>
      </c>
      <c r="C225" s="4" t="n">
        <v>0.55</v>
      </c>
      <c r="D225" s="4" t="n">
        <v>0.57</v>
      </c>
      <c r="E225" s="4" t="n">
        <v>17.2</v>
      </c>
      <c r="F225" s="4" t="n">
        <v>39.9</v>
      </c>
    </row>
    <row r="226" customFormat="false" ht="15" hidden="false" customHeight="false" outlineLevel="0" collapsed="false">
      <c r="A226" s="4" t="n">
        <v>2035</v>
      </c>
      <c r="B226" s="4" t="n">
        <v>83</v>
      </c>
      <c r="C226" s="4" t="n">
        <v>0.535</v>
      </c>
      <c r="D226" s="4" t="n">
        <v>0.6</v>
      </c>
      <c r="E226" s="4" t="n">
        <v>17.8</v>
      </c>
      <c r="F226" s="4" t="n">
        <v>44.4</v>
      </c>
    </row>
    <row r="229" customFormat="false" ht="15" hidden="false" customHeight="false" outlineLevel="0" collapsed="false">
      <c r="A229" s="17" t="s">
        <v>5453</v>
      </c>
      <c r="B229" s="18"/>
      <c r="C229" s="18"/>
      <c r="D229" s="18"/>
    </row>
    <row r="230" customFormat="false" ht="15" hidden="false" customHeight="false" outlineLevel="0" collapsed="false">
      <c r="A230" s="19" t="s">
        <v>5454</v>
      </c>
    </row>
    <row r="231" customFormat="false" ht="15" hidden="false" customHeight="false" outlineLevel="0" collapsed="false">
      <c r="A231" s="19" t="s">
        <v>5455</v>
      </c>
    </row>
    <row r="232" customFormat="false" ht="15" hidden="false" customHeight="false" outlineLevel="0" collapsed="false">
      <c r="A232" s="23" t="s">
        <v>1246</v>
      </c>
    </row>
    <row r="233" customFormat="false" ht="15" hidden="false" customHeight="false" outlineLevel="0" collapsed="false">
      <c r="A233" s="21" t="s">
        <v>5456</v>
      </c>
    </row>
    <row r="234" customFormat="false" ht="15" hidden="false" customHeight="false" outlineLevel="0" collapsed="false">
      <c r="A234" s="21" t="s">
        <v>5457</v>
      </c>
    </row>
    <row r="235" customFormat="false" ht="15" hidden="false" customHeight="false" outlineLevel="0" collapsed="false">
      <c r="A235" s="22" t="s">
        <v>8</v>
      </c>
      <c r="B235" s="22" t="s">
        <v>1963</v>
      </c>
      <c r="C235" s="22" t="s">
        <v>5458</v>
      </c>
      <c r="D235" s="22" t="s">
        <v>5210</v>
      </c>
    </row>
    <row r="236" customFormat="false" ht="23.85" hidden="false" customHeight="false" outlineLevel="0" collapsed="false">
      <c r="A236" s="4" t="s">
        <v>5459</v>
      </c>
      <c r="B236" s="4" t="s">
        <v>5460</v>
      </c>
      <c r="C236" s="4" t="s">
        <v>5461</v>
      </c>
      <c r="D236" s="4" t="s">
        <v>5216</v>
      </c>
    </row>
    <row r="237" customFormat="false" ht="15" hidden="false" customHeight="false" outlineLevel="0" collapsed="false">
      <c r="A237" s="4" t="s">
        <v>5462</v>
      </c>
      <c r="B237" s="4" t="s">
        <v>5463</v>
      </c>
      <c r="C237" s="4" t="s">
        <v>5464</v>
      </c>
      <c r="D237" s="4" t="s">
        <v>5270</v>
      </c>
    </row>
    <row r="238" customFormat="false" ht="15" hidden="false" customHeight="false" outlineLevel="0" collapsed="false">
      <c r="A238" s="4" t="s">
        <v>5465</v>
      </c>
      <c r="B238" s="4" t="s">
        <v>5466</v>
      </c>
      <c r="C238" s="4" t="s">
        <v>5467</v>
      </c>
      <c r="D238" s="4" t="s">
        <v>5270</v>
      </c>
    </row>
    <row r="239" customFormat="false" ht="15" hidden="false" customHeight="false" outlineLevel="0" collapsed="false">
      <c r="A239" s="4" t="s">
        <v>1381</v>
      </c>
      <c r="B239" s="4" t="s">
        <v>5468</v>
      </c>
      <c r="C239" s="4" t="s">
        <v>5469</v>
      </c>
      <c r="D239" s="4" t="s">
        <v>5270</v>
      </c>
    </row>
    <row r="240" customFormat="false" ht="15" hidden="false" customHeight="false" outlineLevel="0" collapsed="false">
      <c r="A240" s="4" t="s">
        <v>5349</v>
      </c>
      <c r="B240" s="4" t="s">
        <v>5470</v>
      </c>
      <c r="C240" s="4" t="s">
        <v>5471</v>
      </c>
      <c r="D240" s="4" t="s">
        <v>5216</v>
      </c>
    </row>
    <row r="241" customFormat="false" ht="15" hidden="false" customHeight="false" outlineLevel="0" collapsed="false">
      <c r="A241" s="4" t="s">
        <v>5472</v>
      </c>
      <c r="B241" s="4" t="s">
        <v>5473</v>
      </c>
      <c r="C241" s="4" t="s">
        <v>5474</v>
      </c>
      <c r="D241" s="4" t="s">
        <v>5475</v>
      </c>
    </row>
    <row r="242" customFormat="false" ht="23.85" hidden="false" customHeight="false" outlineLevel="0" collapsed="false">
      <c r="A242" s="4" t="s">
        <v>5339</v>
      </c>
      <c r="B242" s="4" t="s">
        <v>5476</v>
      </c>
      <c r="C242" s="4" t="s">
        <v>5477</v>
      </c>
      <c r="D242" s="4" t="s">
        <v>5270</v>
      </c>
    </row>
    <row r="243" customFormat="false" ht="15" hidden="false" customHeight="false" outlineLevel="0" collapsed="false">
      <c r="A243" s="4" t="s">
        <v>5478</v>
      </c>
      <c r="B243" s="4" t="s">
        <v>5479</v>
      </c>
      <c r="C243" s="4" t="s">
        <v>5480</v>
      </c>
      <c r="D243" s="4" t="s">
        <v>5216</v>
      </c>
    </row>
    <row r="246" customFormat="false" ht="15" hidden="false" customHeight="false" outlineLevel="0" collapsed="false">
      <c r="A246" s="17" t="s">
        <v>5481</v>
      </c>
      <c r="B246" s="18"/>
      <c r="C246" s="18"/>
      <c r="D246" s="18"/>
      <c r="E246" s="18"/>
      <c r="F246" s="18"/>
      <c r="G246" s="18"/>
      <c r="H246" s="18"/>
    </row>
    <row r="247" customFormat="false" ht="15" hidden="false" customHeight="false" outlineLevel="0" collapsed="false">
      <c r="A247" s="19" t="s">
        <v>5454</v>
      </c>
    </row>
    <row r="248" customFormat="false" ht="15" hidden="false" customHeight="false" outlineLevel="0" collapsed="false">
      <c r="A248" s="19" t="s">
        <v>5482</v>
      </c>
    </row>
    <row r="249" customFormat="false" ht="15" hidden="false" customHeight="false" outlineLevel="0" collapsed="false">
      <c r="A249" s="26" t="s">
        <v>2179</v>
      </c>
    </row>
    <row r="250" customFormat="false" ht="15" hidden="false" customHeight="false" outlineLevel="0" collapsed="false">
      <c r="A250" s="21" t="s">
        <v>5483</v>
      </c>
    </row>
    <row r="251" customFormat="false" ht="15" hidden="false" customHeight="false" outlineLevel="0" collapsed="false">
      <c r="A251" s="21" t="s">
        <v>5484</v>
      </c>
    </row>
    <row r="252" customFormat="false" ht="15" hidden="false" customHeight="false" outlineLevel="0" collapsed="false">
      <c r="A252" s="22" t="s">
        <v>3454</v>
      </c>
      <c r="B252" s="22" t="s">
        <v>5308</v>
      </c>
      <c r="C252" s="22" t="s">
        <v>5233</v>
      </c>
      <c r="D252" s="22" t="s">
        <v>5234</v>
      </c>
      <c r="E252" s="22" t="s">
        <v>5309</v>
      </c>
      <c r="F252" s="22" t="s">
        <v>5235</v>
      </c>
      <c r="G252" s="22" t="s">
        <v>5317</v>
      </c>
      <c r="H252" s="22" t="s">
        <v>5237</v>
      </c>
    </row>
    <row r="253" customFormat="false" ht="15" hidden="false" customHeight="false" outlineLevel="0" collapsed="false">
      <c r="A253" s="4" t="s">
        <v>5485</v>
      </c>
      <c r="B253" s="4" t="n">
        <v>59.4</v>
      </c>
      <c r="C253" s="4" t="n">
        <v>60.4</v>
      </c>
      <c r="D253" s="4" t="n">
        <v>61.5</v>
      </c>
      <c r="E253" s="4" t="n">
        <v>62.6</v>
      </c>
      <c r="F253" s="4" t="n">
        <v>63.8</v>
      </c>
      <c r="G253" s="4" t="n">
        <v>66.5</v>
      </c>
      <c r="H253" s="4" t="n">
        <v>71.5</v>
      </c>
    </row>
    <row r="254" customFormat="false" ht="15" hidden="false" customHeight="false" outlineLevel="0" collapsed="false">
      <c r="A254" s="4" t="s">
        <v>5486</v>
      </c>
      <c r="B254" s="4" t="n">
        <v>89</v>
      </c>
      <c r="C254" s="4" t="n">
        <v>91</v>
      </c>
      <c r="D254" s="4" t="n">
        <v>92</v>
      </c>
      <c r="E254" s="4" t="n">
        <v>94</v>
      </c>
      <c r="F254" s="4" t="n">
        <v>96</v>
      </c>
      <c r="G254" s="4" t="n">
        <v>100</v>
      </c>
      <c r="H254" s="4" t="n">
        <v>107</v>
      </c>
    </row>
    <row r="255" customFormat="false" ht="15" hidden="false" customHeight="false" outlineLevel="0" collapsed="false">
      <c r="A255" s="4" t="s">
        <v>5487</v>
      </c>
      <c r="B255" s="4" t="n">
        <v>71.3</v>
      </c>
      <c r="C255" s="4" t="n">
        <v>74</v>
      </c>
      <c r="D255" s="4" t="n">
        <v>76.9</v>
      </c>
      <c r="E255" s="4" t="n">
        <v>79.8</v>
      </c>
      <c r="F255" s="4" t="n">
        <v>82.9</v>
      </c>
      <c r="G255" s="4" t="n">
        <v>87.8</v>
      </c>
      <c r="H255" s="4" t="n">
        <v>96.5</v>
      </c>
    </row>
    <row r="258" customFormat="false" ht="15" hidden="false" customHeight="false" outlineLevel="0" collapsed="false">
      <c r="A258" s="17" t="s">
        <v>5488</v>
      </c>
      <c r="B258" s="18"/>
      <c r="C258" s="18"/>
      <c r="D258" s="18"/>
      <c r="E258" s="18"/>
    </row>
    <row r="259" customFormat="false" ht="15" hidden="false" customHeight="false" outlineLevel="0" collapsed="false">
      <c r="A259" s="19" t="s">
        <v>5454</v>
      </c>
    </row>
    <row r="260" customFormat="false" ht="15" hidden="false" customHeight="false" outlineLevel="0" collapsed="false">
      <c r="A260" s="19" t="s">
        <v>5489</v>
      </c>
    </row>
    <row r="261" customFormat="false" ht="15" hidden="false" customHeight="false" outlineLevel="0" collapsed="false">
      <c r="A261" s="26" t="s">
        <v>2179</v>
      </c>
    </row>
    <row r="262" customFormat="false" ht="15" hidden="false" customHeight="false" outlineLevel="0" collapsed="false">
      <c r="A262" s="21" t="s">
        <v>5490</v>
      </c>
    </row>
    <row r="263" customFormat="false" ht="15" hidden="false" customHeight="false" outlineLevel="0" collapsed="false">
      <c r="A263" s="21" t="s">
        <v>5491</v>
      </c>
    </row>
    <row r="264" customFormat="false" ht="15" hidden="false" customHeight="false" outlineLevel="0" collapsed="false">
      <c r="A264" s="22" t="s">
        <v>1551</v>
      </c>
      <c r="B264" s="22" t="s">
        <v>5492</v>
      </c>
      <c r="C264" s="22" t="s">
        <v>5493</v>
      </c>
      <c r="D264" s="22" t="s">
        <v>5494</v>
      </c>
      <c r="E264" s="22" t="s">
        <v>5495</v>
      </c>
    </row>
    <row r="265" customFormat="false" ht="15" hidden="false" customHeight="false" outlineLevel="0" collapsed="false">
      <c r="A265" s="4" t="n">
        <v>2026</v>
      </c>
      <c r="B265" s="4" t="n">
        <v>389</v>
      </c>
      <c r="C265" s="4" t="n">
        <v>27700</v>
      </c>
      <c r="D265" s="4" t="n">
        <v>0.28</v>
      </c>
      <c r="E265" s="4" t="n">
        <v>3.1</v>
      </c>
    </row>
    <row r="266" customFormat="false" ht="15" hidden="false" customHeight="false" outlineLevel="0" collapsed="false">
      <c r="A266" s="4" t="n">
        <v>2027</v>
      </c>
      <c r="B266" s="4" t="n">
        <v>500</v>
      </c>
      <c r="C266" s="4" t="n">
        <v>37000</v>
      </c>
      <c r="D266" s="4" t="n">
        <v>0.65</v>
      </c>
      <c r="E266" s="4" t="n">
        <v>7.3</v>
      </c>
    </row>
    <row r="267" customFormat="false" ht="15" hidden="false" customHeight="false" outlineLevel="0" collapsed="false">
      <c r="A267" s="4" t="n">
        <v>2028</v>
      </c>
      <c r="B267" s="4" t="n">
        <v>600</v>
      </c>
      <c r="C267" s="4" t="n">
        <v>46100</v>
      </c>
      <c r="D267" s="4" t="n">
        <v>1.11</v>
      </c>
      <c r="E267" s="4" t="n">
        <v>12.5</v>
      </c>
    </row>
    <row r="268" customFormat="false" ht="15" hidden="false" customHeight="false" outlineLevel="0" collapsed="false">
      <c r="A268" s="4" t="n">
        <v>2029</v>
      </c>
      <c r="B268" s="4" t="n">
        <v>750</v>
      </c>
      <c r="C268" s="4" t="n">
        <v>59900</v>
      </c>
      <c r="D268" s="4" t="n">
        <v>1.71</v>
      </c>
      <c r="E268" s="4" t="n">
        <v>19.2</v>
      </c>
    </row>
    <row r="269" customFormat="false" ht="15" hidden="false" customHeight="false" outlineLevel="0" collapsed="false">
      <c r="A269" s="4" t="n">
        <v>2030</v>
      </c>
      <c r="B269" s="4" t="n">
        <v>850</v>
      </c>
      <c r="C269" s="4" t="n">
        <v>70500</v>
      </c>
      <c r="D269" s="4" t="n">
        <v>2.42</v>
      </c>
      <c r="E269" s="4" t="n">
        <v>27.2</v>
      </c>
    </row>
    <row r="270" customFormat="false" ht="15" hidden="false" customHeight="false" outlineLevel="0" collapsed="false">
      <c r="A270" s="4" t="n">
        <v>2031</v>
      </c>
      <c r="B270" s="4" t="n">
        <v>1000</v>
      </c>
      <c r="C270" s="4" t="n">
        <v>85300</v>
      </c>
      <c r="D270" s="4" t="n">
        <v>3.27</v>
      </c>
      <c r="E270" s="4" t="n">
        <v>36.7</v>
      </c>
    </row>
    <row r="271" customFormat="false" ht="15" hidden="false" customHeight="false" outlineLevel="0" collapsed="false">
      <c r="A271" s="4" t="n">
        <v>2032</v>
      </c>
      <c r="B271" s="4" t="n">
        <v>1150</v>
      </c>
      <c r="C271" s="4" t="n">
        <v>101000</v>
      </c>
      <c r="D271" s="4" t="n">
        <v>4.28</v>
      </c>
      <c r="E271" s="4" t="n">
        <v>48.1</v>
      </c>
    </row>
    <row r="272" customFormat="false" ht="15" hidden="false" customHeight="false" outlineLevel="0" collapsed="false">
      <c r="A272" s="4" t="n">
        <v>2033</v>
      </c>
      <c r="B272" s="4" t="n">
        <v>1250</v>
      </c>
      <c r="C272" s="4" t="n">
        <v>113000</v>
      </c>
      <c r="D272" s="4" t="n">
        <v>5.41</v>
      </c>
      <c r="E272" s="4" t="n">
        <v>60.8</v>
      </c>
    </row>
    <row r="273" customFormat="false" ht="15" hidden="false" customHeight="false" outlineLevel="0" collapsed="false">
      <c r="A273" s="4" t="n">
        <v>2034</v>
      </c>
      <c r="B273" s="4" t="n">
        <v>1350</v>
      </c>
      <c r="C273" s="4" t="n">
        <v>126000</v>
      </c>
      <c r="D273" s="4" t="n">
        <v>6.67</v>
      </c>
      <c r="E273" s="4" t="n">
        <v>75</v>
      </c>
    </row>
    <row r="274" customFormat="false" ht="15" hidden="false" customHeight="false" outlineLevel="0" collapsed="false">
      <c r="A274" s="4" t="n">
        <v>2035</v>
      </c>
      <c r="B274" s="4" t="n">
        <v>1350</v>
      </c>
      <c r="C274" s="4" t="n">
        <v>130300</v>
      </c>
      <c r="D274" s="4" t="n">
        <v>7.97</v>
      </c>
      <c r="E274" s="4" t="n">
        <v>89.6</v>
      </c>
    </row>
    <row r="277" customFormat="false" ht="15" hidden="false" customHeight="false" outlineLevel="0" collapsed="false">
      <c r="A277" s="17" t="s">
        <v>5496</v>
      </c>
      <c r="B277" s="18"/>
    </row>
    <row r="278" customFormat="false" ht="15" hidden="false" customHeight="false" outlineLevel="0" collapsed="false">
      <c r="A278" s="19" t="s">
        <v>5497</v>
      </c>
    </row>
    <row r="279" customFormat="false" ht="15" hidden="false" customHeight="false" outlineLevel="0" collapsed="false">
      <c r="A279" s="19" t="s">
        <v>5498</v>
      </c>
    </row>
    <row r="280" customFormat="false" ht="15" hidden="false" customHeight="false" outlineLevel="0" collapsed="false">
      <c r="A280" s="23" t="s">
        <v>1246</v>
      </c>
    </row>
    <row r="281" customFormat="false" ht="15" hidden="false" customHeight="false" outlineLevel="0" collapsed="false">
      <c r="A281" s="21" t="s">
        <v>5499</v>
      </c>
    </row>
    <row r="282" customFormat="false" ht="15" hidden="false" customHeight="false" outlineLevel="0" collapsed="false">
      <c r="A282" s="21" t="s">
        <v>5500</v>
      </c>
    </row>
    <row r="283" customFormat="false" ht="15" hidden="false" customHeight="false" outlineLevel="0" collapsed="false">
      <c r="A283" s="22" t="s">
        <v>5501</v>
      </c>
      <c r="B283" s="22" t="s">
        <v>5502</v>
      </c>
    </row>
    <row r="284" customFormat="false" ht="15" hidden="false" customHeight="false" outlineLevel="0" collapsed="false">
      <c r="A284" s="4" t="s">
        <v>5503</v>
      </c>
      <c r="B284" s="4" t="s">
        <v>5504</v>
      </c>
    </row>
    <row r="285" customFormat="false" ht="15" hidden="false" customHeight="false" outlineLevel="0" collapsed="false">
      <c r="A285" s="4" t="s">
        <v>5505</v>
      </c>
      <c r="B285" s="4" t="s">
        <v>5506</v>
      </c>
    </row>
    <row r="286" customFormat="false" ht="15" hidden="false" customHeight="false" outlineLevel="0" collapsed="false">
      <c r="A286" s="4" t="s">
        <v>5507</v>
      </c>
      <c r="B286" s="4" t="s">
        <v>5508</v>
      </c>
    </row>
    <row r="287" customFormat="false" ht="15" hidden="false" customHeight="false" outlineLevel="0" collapsed="false">
      <c r="A287" s="4" t="s">
        <v>5509</v>
      </c>
      <c r="B287" s="4" t="s">
        <v>5510</v>
      </c>
    </row>
    <row r="290" customFormat="false" ht="15" hidden="false" customHeight="false" outlineLevel="0" collapsed="false">
      <c r="A290" s="17" t="s">
        <v>5511</v>
      </c>
      <c r="B290" s="18"/>
      <c r="C290" s="18"/>
      <c r="D290" s="18"/>
      <c r="E290" s="18"/>
      <c r="F290" s="18"/>
    </row>
    <row r="291" customFormat="false" ht="15" hidden="false" customHeight="false" outlineLevel="0" collapsed="false">
      <c r="A291" s="19" t="s">
        <v>5497</v>
      </c>
    </row>
    <row r="292" customFormat="false" ht="15" hidden="false" customHeight="false" outlineLevel="0" collapsed="false">
      <c r="A292" s="19" t="s">
        <v>5512</v>
      </c>
    </row>
    <row r="293" customFormat="false" ht="15" hidden="false" customHeight="false" outlineLevel="0" collapsed="false">
      <c r="A293" s="26" t="s">
        <v>2179</v>
      </c>
    </row>
    <row r="294" customFormat="false" ht="15" hidden="false" customHeight="false" outlineLevel="0" collapsed="false">
      <c r="A294" s="21" t="s">
        <v>5513</v>
      </c>
    </row>
    <row r="295" customFormat="false" ht="15" hidden="false" customHeight="false" outlineLevel="0" collapsed="false">
      <c r="A295" s="21" t="s">
        <v>5514</v>
      </c>
    </row>
    <row r="296" customFormat="false" ht="15" hidden="false" customHeight="false" outlineLevel="0" collapsed="false">
      <c r="A296" s="22" t="s">
        <v>5515</v>
      </c>
      <c r="B296" s="22" t="s">
        <v>5308</v>
      </c>
      <c r="C296" s="22" t="s">
        <v>5233</v>
      </c>
      <c r="D296" s="22" t="s">
        <v>5234</v>
      </c>
      <c r="E296" s="22" t="s">
        <v>5309</v>
      </c>
      <c r="F296" s="22" t="s">
        <v>5235</v>
      </c>
    </row>
    <row r="297" customFormat="false" ht="15" hidden="false" customHeight="false" outlineLevel="0" collapsed="false">
      <c r="A297" s="4" t="s">
        <v>5516</v>
      </c>
      <c r="B297" s="4" t="n">
        <v>220</v>
      </c>
      <c r="C297" s="4" t="n">
        <v>176</v>
      </c>
      <c r="D297" s="4" t="n">
        <v>141</v>
      </c>
      <c r="E297" s="4" t="n">
        <v>113</v>
      </c>
      <c r="F297" s="4" t="n">
        <v>90</v>
      </c>
    </row>
    <row r="298" customFormat="false" ht="15" hidden="false" customHeight="false" outlineLevel="0" collapsed="false">
      <c r="A298" s="4" t="s">
        <v>5517</v>
      </c>
      <c r="B298" s="4" t="n">
        <v>220</v>
      </c>
      <c r="C298" s="4" t="n">
        <v>198</v>
      </c>
      <c r="D298" s="4" t="n">
        <v>178</v>
      </c>
      <c r="E298" s="4" t="n">
        <v>160</v>
      </c>
      <c r="F298" s="4" t="n">
        <v>144</v>
      </c>
    </row>
    <row r="299" customFormat="false" ht="15" hidden="false" customHeight="false" outlineLevel="0" collapsed="false">
      <c r="A299" s="4" t="s">
        <v>5518</v>
      </c>
      <c r="B299" s="4" t="n">
        <v>220</v>
      </c>
      <c r="C299" s="4" t="n">
        <v>154</v>
      </c>
      <c r="D299" s="4" t="n">
        <v>108</v>
      </c>
      <c r="E299" s="4" t="n">
        <v>75</v>
      </c>
      <c r="F299" s="4" t="n">
        <v>53</v>
      </c>
    </row>
    <row r="300" customFormat="false" ht="15" hidden="false" customHeight="false" outlineLevel="0" collapsed="false">
      <c r="A300" s="4" t="s">
        <v>5519</v>
      </c>
      <c r="B300" s="4" t="s">
        <v>5520</v>
      </c>
      <c r="C300" s="4" t="s">
        <v>5520</v>
      </c>
      <c r="D300" s="4" t="s">
        <v>5520</v>
      </c>
      <c r="E300" s="4" t="s">
        <v>5520</v>
      </c>
      <c r="F300" s="4" t="s">
        <v>5520</v>
      </c>
    </row>
    <row r="303" customFormat="false" ht="15" hidden="false" customHeight="false" outlineLevel="0" collapsed="false">
      <c r="A303" s="17" t="s">
        <v>5521</v>
      </c>
      <c r="B303" s="18"/>
      <c r="C303" s="18"/>
      <c r="D303" s="18"/>
    </row>
    <row r="304" customFormat="false" ht="15" hidden="false" customHeight="false" outlineLevel="0" collapsed="false">
      <c r="A304" s="19" t="s">
        <v>5522</v>
      </c>
    </row>
    <row r="305" customFormat="false" ht="15" hidden="false" customHeight="false" outlineLevel="0" collapsed="false">
      <c r="A305" s="19" t="s">
        <v>5523</v>
      </c>
    </row>
    <row r="306" customFormat="false" ht="15" hidden="false" customHeight="false" outlineLevel="0" collapsed="false">
      <c r="A306" s="26" t="s">
        <v>2179</v>
      </c>
    </row>
    <row r="307" customFormat="false" ht="15" hidden="false" customHeight="false" outlineLevel="0" collapsed="false">
      <c r="A307" s="21" t="s">
        <v>5524</v>
      </c>
    </row>
    <row r="308" customFormat="false" ht="15" hidden="false" customHeight="false" outlineLevel="0" collapsed="false">
      <c r="A308" s="21" t="s">
        <v>5525</v>
      </c>
    </row>
    <row r="309" customFormat="false" ht="15" hidden="false" customHeight="false" outlineLevel="0" collapsed="false">
      <c r="A309" s="22" t="s">
        <v>1551</v>
      </c>
      <c r="B309" s="22" t="s">
        <v>5526</v>
      </c>
      <c r="C309" s="22" t="s">
        <v>5527</v>
      </c>
      <c r="D309" s="22" t="s">
        <v>5528</v>
      </c>
    </row>
    <row r="310" customFormat="false" ht="15" hidden="false" customHeight="false" outlineLevel="0" collapsed="false">
      <c r="A310" s="4" t="n">
        <v>2026</v>
      </c>
      <c r="B310" s="4" t="s">
        <v>5529</v>
      </c>
      <c r="C310" s="4" t="n">
        <v>1.09</v>
      </c>
      <c r="D310" s="4" t="n">
        <v>28.7</v>
      </c>
    </row>
    <row r="311" customFormat="false" ht="15" hidden="false" customHeight="false" outlineLevel="0" collapsed="false">
      <c r="A311" s="4" t="n">
        <v>2027</v>
      </c>
      <c r="B311" s="4" t="s">
        <v>5530</v>
      </c>
      <c r="C311" s="4" t="n">
        <v>1.03</v>
      </c>
      <c r="D311" s="4" t="n">
        <v>34.5</v>
      </c>
    </row>
    <row r="312" customFormat="false" ht="15" hidden="false" customHeight="false" outlineLevel="0" collapsed="false">
      <c r="A312" s="4" t="n">
        <v>2028</v>
      </c>
      <c r="B312" s="4" t="s">
        <v>5531</v>
      </c>
      <c r="C312" s="4" t="n">
        <v>0.95</v>
      </c>
      <c r="D312" s="4" t="n">
        <v>40.4</v>
      </c>
    </row>
    <row r="313" customFormat="false" ht="15" hidden="false" customHeight="false" outlineLevel="0" collapsed="false">
      <c r="A313" s="4" t="n">
        <v>2029</v>
      </c>
      <c r="B313" s="4" t="s">
        <v>5532</v>
      </c>
      <c r="C313" s="4" t="n">
        <v>0.87</v>
      </c>
      <c r="D313" s="4" t="n">
        <v>46.5</v>
      </c>
    </row>
    <row r="314" customFormat="false" ht="15" hidden="false" customHeight="false" outlineLevel="0" collapsed="false">
      <c r="A314" s="4" t="n">
        <v>2030</v>
      </c>
      <c r="B314" s="4" t="s">
        <v>5533</v>
      </c>
      <c r="C314" s="4" t="n">
        <v>0.77</v>
      </c>
      <c r="D314" s="4" t="n">
        <v>52.4</v>
      </c>
    </row>
    <row r="315" customFormat="false" ht="15" hidden="false" customHeight="false" outlineLevel="0" collapsed="false">
      <c r="A315" s="4" t="n">
        <v>2031</v>
      </c>
      <c r="B315" s="4" t="s">
        <v>5534</v>
      </c>
      <c r="C315" s="4" t="n">
        <v>0.68</v>
      </c>
      <c r="D315" s="4" t="n">
        <v>56.3</v>
      </c>
    </row>
    <row r="316" customFormat="false" ht="15" hidden="false" customHeight="false" outlineLevel="0" collapsed="false">
      <c r="A316" s="4" t="n">
        <v>2032</v>
      </c>
      <c r="B316" s="4" t="s">
        <v>5535</v>
      </c>
      <c r="C316" s="4" t="n">
        <v>0.58</v>
      </c>
      <c r="D316" s="4" t="n">
        <v>59.1</v>
      </c>
    </row>
    <row r="317" customFormat="false" ht="15" hidden="false" customHeight="false" outlineLevel="0" collapsed="false">
      <c r="A317" s="4" t="n">
        <v>2033</v>
      </c>
      <c r="B317" s="4" t="s">
        <v>5536</v>
      </c>
      <c r="C317" s="4" t="n">
        <v>0.5</v>
      </c>
      <c r="D317" s="4" t="n">
        <v>60.6</v>
      </c>
    </row>
    <row r="318" customFormat="false" ht="15" hidden="false" customHeight="false" outlineLevel="0" collapsed="false">
      <c r="A318" s="4" t="n">
        <v>2034</v>
      </c>
      <c r="B318" s="4" t="s">
        <v>5537</v>
      </c>
      <c r="C318" s="4" t="n">
        <v>0.43</v>
      </c>
      <c r="D318" s="4" t="n">
        <v>61.7</v>
      </c>
    </row>
    <row r="319" customFormat="false" ht="15" hidden="false" customHeight="false" outlineLevel="0" collapsed="false">
      <c r="A319" s="4" t="n">
        <v>2035</v>
      </c>
      <c r="B319" s="4" t="s">
        <v>5538</v>
      </c>
      <c r="C319" s="4" t="n">
        <v>0.37</v>
      </c>
      <c r="D319" s="4" t="n">
        <v>62.3</v>
      </c>
    </row>
    <row r="322" customFormat="false" ht="15" hidden="false" customHeight="false" outlineLevel="0" collapsed="false">
      <c r="A322" s="17" t="s">
        <v>5539</v>
      </c>
      <c r="B322" s="18"/>
      <c r="C322" s="18"/>
      <c r="D322" s="18"/>
      <c r="E322" s="18"/>
      <c r="F322" s="18"/>
      <c r="G322" s="18"/>
      <c r="H322" s="18"/>
    </row>
    <row r="323" customFormat="false" ht="15" hidden="false" customHeight="false" outlineLevel="0" collapsed="false">
      <c r="A323" s="19" t="s">
        <v>5522</v>
      </c>
    </row>
    <row r="324" customFormat="false" ht="15" hidden="false" customHeight="false" outlineLevel="0" collapsed="false">
      <c r="A324" s="19" t="s">
        <v>5540</v>
      </c>
    </row>
    <row r="325" customFormat="false" ht="15" hidden="false" customHeight="false" outlineLevel="0" collapsed="false">
      <c r="A325" s="20" t="s">
        <v>1193</v>
      </c>
    </row>
    <row r="326" customFormat="false" ht="15" hidden="false" customHeight="false" outlineLevel="0" collapsed="false">
      <c r="A326" s="21" t="s">
        <v>5541</v>
      </c>
    </row>
    <row r="327" customFormat="false" ht="15" hidden="false" customHeight="false" outlineLevel="0" collapsed="false">
      <c r="A327" s="21" t="s">
        <v>5542</v>
      </c>
    </row>
    <row r="328" customFormat="false" ht="15" hidden="false" customHeight="false" outlineLevel="0" collapsed="false">
      <c r="A328" s="22" t="s">
        <v>2066</v>
      </c>
      <c r="B328" s="22" t="s">
        <v>5543</v>
      </c>
      <c r="C328" s="22" t="s">
        <v>5544</v>
      </c>
      <c r="D328" s="22" t="s">
        <v>5545</v>
      </c>
      <c r="E328" s="22" t="s">
        <v>5546</v>
      </c>
      <c r="F328" s="22" t="s">
        <v>5547</v>
      </c>
      <c r="G328" s="22" t="s">
        <v>5548</v>
      </c>
      <c r="H328" s="22" t="s">
        <v>5549</v>
      </c>
    </row>
    <row r="329" customFormat="false" ht="15" hidden="false" customHeight="false" outlineLevel="0" collapsed="false">
      <c r="A329" s="4" t="s">
        <v>5550</v>
      </c>
      <c r="B329" s="4" t="n">
        <v>2083</v>
      </c>
      <c r="C329" s="4" t="n">
        <v>23.2</v>
      </c>
      <c r="D329" s="4" t="n">
        <v>4499</v>
      </c>
      <c r="E329" s="4" t="n">
        <v>26</v>
      </c>
      <c r="F329" s="4" t="s">
        <v>5551</v>
      </c>
      <c r="G329" s="4" t="s">
        <v>5552</v>
      </c>
      <c r="H329" s="4" t="s">
        <v>5553</v>
      </c>
    </row>
    <row r="330" customFormat="false" ht="15" hidden="false" customHeight="false" outlineLevel="0" collapsed="false">
      <c r="A330" s="4" t="s">
        <v>1406</v>
      </c>
      <c r="B330" s="4" t="n">
        <v>641</v>
      </c>
      <c r="C330" s="4" t="n">
        <v>7.1</v>
      </c>
      <c r="D330" s="4" t="n">
        <v>1587</v>
      </c>
      <c r="E330" s="4" t="n">
        <v>9.2</v>
      </c>
      <c r="F330" s="4" t="s">
        <v>5554</v>
      </c>
      <c r="G330" s="4" t="s">
        <v>5555</v>
      </c>
      <c r="H330" s="4" t="s">
        <v>5556</v>
      </c>
    </row>
    <row r="331" customFormat="false" ht="15" hidden="false" customHeight="false" outlineLevel="0" collapsed="false">
      <c r="A331" s="4" t="s">
        <v>1397</v>
      </c>
      <c r="B331" s="4" t="n">
        <v>468</v>
      </c>
      <c r="C331" s="4" t="n">
        <v>5.2</v>
      </c>
      <c r="D331" s="4" t="n">
        <v>1426</v>
      </c>
      <c r="E331" s="4" t="n">
        <v>8.2</v>
      </c>
      <c r="F331" s="4" t="s">
        <v>5557</v>
      </c>
      <c r="G331" s="4" t="s">
        <v>5558</v>
      </c>
      <c r="H331" s="4" t="s">
        <v>5559</v>
      </c>
    </row>
    <row r="332" customFormat="false" ht="15" hidden="false" customHeight="false" outlineLevel="0" collapsed="false">
      <c r="A332" s="4" t="s">
        <v>2132</v>
      </c>
      <c r="B332" s="4" t="n">
        <v>452</v>
      </c>
      <c r="C332" s="4" t="n">
        <v>5</v>
      </c>
      <c r="D332" s="4" t="n">
        <v>1025</v>
      </c>
      <c r="E332" s="4" t="n">
        <v>5.9</v>
      </c>
      <c r="F332" s="4" t="s">
        <v>5560</v>
      </c>
      <c r="G332" s="4" t="s">
        <v>5561</v>
      </c>
      <c r="H332" s="4" t="s">
        <v>5562</v>
      </c>
    </row>
    <row r="333" customFormat="false" ht="15" hidden="false" customHeight="false" outlineLevel="0" collapsed="false">
      <c r="A333" s="4" t="s">
        <v>1409</v>
      </c>
      <c r="B333" s="4" t="n">
        <v>311</v>
      </c>
      <c r="C333" s="4" t="n">
        <v>3.5</v>
      </c>
      <c r="D333" s="4" t="n">
        <v>692</v>
      </c>
      <c r="E333" s="4" t="n">
        <v>4</v>
      </c>
      <c r="F333" s="4" t="s">
        <v>5563</v>
      </c>
      <c r="G333" s="4" t="s">
        <v>5564</v>
      </c>
      <c r="H333" s="4" t="s">
        <v>5565</v>
      </c>
    </row>
    <row r="334" customFormat="false" ht="15" hidden="false" customHeight="false" outlineLevel="0" collapsed="false">
      <c r="A334" s="4" t="s">
        <v>1403</v>
      </c>
      <c r="B334" s="4" t="n">
        <v>232</v>
      </c>
      <c r="C334" s="4" t="n">
        <v>2.6</v>
      </c>
      <c r="D334" s="4" t="n">
        <v>510</v>
      </c>
      <c r="E334" s="4" t="n">
        <v>2.9</v>
      </c>
      <c r="F334" s="4" t="s">
        <v>5566</v>
      </c>
      <c r="G334" s="4" t="s">
        <v>5567</v>
      </c>
      <c r="H334" s="4" t="s">
        <v>5568</v>
      </c>
    </row>
    <row r="335" customFormat="false" ht="15" hidden="false" customHeight="false" outlineLevel="0" collapsed="false">
      <c r="A335" s="4" t="s">
        <v>1412</v>
      </c>
      <c r="B335" s="4" t="n">
        <v>80</v>
      </c>
      <c r="C335" s="4" t="n">
        <v>0.9</v>
      </c>
      <c r="D335" s="4" t="n">
        <v>147</v>
      </c>
      <c r="E335" s="4" t="n">
        <v>0.85</v>
      </c>
      <c r="F335" s="4" t="s">
        <v>5569</v>
      </c>
      <c r="G335" s="4" t="s">
        <v>5570</v>
      </c>
      <c r="H335" s="4" t="s">
        <v>5571</v>
      </c>
    </row>
    <row r="336" customFormat="false" ht="15" hidden="false" customHeight="false" outlineLevel="0" collapsed="false">
      <c r="A336" s="4" t="s">
        <v>2085</v>
      </c>
      <c r="B336" s="4" t="n">
        <v>250</v>
      </c>
      <c r="C336" s="4" t="n">
        <v>2.8</v>
      </c>
      <c r="D336" s="4" t="n">
        <v>637</v>
      </c>
      <c r="E336" s="4" t="n">
        <v>3.7</v>
      </c>
      <c r="F336" s="4" t="s">
        <v>5572</v>
      </c>
      <c r="G336" s="4" t="s">
        <v>5573</v>
      </c>
      <c r="H336" s="4" t="s">
        <v>5574</v>
      </c>
    </row>
    <row r="339" customFormat="false" ht="15" hidden="false" customHeight="false" outlineLevel="0" collapsed="false">
      <c r="A339" s="17" t="s">
        <v>5575</v>
      </c>
      <c r="B339" s="18"/>
      <c r="C339" s="18"/>
    </row>
    <row r="340" customFormat="false" ht="15" hidden="false" customHeight="false" outlineLevel="0" collapsed="false">
      <c r="A340" s="19" t="s">
        <v>5576</v>
      </c>
    </row>
    <row r="341" customFormat="false" ht="15" hidden="false" customHeight="false" outlineLevel="0" collapsed="false">
      <c r="A341" s="19" t="s">
        <v>5577</v>
      </c>
    </row>
    <row r="342" customFormat="false" ht="15" hidden="false" customHeight="false" outlineLevel="0" collapsed="false">
      <c r="A342" s="23" t="s">
        <v>1246</v>
      </c>
    </row>
    <row r="343" customFormat="false" ht="15" hidden="false" customHeight="false" outlineLevel="0" collapsed="false">
      <c r="A343" s="21" t="s">
        <v>5578</v>
      </c>
    </row>
    <row r="344" customFormat="false" ht="15" hidden="false" customHeight="false" outlineLevel="0" collapsed="false">
      <c r="A344" s="21" t="s">
        <v>5579</v>
      </c>
    </row>
    <row r="345" customFormat="false" ht="15" hidden="false" customHeight="false" outlineLevel="0" collapsed="false">
      <c r="A345" s="22" t="s">
        <v>2066</v>
      </c>
      <c r="B345" s="22" t="s">
        <v>5580</v>
      </c>
      <c r="C345" s="22" t="s">
        <v>5581</v>
      </c>
    </row>
    <row r="346" customFormat="false" ht="15" hidden="false" customHeight="false" outlineLevel="0" collapsed="false">
      <c r="A346" s="4" t="s">
        <v>3371</v>
      </c>
      <c r="B346" s="4" t="n">
        <v>1726</v>
      </c>
      <c r="C346" s="4" t="s">
        <v>5582</v>
      </c>
    </row>
    <row r="347" customFormat="false" ht="15" hidden="false" customHeight="false" outlineLevel="0" collapsed="false">
      <c r="A347" s="4" t="s">
        <v>1406</v>
      </c>
      <c r="B347" s="4" t="n">
        <v>710</v>
      </c>
      <c r="C347" s="4" t="s">
        <v>5583</v>
      </c>
    </row>
    <row r="348" customFormat="false" ht="15" hidden="false" customHeight="false" outlineLevel="0" collapsed="false">
      <c r="A348" s="4" t="s">
        <v>5584</v>
      </c>
      <c r="B348" s="4" t="n">
        <v>387</v>
      </c>
      <c r="C348" s="4" t="s">
        <v>5585</v>
      </c>
    </row>
    <row r="349" customFormat="false" ht="15" hidden="false" customHeight="false" outlineLevel="0" collapsed="false">
      <c r="A349" s="4" t="s">
        <v>1397</v>
      </c>
      <c r="B349" s="4" t="n">
        <v>368</v>
      </c>
      <c r="C349" s="4" t="s">
        <v>5586</v>
      </c>
    </row>
    <row r="350" customFormat="false" ht="15" hidden="false" customHeight="false" outlineLevel="0" collapsed="false">
      <c r="A350" s="4" t="s">
        <v>1409</v>
      </c>
      <c r="B350" s="4" t="n">
        <v>258</v>
      </c>
      <c r="C350" s="4" t="s">
        <v>5587</v>
      </c>
    </row>
    <row r="351" customFormat="false" ht="15" hidden="false" customHeight="false" outlineLevel="0" collapsed="false">
      <c r="A351" s="4" t="s">
        <v>1403</v>
      </c>
      <c r="B351" s="4" t="n">
        <v>100</v>
      </c>
      <c r="C351" s="4" t="s">
        <v>2230</v>
      </c>
    </row>
    <row r="352" customFormat="false" ht="15" hidden="false" customHeight="false" outlineLevel="0" collapsed="false">
      <c r="A352" s="4" t="s">
        <v>1412</v>
      </c>
      <c r="B352" s="4" t="n">
        <v>84</v>
      </c>
      <c r="C352" s="4" t="s">
        <v>2227</v>
      </c>
    </row>
    <row r="355" customFormat="false" ht="15" hidden="false" customHeight="false" outlineLevel="0" collapsed="false">
      <c r="A355" s="17" t="s">
        <v>5588</v>
      </c>
      <c r="B355" s="18"/>
    </row>
    <row r="356" customFormat="false" ht="15" hidden="false" customHeight="false" outlineLevel="0" collapsed="false">
      <c r="A356" s="19" t="s">
        <v>5576</v>
      </c>
    </row>
    <row r="357" customFormat="false" ht="15" hidden="false" customHeight="false" outlineLevel="0" collapsed="false">
      <c r="A357" s="19" t="s">
        <v>5589</v>
      </c>
    </row>
    <row r="358" customFormat="false" ht="15" hidden="false" customHeight="false" outlineLevel="0" collapsed="false">
      <c r="A358" s="24" t="s">
        <v>1459</v>
      </c>
    </row>
    <row r="359" customFormat="false" ht="15" hidden="false" customHeight="false" outlineLevel="0" collapsed="false">
      <c r="A359" s="21" t="s">
        <v>5590</v>
      </c>
    </row>
    <row r="360" customFormat="false" ht="15" hidden="false" customHeight="false" outlineLevel="0" collapsed="false">
      <c r="A360" s="21" t="s">
        <v>5591</v>
      </c>
    </row>
    <row r="361" customFormat="false" ht="15" hidden="false" customHeight="false" outlineLevel="0" collapsed="false">
      <c r="A361" s="22" t="s">
        <v>2066</v>
      </c>
      <c r="B361" s="22" t="s">
        <v>4665</v>
      </c>
    </row>
    <row r="362" customFormat="false" ht="15" hidden="false" customHeight="false" outlineLevel="0" collapsed="false">
      <c r="A362" s="4" t="s">
        <v>3371</v>
      </c>
      <c r="B362" s="4" t="n">
        <v>85</v>
      </c>
    </row>
    <row r="363" customFormat="false" ht="15" hidden="false" customHeight="false" outlineLevel="0" collapsed="false">
      <c r="A363" s="4" t="s">
        <v>1397</v>
      </c>
      <c r="B363" s="4" t="n">
        <v>80</v>
      </c>
    </row>
    <row r="364" customFormat="false" ht="15" hidden="false" customHeight="false" outlineLevel="0" collapsed="false">
      <c r="A364" s="4" t="s">
        <v>1406</v>
      </c>
      <c r="B364" s="4" t="n">
        <v>78</v>
      </c>
    </row>
    <row r="365" customFormat="false" ht="15" hidden="false" customHeight="false" outlineLevel="0" collapsed="false">
      <c r="A365" s="4" t="s">
        <v>5584</v>
      </c>
      <c r="B365" s="4" t="n">
        <v>72</v>
      </c>
    </row>
    <row r="366" customFormat="false" ht="15" hidden="false" customHeight="false" outlineLevel="0" collapsed="false">
      <c r="A366" s="4" t="s">
        <v>2085</v>
      </c>
      <c r="B366" s="4" t="n">
        <v>70</v>
      </c>
    </row>
    <row r="367" customFormat="false" ht="15" hidden="false" customHeight="false" outlineLevel="0" collapsed="false">
      <c r="A367" s="4" t="s">
        <v>1409</v>
      </c>
      <c r="B367" s="4" t="n">
        <v>68</v>
      </c>
    </row>
    <row r="368" customFormat="false" ht="15" hidden="false" customHeight="false" outlineLevel="0" collapsed="false">
      <c r="A368" s="4" t="s">
        <v>1403</v>
      </c>
      <c r="B368" s="4" t="n">
        <v>65</v>
      </c>
    </row>
    <row r="369" customFormat="false" ht="15" hidden="false" customHeight="false" outlineLevel="0" collapsed="false">
      <c r="A369" s="4" t="s">
        <v>1412</v>
      </c>
      <c r="B369" s="4" t="n">
        <v>50</v>
      </c>
    </row>
    <row r="372" customFormat="false" ht="15" hidden="false" customHeight="false" outlineLevel="0" collapsed="false">
      <c r="A372" s="17" t="s">
        <v>5592</v>
      </c>
      <c r="B372" s="18"/>
      <c r="C372" s="18"/>
      <c r="D372" s="18"/>
      <c r="E372" s="18"/>
      <c r="F372" s="18"/>
    </row>
    <row r="373" customFormat="false" ht="15" hidden="false" customHeight="false" outlineLevel="0" collapsed="false">
      <c r="A373" s="19" t="s">
        <v>5576</v>
      </c>
    </row>
    <row r="374" customFormat="false" ht="15" hidden="false" customHeight="false" outlineLevel="0" collapsed="false">
      <c r="A374" s="19" t="s">
        <v>5593</v>
      </c>
    </row>
    <row r="375" customFormat="false" ht="15" hidden="false" customHeight="false" outlineLevel="0" collapsed="false">
      <c r="A375" s="26" t="s">
        <v>2179</v>
      </c>
    </row>
    <row r="376" customFormat="false" ht="15" hidden="false" customHeight="false" outlineLevel="0" collapsed="false">
      <c r="A376" s="21" t="s">
        <v>5594</v>
      </c>
    </row>
    <row r="377" customFormat="false" ht="15" hidden="false" customHeight="false" outlineLevel="0" collapsed="false">
      <c r="A377" s="21" t="s">
        <v>5595</v>
      </c>
    </row>
    <row r="378" customFormat="false" ht="15" hidden="false" customHeight="false" outlineLevel="0" collapsed="false">
      <c r="A378" s="22" t="s">
        <v>2066</v>
      </c>
      <c r="B378" s="22" t="s">
        <v>5596</v>
      </c>
      <c r="C378" s="22" t="s">
        <v>5597</v>
      </c>
      <c r="D378" s="22" t="s">
        <v>5598</v>
      </c>
      <c r="E378" s="22" t="s">
        <v>5599</v>
      </c>
      <c r="F378" s="22" t="s">
        <v>5600</v>
      </c>
    </row>
    <row r="379" customFormat="false" ht="15" hidden="false" customHeight="false" outlineLevel="0" collapsed="false">
      <c r="A379" s="4" t="s">
        <v>5601</v>
      </c>
      <c r="B379" s="4" t="n">
        <v>890</v>
      </c>
      <c r="C379" s="4" t="n">
        <v>2083</v>
      </c>
      <c r="D379" s="4" t="n">
        <v>4499</v>
      </c>
      <c r="E379" s="4" t="s">
        <v>5602</v>
      </c>
      <c r="F379" s="4" t="s">
        <v>5603</v>
      </c>
    </row>
    <row r="380" customFormat="false" ht="15" hidden="false" customHeight="false" outlineLevel="0" collapsed="false">
      <c r="A380" s="4" t="s">
        <v>5604</v>
      </c>
      <c r="B380" s="4" t="n">
        <v>151</v>
      </c>
      <c r="C380" s="4" t="n">
        <v>641</v>
      </c>
      <c r="D380" s="4" t="n">
        <v>1587</v>
      </c>
      <c r="E380" s="4" t="s">
        <v>5605</v>
      </c>
      <c r="F380" s="4" t="s">
        <v>5606</v>
      </c>
    </row>
    <row r="381" customFormat="false" ht="15" hidden="false" customHeight="false" outlineLevel="0" collapsed="false">
      <c r="A381" s="4" t="s">
        <v>1397</v>
      </c>
      <c r="B381" s="4" t="n">
        <v>214</v>
      </c>
      <c r="C381" s="4" t="n">
        <v>468</v>
      </c>
      <c r="D381" s="4" t="n">
        <v>1426</v>
      </c>
      <c r="E381" s="4" t="s">
        <v>5607</v>
      </c>
      <c r="F381" s="4" t="s">
        <v>5608</v>
      </c>
    </row>
    <row r="382" customFormat="false" ht="15" hidden="false" customHeight="false" outlineLevel="0" collapsed="false">
      <c r="A382" s="4" t="s">
        <v>5609</v>
      </c>
      <c r="B382" s="4" t="n">
        <v>183</v>
      </c>
      <c r="C382" s="4" t="n">
        <v>452</v>
      </c>
      <c r="D382" s="4" t="n">
        <v>1025</v>
      </c>
      <c r="E382" s="4" t="s">
        <v>5610</v>
      </c>
      <c r="F382" s="4" t="s">
        <v>5611</v>
      </c>
    </row>
    <row r="383" customFormat="false" ht="15" hidden="false" customHeight="false" outlineLevel="0" collapsed="false">
      <c r="A383" s="4" t="s">
        <v>1409</v>
      </c>
      <c r="B383" s="4" t="n">
        <v>133</v>
      </c>
      <c r="C383" s="4" t="n">
        <v>311</v>
      </c>
      <c r="D383" s="4" t="n">
        <v>692</v>
      </c>
      <c r="E383" s="4" t="s">
        <v>5612</v>
      </c>
      <c r="F383" s="4" t="s">
        <v>5613</v>
      </c>
    </row>
    <row r="384" customFormat="false" ht="15" hidden="false" customHeight="false" outlineLevel="0" collapsed="false">
      <c r="A384" s="4" t="s">
        <v>2085</v>
      </c>
      <c r="B384" s="4" t="n">
        <v>0</v>
      </c>
      <c r="C384" s="4" t="n">
        <v>250</v>
      </c>
      <c r="D384" s="4" t="n">
        <v>637</v>
      </c>
      <c r="E384" s="4" t="s">
        <v>5614</v>
      </c>
      <c r="F384" s="4" t="s">
        <v>3502</v>
      </c>
    </row>
    <row r="385" customFormat="false" ht="15" hidden="false" customHeight="false" outlineLevel="0" collapsed="false">
      <c r="A385" s="4" t="s">
        <v>5615</v>
      </c>
      <c r="B385" s="4" t="n">
        <v>162</v>
      </c>
      <c r="C385" s="4" t="n">
        <v>232</v>
      </c>
      <c r="D385" s="4" t="n">
        <v>510</v>
      </c>
      <c r="E385" s="4" t="s">
        <v>5616</v>
      </c>
      <c r="F385" s="4" t="s">
        <v>5617</v>
      </c>
    </row>
    <row r="386" customFormat="false" ht="15" hidden="false" customHeight="false" outlineLevel="0" collapsed="false">
      <c r="A386" s="4" t="s">
        <v>1412</v>
      </c>
      <c r="B386" s="4" t="n">
        <v>22</v>
      </c>
      <c r="C386" s="4" t="n">
        <v>80</v>
      </c>
      <c r="D386" s="4" t="n">
        <v>147</v>
      </c>
      <c r="E386" s="4" t="s">
        <v>5618</v>
      </c>
      <c r="F386" s="4" t="s">
        <v>3523</v>
      </c>
    </row>
    <row r="387" customFormat="false" ht="15" hidden="false" customHeight="false" outlineLevel="0" collapsed="false">
      <c r="A387" s="4" t="s">
        <v>5619</v>
      </c>
      <c r="B387" s="4" t="s">
        <v>5220</v>
      </c>
      <c r="C387" s="4" t="n">
        <v>150</v>
      </c>
      <c r="D387" s="4" t="n">
        <v>248</v>
      </c>
      <c r="E387" s="4" t="s">
        <v>5620</v>
      </c>
      <c r="F387" s="4" t="s">
        <v>2227</v>
      </c>
    </row>
    <row r="388" customFormat="false" ht="15" hidden="false" customHeight="false" outlineLevel="0" collapsed="false">
      <c r="A388" s="4" t="s">
        <v>1139</v>
      </c>
      <c r="B388" s="4" t="n">
        <v>1789</v>
      </c>
      <c r="C388" s="4" t="s">
        <v>5621</v>
      </c>
      <c r="D388" s="4" t="s">
        <v>5622</v>
      </c>
      <c r="E388" s="4" t="s">
        <v>5623</v>
      </c>
      <c r="F388" s="4" t="s">
        <v>3478</v>
      </c>
    </row>
    <row r="391" customFormat="false" ht="15" hidden="false" customHeight="false" outlineLevel="0" collapsed="false">
      <c r="A391" s="17" t="s">
        <v>5624</v>
      </c>
      <c r="B391" s="18"/>
    </row>
    <row r="392" customFormat="false" ht="15" hidden="false" customHeight="false" outlineLevel="0" collapsed="false">
      <c r="A392" s="19" t="s">
        <v>5625</v>
      </c>
    </row>
    <row r="393" customFormat="false" ht="15" hidden="false" customHeight="false" outlineLevel="0" collapsed="false">
      <c r="A393" s="19" t="s">
        <v>5626</v>
      </c>
    </row>
    <row r="394" customFormat="false" ht="15" hidden="false" customHeight="false" outlineLevel="0" collapsed="false">
      <c r="A394" s="26" t="s">
        <v>2179</v>
      </c>
    </row>
    <row r="395" customFormat="false" ht="15" hidden="false" customHeight="false" outlineLevel="0" collapsed="false">
      <c r="A395" s="21" t="s">
        <v>5627</v>
      </c>
    </row>
    <row r="396" customFormat="false" ht="15" hidden="false" customHeight="false" outlineLevel="0" collapsed="false">
      <c r="A396" s="21" t="s">
        <v>5628</v>
      </c>
    </row>
    <row r="397" customFormat="false" ht="15" hidden="false" customHeight="false" outlineLevel="0" collapsed="false">
      <c r="A397" s="22" t="s">
        <v>5629</v>
      </c>
      <c r="B397" s="22" t="s">
        <v>5630</v>
      </c>
    </row>
    <row r="398" customFormat="false" ht="15" hidden="false" customHeight="false" outlineLevel="0" collapsed="false">
      <c r="A398" s="4" t="s">
        <v>5631</v>
      </c>
      <c r="B398" s="4" t="s">
        <v>5632</v>
      </c>
    </row>
    <row r="399" customFormat="false" ht="15" hidden="false" customHeight="false" outlineLevel="0" collapsed="false">
      <c r="A399" s="4" t="s">
        <v>5633</v>
      </c>
      <c r="B399" s="4" t="s">
        <v>5634</v>
      </c>
    </row>
    <row r="400" customFormat="false" ht="15" hidden="false" customHeight="false" outlineLevel="0" collapsed="false">
      <c r="A400" s="4" t="s">
        <v>5635</v>
      </c>
      <c r="B400" s="4" t="s">
        <v>5636</v>
      </c>
    </row>
    <row r="401" customFormat="false" ht="15" hidden="false" customHeight="false" outlineLevel="0" collapsed="false">
      <c r="A401" s="4" t="s">
        <v>5637</v>
      </c>
      <c r="B401" s="4" t="s">
        <v>5638</v>
      </c>
    </row>
    <row r="404" customFormat="false" ht="15" hidden="false" customHeight="false" outlineLevel="0" collapsed="false">
      <c r="A404" s="17" t="s">
        <v>5639</v>
      </c>
      <c r="B404" s="18"/>
      <c r="C404" s="18"/>
      <c r="D404" s="18"/>
      <c r="E404" s="18"/>
      <c r="F404" s="18"/>
      <c r="G404" s="18"/>
      <c r="H404" s="18"/>
      <c r="I404" s="18"/>
      <c r="J404" s="18"/>
      <c r="K404" s="18"/>
    </row>
    <row r="405" customFormat="false" ht="15" hidden="false" customHeight="false" outlineLevel="0" collapsed="false">
      <c r="A405" s="19" t="s">
        <v>5640</v>
      </c>
    </row>
    <row r="406" customFormat="false" ht="15" hidden="false" customHeight="false" outlineLevel="0" collapsed="false">
      <c r="A406" s="26" t="s">
        <v>2179</v>
      </c>
    </row>
    <row r="407" customFormat="false" ht="15" hidden="false" customHeight="false" outlineLevel="0" collapsed="false">
      <c r="A407" s="21" t="s">
        <v>5641</v>
      </c>
    </row>
    <row r="408" customFormat="false" ht="15" hidden="false" customHeight="false" outlineLevel="0" collapsed="false">
      <c r="A408" s="21" t="s">
        <v>5642</v>
      </c>
    </row>
    <row r="409" customFormat="false" ht="23.85" hidden="false" customHeight="false" outlineLevel="0" collapsed="false">
      <c r="A409" s="22" t="s">
        <v>1551</v>
      </c>
      <c r="B409" s="22" t="s">
        <v>5643</v>
      </c>
      <c r="C409" s="22" t="s">
        <v>5369</v>
      </c>
      <c r="D409" s="22" t="s">
        <v>5370</v>
      </c>
      <c r="E409" s="22" t="s">
        <v>5644</v>
      </c>
      <c r="F409" s="22" t="s">
        <v>5451</v>
      </c>
      <c r="G409" s="22" t="s">
        <v>5645</v>
      </c>
      <c r="H409" s="22" t="s">
        <v>5646</v>
      </c>
      <c r="I409" s="22" t="s">
        <v>5647</v>
      </c>
      <c r="J409" s="22" t="s">
        <v>5648</v>
      </c>
      <c r="K409" s="22" t="s">
        <v>5649</v>
      </c>
    </row>
    <row r="410" customFormat="false" ht="15" hidden="false" customHeight="false" outlineLevel="0" collapsed="false">
      <c r="A410" s="4" t="n">
        <v>2026</v>
      </c>
      <c r="B410" s="4" t="s">
        <v>5650</v>
      </c>
      <c r="C410" s="4" t="n">
        <v>9.6</v>
      </c>
      <c r="D410" s="4" t="n">
        <v>14.5</v>
      </c>
      <c r="E410" s="4" t="s">
        <v>5373</v>
      </c>
      <c r="F410" s="4" t="n">
        <v>7.1</v>
      </c>
      <c r="G410" s="4" t="n">
        <v>28.7</v>
      </c>
      <c r="H410" s="4" t="s">
        <v>5651</v>
      </c>
      <c r="I410" s="4" t="s">
        <v>5652</v>
      </c>
      <c r="J410" s="4" t="s">
        <v>5653</v>
      </c>
      <c r="K410" s="4" t="n">
        <v>220</v>
      </c>
    </row>
    <row r="411" customFormat="false" ht="15" hidden="false" customHeight="false" outlineLevel="0" collapsed="false">
      <c r="A411" s="4" t="n">
        <v>2027</v>
      </c>
      <c r="B411" s="4" t="s">
        <v>5654</v>
      </c>
      <c r="C411" s="4" t="n">
        <v>12.3</v>
      </c>
      <c r="D411" s="4" t="n">
        <v>18.2</v>
      </c>
      <c r="E411" s="4" t="s">
        <v>5374</v>
      </c>
      <c r="F411" s="4" t="n">
        <v>8.3</v>
      </c>
      <c r="G411" s="4" t="n">
        <v>34.5</v>
      </c>
      <c r="H411" s="4" t="s">
        <v>5655</v>
      </c>
      <c r="I411" s="4" t="s">
        <v>5656</v>
      </c>
      <c r="J411" s="4" t="s">
        <v>5657</v>
      </c>
      <c r="K411" s="4" t="n">
        <v>176</v>
      </c>
    </row>
    <row r="412" customFormat="false" ht="15" hidden="false" customHeight="false" outlineLevel="0" collapsed="false">
      <c r="A412" s="4" t="n">
        <v>2028</v>
      </c>
      <c r="B412" s="4" t="s">
        <v>5658</v>
      </c>
      <c r="C412" s="4" t="n">
        <v>15.5</v>
      </c>
      <c r="D412" s="4" t="n">
        <v>22.6</v>
      </c>
      <c r="E412" s="4" t="s">
        <v>5375</v>
      </c>
      <c r="F412" s="4" t="n">
        <v>9.4</v>
      </c>
      <c r="G412" s="4" t="n">
        <v>40.4</v>
      </c>
      <c r="H412" s="4" t="s">
        <v>5659</v>
      </c>
      <c r="I412" s="4" t="s">
        <v>5660</v>
      </c>
      <c r="J412" s="4" t="s">
        <v>5661</v>
      </c>
      <c r="K412" s="4" t="n">
        <v>141</v>
      </c>
    </row>
    <row r="413" customFormat="false" ht="15" hidden="false" customHeight="false" outlineLevel="0" collapsed="false">
      <c r="A413" s="4" t="n">
        <v>2029</v>
      </c>
      <c r="B413" s="4" t="s">
        <v>5662</v>
      </c>
      <c r="C413" s="4" t="n">
        <v>19.6</v>
      </c>
      <c r="D413" s="4" t="n">
        <v>28.2</v>
      </c>
      <c r="E413" s="4" t="s">
        <v>5376</v>
      </c>
      <c r="F413" s="4" t="n">
        <v>10.8</v>
      </c>
      <c r="G413" s="4" t="n">
        <v>46.5</v>
      </c>
      <c r="H413" s="4" t="s">
        <v>5663</v>
      </c>
      <c r="I413" s="4" t="s">
        <v>5664</v>
      </c>
      <c r="J413" s="4" t="s">
        <v>5665</v>
      </c>
      <c r="K413" s="4" t="n">
        <v>113</v>
      </c>
    </row>
    <row r="414" customFormat="false" ht="15" hidden="false" customHeight="false" outlineLevel="0" collapsed="false">
      <c r="A414" s="4" t="n">
        <v>2030</v>
      </c>
      <c r="B414" s="4" t="s">
        <v>5666</v>
      </c>
      <c r="C414" s="4" t="n">
        <v>24.7</v>
      </c>
      <c r="D414" s="4" t="n">
        <v>35.1</v>
      </c>
      <c r="E414" s="4" t="s">
        <v>5377</v>
      </c>
      <c r="F414" s="4" t="n">
        <v>12.4</v>
      </c>
      <c r="G414" s="4" t="n">
        <v>52.4</v>
      </c>
      <c r="H414" s="4" t="s">
        <v>5667</v>
      </c>
      <c r="I414" s="4" t="s">
        <v>5668</v>
      </c>
      <c r="J414" s="4" t="s">
        <v>5669</v>
      </c>
      <c r="K414" s="4" t="n">
        <v>90</v>
      </c>
    </row>
    <row r="415" customFormat="false" ht="15" hidden="false" customHeight="false" outlineLevel="0" collapsed="false">
      <c r="A415" s="4" t="n">
        <v>2031</v>
      </c>
      <c r="B415" s="4" t="s">
        <v>5670</v>
      </c>
      <c r="C415" s="4" t="n">
        <v>30.5</v>
      </c>
      <c r="D415" s="4" t="n">
        <v>43</v>
      </c>
      <c r="E415" s="4" t="s">
        <v>5378</v>
      </c>
      <c r="F415" s="4" t="n">
        <v>13.7</v>
      </c>
      <c r="G415" s="4" t="n">
        <v>56.3</v>
      </c>
      <c r="H415" s="4" t="s">
        <v>5671</v>
      </c>
      <c r="I415" s="4" t="s">
        <v>5672</v>
      </c>
      <c r="J415" s="4" t="s">
        <v>5673</v>
      </c>
      <c r="K415" s="4" t="n">
        <v>72</v>
      </c>
    </row>
    <row r="416" customFormat="false" ht="15" hidden="false" customHeight="false" outlineLevel="0" collapsed="false">
      <c r="A416" s="4" t="n">
        <v>2032</v>
      </c>
      <c r="B416" s="4" t="s">
        <v>5674</v>
      </c>
      <c r="C416" s="4" t="n">
        <v>37.2</v>
      </c>
      <c r="D416" s="4" t="n">
        <v>52.1</v>
      </c>
      <c r="E416" s="4" t="s">
        <v>5379</v>
      </c>
      <c r="F416" s="4" t="n">
        <v>15.1</v>
      </c>
      <c r="G416" s="4" t="n">
        <v>59.1</v>
      </c>
      <c r="H416" s="4" t="s">
        <v>5675</v>
      </c>
      <c r="I416" s="4" t="s">
        <v>5676</v>
      </c>
      <c r="J416" s="4" t="s">
        <v>5677</v>
      </c>
      <c r="K416" s="4" t="n">
        <v>58</v>
      </c>
    </row>
    <row r="417" customFormat="false" ht="15" hidden="false" customHeight="false" outlineLevel="0" collapsed="false">
      <c r="A417" s="4" t="n">
        <v>2033</v>
      </c>
      <c r="B417" s="4" t="s">
        <v>5678</v>
      </c>
      <c r="C417" s="4" t="n">
        <v>44.7</v>
      </c>
      <c r="D417" s="4" t="n">
        <v>61.7</v>
      </c>
      <c r="E417" s="4" t="s">
        <v>5380</v>
      </c>
      <c r="F417" s="4" t="n">
        <v>16.4</v>
      </c>
      <c r="G417" s="4" t="n">
        <v>60.6</v>
      </c>
      <c r="H417" s="4" t="s">
        <v>5679</v>
      </c>
      <c r="I417" s="4" t="s">
        <v>5680</v>
      </c>
      <c r="J417" s="4" t="s">
        <v>5681</v>
      </c>
      <c r="K417" s="4" t="n">
        <v>46</v>
      </c>
    </row>
    <row r="418" customFormat="false" ht="15" hidden="false" customHeight="false" outlineLevel="0" collapsed="false">
      <c r="A418" s="4" t="n">
        <v>2034</v>
      </c>
      <c r="B418" s="4" t="s">
        <v>5682</v>
      </c>
      <c r="C418" s="4" t="n">
        <v>53</v>
      </c>
      <c r="D418" s="4" t="n">
        <v>72.6</v>
      </c>
      <c r="E418" s="4" t="s">
        <v>5381</v>
      </c>
      <c r="F418" s="4" t="n">
        <v>17.2</v>
      </c>
      <c r="G418" s="4" t="n">
        <v>61.7</v>
      </c>
      <c r="H418" s="4" t="s">
        <v>5683</v>
      </c>
      <c r="I418" s="4" t="s">
        <v>5684</v>
      </c>
      <c r="J418" s="4" t="s">
        <v>5685</v>
      </c>
      <c r="K418" s="4" t="n">
        <v>37</v>
      </c>
    </row>
    <row r="419" customFormat="false" ht="15" hidden="false" customHeight="false" outlineLevel="0" collapsed="false">
      <c r="A419" s="4" t="n">
        <v>2035</v>
      </c>
      <c r="B419" s="4" t="s">
        <v>5686</v>
      </c>
      <c r="C419" s="4" t="n">
        <v>61.5</v>
      </c>
      <c r="D419" s="4" t="n">
        <v>83</v>
      </c>
      <c r="E419" s="4" t="s">
        <v>5382</v>
      </c>
      <c r="F419" s="4" t="n">
        <v>17.8</v>
      </c>
      <c r="G419" s="4" t="n">
        <v>62.3</v>
      </c>
      <c r="H419" s="4" t="s">
        <v>5687</v>
      </c>
      <c r="I419" s="4" t="s">
        <v>5688</v>
      </c>
      <c r="J419" s="4" t="s">
        <v>5689</v>
      </c>
      <c r="K419" s="4" t="n">
        <v>30</v>
      </c>
    </row>
    <row r="422" customFormat="false" ht="15" hidden="false" customHeight="false" outlineLevel="0" collapsed="false">
      <c r="A422" s="17" t="s">
        <v>5690</v>
      </c>
      <c r="B422" s="18"/>
      <c r="C422" s="18"/>
      <c r="D422" s="18"/>
      <c r="E422" s="18"/>
      <c r="F422" s="18"/>
      <c r="G422" s="18"/>
    </row>
    <row r="423" customFormat="false" ht="15" hidden="false" customHeight="false" outlineLevel="0" collapsed="false">
      <c r="A423" s="19" t="s">
        <v>5691</v>
      </c>
    </row>
    <row r="424" customFormat="false" ht="15" hidden="false" customHeight="false" outlineLevel="0" collapsed="false">
      <c r="A424" s="25" t="s">
        <v>2043</v>
      </c>
    </row>
    <row r="425" customFormat="false" ht="15" hidden="false" customHeight="false" outlineLevel="0" collapsed="false">
      <c r="A425" s="21" t="s">
        <v>5692</v>
      </c>
    </row>
    <row r="426" customFormat="false" ht="15" hidden="false" customHeight="false" outlineLevel="0" collapsed="false">
      <c r="A426" s="21" t="s">
        <v>5693</v>
      </c>
    </row>
    <row r="427" customFormat="false" ht="15" hidden="false" customHeight="false" outlineLevel="0" collapsed="false">
      <c r="A427" s="22" t="s">
        <v>2147</v>
      </c>
      <c r="B427" s="22" t="s">
        <v>5694</v>
      </c>
      <c r="C427" s="22" t="s">
        <v>2519</v>
      </c>
      <c r="D427" s="22" t="s">
        <v>5246</v>
      </c>
      <c r="E427" s="22" t="s">
        <v>5247</v>
      </c>
      <c r="F427" s="22" t="s">
        <v>5695</v>
      </c>
      <c r="G427" s="22" t="s">
        <v>2631</v>
      </c>
    </row>
    <row r="428" customFormat="false" ht="15" hidden="false" customHeight="false" outlineLevel="0" collapsed="false">
      <c r="A428" s="4" t="s">
        <v>5696</v>
      </c>
      <c r="B428" s="4" t="s">
        <v>5697</v>
      </c>
      <c r="C428" s="4" t="n">
        <v>1500</v>
      </c>
      <c r="D428" s="4" t="n">
        <v>1611</v>
      </c>
      <c r="E428" s="4" t="n">
        <v>1700</v>
      </c>
      <c r="F428" s="4" t="s">
        <v>5698</v>
      </c>
      <c r="G428" s="4" t="s">
        <v>5699</v>
      </c>
    </row>
    <row r="429" customFormat="false" ht="15" hidden="false" customHeight="false" outlineLevel="0" collapsed="false">
      <c r="A429" s="4" t="s">
        <v>5700</v>
      </c>
      <c r="B429" s="4" t="s">
        <v>2710</v>
      </c>
      <c r="C429" s="4" t="n">
        <v>0.18</v>
      </c>
      <c r="D429" s="4" t="n">
        <v>0.25</v>
      </c>
      <c r="E429" s="4" t="n">
        <v>0.32</v>
      </c>
      <c r="F429" s="4" t="s">
        <v>5701</v>
      </c>
      <c r="G429" s="4" t="s">
        <v>5702</v>
      </c>
    </row>
    <row r="430" customFormat="false" ht="15" hidden="false" customHeight="false" outlineLevel="0" collapsed="false">
      <c r="A430" s="4" t="s">
        <v>5703</v>
      </c>
      <c r="B430" s="4" t="s">
        <v>5248</v>
      </c>
      <c r="C430" s="4" t="n">
        <v>12000</v>
      </c>
      <c r="D430" s="4" t="n">
        <v>25000</v>
      </c>
      <c r="E430" s="4" t="n">
        <v>45000</v>
      </c>
      <c r="F430" s="4" t="s">
        <v>5704</v>
      </c>
      <c r="G430" s="4" t="s">
        <v>5227</v>
      </c>
    </row>
    <row r="431" customFormat="false" ht="15" hidden="false" customHeight="false" outlineLevel="0" collapsed="false">
      <c r="A431" s="4" t="s">
        <v>5705</v>
      </c>
      <c r="B431" s="4" t="s">
        <v>5706</v>
      </c>
      <c r="C431" s="4" t="n">
        <v>0.24</v>
      </c>
      <c r="D431" s="4" t="n">
        <v>0.26</v>
      </c>
      <c r="E431" s="4" t="n">
        <v>0.3</v>
      </c>
      <c r="F431" s="4" t="s">
        <v>5707</v>
      </c>
      <c r="G431" s="4" t="s">
        <v>4660</v>
      </c>
    </row>
    <row r="432" customFormat="false" ht="15" hidden="false" customHeight="false" outlineLevel="0" collapsed="false">
      <c r="A432" s="4" t="s">
        <v>5708</v>
      </c>
      <c r="B432" s="4" t="s">
        <v>5250</v>
      </c>
      <c r="C432" s="4" t="n">
        <v>2032.8</v>
      </c>
      <c r="D432" s="4" t="n">
        <v>2035.3</v>
      </c>
      <c r="E432" s="4" t="n">
        <v>2036</v>
      </c>
      <c r="F432" s="4" t="s">
        <v>5709</v>
      </c>
      <c r="G432" s="4" t="s">
        <v>4660</v>
      </c>
    </row>
    <row r="433" customFormat="false" ht="15" hidden="false" customHeight="false" outlineLevel="0" collapsed="false">
      <c r="A433" s="4" t="s">
        <v>5710</v>
      </c>
      <c r="B433" s="4" t="s">
        <v>5711</v>
      </c>
      <c r="C433" s="4" t="n">
        <v>0.85</v>
      </c>
      <c r="D433" s="4" t="n">
        <v>0.95</v>
      </c>
      <c r="E433" s="4" t="n">
        <v>1</v>
      </c>
      <c r="F433" s="4" t="s">
        <v>5712</v>
      </c>
      <c r="G433" s="4" t="s">
        <v>5270</v>
      </c>
    </row>
    <row r="434" customFormat="false" ht="15" hidden="false" customHeight="false" outlineLevel="0" collapsed="false">
      <c r="A434" s="4" t="s">
        <v>5713</v>
      </c>
      <c r="B434" s="4" t="s">
        <v>5714</v>
      </c>
      <c r="C434" s="4" t="n">
        <v>0.4</v>
      </c>
      <c r="D434" s="4" t="n">
        <v>0.6</v>
      </c>
      <c r="E434" s="4" t="n">
        <v>0.8</v>
      </c>
      <c r="F434" s="4" t="s">
        <v>5715</v>
      </c>
      <c r="G434" s="4" t="s">
        <v>5270</v>
      </c>
    </row>
    <row r="435" customFormat="false" ht="15" hidden="false" customHeight="false" outlineLevel="0" collapsed="false">
      <c r="A435" s="4" t="s">
        <v>5716</v>
      </c>
      <c r="B435" s="4" t="s">
        <v>5717</v>
      </c>
      <c r="C435" s="4" t="n">
        <v>0.2</v>
      </c>
      <c r="D435" s="4" t="n">
        <v>0.35</v>
      </c>
      <c r="E435" s="4" t="n">
        <v>0.5</v>
      </c>
      <c r="F435" s="4" t="s">
        <v>5698</v>
      </c>
      <c r="G435" s="4" t="s">
        <v>5718</v>
      </c>
    </row>
    <row r="436" customFormat="false" ht="15" hidden="false" customHeight="false" outlineLevel="0" collapsed="false">
      <c r="A436" s="4" t="s">
        <v>5719</v>
      </c>
      <c r="B436" s="4" t="s">
        <v>5720</v>
      </c>
      <c r="C436" s="4" t="n">
        <v>2</v>
      </c>
      <c r="D436" s="4" t="n">
        <v>3</v>
      </c>
      <c r="E436" s="4" t="n">
        <v>4</v>
      </c>
      <c r="F436" s="4" t="s">
        <v>5721</v>
      </c>
      <c r="G436" s="4" t="s">
        <v>5227</v>
      </c>
    </row>
    <row r="437" customFormat="false" ht="15" hidden="false" customHeight="false" outlineLevel="0" collapsed="false">
      <c r="A437" s="4" t="s">
        <v>5722</v>
      </c>
      <c r="B437" s="4" t="s">
        <v>2716</v>
      </c>
      <c r="C437" s="4" t="n">
        <v>0.58</v>
      </c>
      <c r="D437" s="4" t="n">
        <v>0.7</v>
      </c>
      <c r="E437" s="4" t="n">
        <v>0.87</v>
      </c>
      <c r="F437" s="4" t="s">
        <v>5723</v>
      </c>
      <c r="G437" s="4" t="s">
        <v>5724</v>
      </c>
    </row>
    <row r="438" customFormat="false" ht="15" hidden="false" customHeight="false" outlineLevel="0" collapsed="false">
      <c r="A438" s="4" t="s">
        <v>3873</v>
      </c>
      <c r="B438" s="4" t="s">
        <v>5725</v>
      </c>
      <c r="C438" s="4" t="s">
        <v>5726</v>
      </c>
      <c r="D438" s="4" t="s">
        <v>5727</v>
      </c>
      <c r="E438" s="4" t="s">
        <v>5728</v>
      </c>
      <c r="F438" s="4" t="s">
        <v>5729</v>
      </c>
      <c r="G438" s="4" t="s">
        <v>5227</v>
      </c>
    </row>
    <row r="439" customFormat="false" ht="15" hidden="false" customHeight="false" outlineLevel="0" collapsed="false">
      <c r="A439" s="4" t="s">
        <v>1627</v>
      </c>
      <c r="B439" s="4" t="s">
        <v>5730</v>
      </c>
      <c r="C439" s="4" t="s">
        <v>5731</v>
      </c>
      <c r="D439" s="4" t="s">
        <v>5732</v>
      </c>
      <c r="E439" s="4" t="s">
        <v>5733</v>
      </c>
      <c r="F439" s="4" t="s">
        <v>5734</v>
      </c>
      <c r="G439" s="4" t="s">
        <v>5348</v>
      </c>
    </row>
    <row r="440" customFormat="false" ht="15" hidden="false" customHeight="false" outlineLevel="0" collapsed="false">
      <c r="A440" s="4" t="s">
        <v>4335</v>
      </c>
      <c r="B440" s="4" t="s">
        <v>5735</v>
      </c>
      <c r="C440" s="4" t="s">
        <v>5736</v>
      </c>
      <c r="D440" s="4" t="s">
        <v>5737</v>
      </c>
      <c r="E440" s="4" t="s">
        <v>5738</v>
      </c>
      <c r="F440" s="4" t="s">
        <v>5739</v>
      </c>
      <c r="G440" s="4" t="s">
        <v>5740</v>
      </c>
    </row>
    <row r="441" customFormat="false" ht="15" hidden="false" customHeight="false" outlineLevel="0" collapsed="false">
      <c r="A441" s="4" t="s">
        <v>5450</v>
      </c>
      <c r="B441" s="4" t="s">
        <v>5741</v>
      </c>
      <c r="C441" s="4" t="s">
        <v>5742</v>
      </c>
      <c r="D441" s="4" t="s">
        <v>5743</v>
      </c>
      <c r="E441" s="4" t="s">
        <v>5744</v>
      </c>
      <c r="F441" s="4" t="s">
        <v>5745</v>
      </c>
      <c r="G441" s="4" t="s">
        <v>5746</v>
      </c>
    </row>
    <row r="442" customFormat="false" ht="15" hidden="false" customHeight="false" outlineLevel="0" collapsed="false">
      <c r="A442" s="4" t="s">
        <v>5747</v>
      </c>
      <c r="B442" s="4" t="s">
        <v>2668</v>
      </c>
      <c r="C442" s="4" t="n">
        <v>0.15</v>
      </c>
      <c r="D442" s="4" t="n">
        <v>0.1</v>
      </c>
      <c r="E442" s="4" t="n">
        <v>0.05</v>
      </c>
      <c r="F442" s="4" t="s">
        <v>5748</v>
      </c>
      <c r="G442" s="4" t="s">
        <v>5227</v>
      </c>
    </row>
    <row r="443" customFormat="false" ht="15" hidden="false" customHeight="false" outlineLevel="0" collapsed="false">
      <c r="A443" s="4" t="s">
        <v>5749</v>
      </c>
      <c r="B443" s="4" t="s">
        <v>5750</v>
      </c>
      <c r="C443" s="4" t="n">
        <v>0.02</v>
      </c>
      <c r="D443" s="4" t="n">
        <v>0.04</v>
      </c>
      <c r="E443" s="4" t="n">
        <v>0.07</v>
      </c>
      <c r="F443" s="4" t="s">
        <v>5723</v>
      </c>
      <c r="G443" s="4" t="s">
        <v>5751</v>
      </c>
    </row>
    <row r="444" customFormat="false" ht="15" hidden="false" customHeight="false" outlineLevel="0" collapsed="false">
      <c r="A444" s="4" t="s">
        <v>5752</v>
      </c>
      <c r="B444" s="4" t="s">
        <v>5753</v>
      </c>
      <c r="C444" s="4" t="n">
        <v>50</v>
      </c>
      <c r="D444" s="4" t="n">
        <v>58.4</v>
      </c>
      <c r="E444" s="4" t="n">
        <v>69</v>
      </c>
      <c r="F444" s="4" t="s">
        <v>5723</v>
      </c>
      <c r="G444" s="4" t="s">
        <v>5754</v>
      </c>
    </row>
    <row r="445" customFormat="false" ht="15" hidden="false" customHeight="false" outlineLevel="0" collapsed="false">
      <c r="A445" s="4" t="s">
        <v>5755</v>
      </c>
      <c r="B445" s="4" t="s">
        <v>2662</v>
      </c>
      <c r="C445" s="4" t="n">
        <v>0.3</v>
      </c>
      <c r="D445" s="4" t="n">
        <v>0.5</v>
      </c>
      <c r="E445" s="4" t="n">
        <v>0.8</v>
      </c>
      <c r="F445" s="4" t="s">
        <v>5698</v>
      </c>
      <c r="G445" s="4" t="s">
        <v>5756</v>
      </c>
    </row>
    <row r="446" customFormat="false" ht="15" hidden="false" customHeight="false" outlineLevel="0" collapsed="false">
      <c r="A446" s="4" t="s">
        <v>5757</v>
      </c>
      <c r="B446" s="4" t="s">
        <v>5758</v>
      </c>
      <c r="C446" s="4" t="s">
        <v>5759</v>
      </c>
      <c r="D446" s="4" t="s">
        <v>5760</v>
      </c>
      <c r="E446" s="4" t="s">
        <v>5531</v>
      </c>
      <c r="F446" s="4" t="s">
        <v>5761</v>
      </c>
      <c r="G446" s="4" t="s">
        <v>4660</v>
      </c>
    </row>
    <row r="447" customFormat="false" ht="15" hidden="false" customHeight="false" outlineLevel="0" collapsed="false">
      <c r="A447" s="4" t="s">
        <v>5762</v>
      </c>
      <c r="B447" s="4" t="s">
        <v>5763</v>
      </c>
      <c r="C447" s="4" t="n">
        <v>150</v>
      </c>
      <c r="D447" s="4" t="n">
        <v>220</v>
      </c>
      <c r="E447" s="4" t="n">
        <v>395</v>
      </c>
      <c r="F447" s="4" t="s">
        <v>5723</v>
      </c>
      <c r="G447" s="4" t="s">
        <v>5216</v>
      </c>
    </row>
    <row r="448" customFormat="false" ht="15" hidden="false" customHeight="false" outlineLevel="0" collapsed="false">
      <c r="A448" s="4" t="s">
        <v>5764</v>
      </c>
      <c r="B448" s="4" t="s">
        <v>5765</v>
      </c>
      <c r="C448" s="4" t="n">
        <v>0.01</v>
      </c>
      <c r="D448" s="4" t="n">
        <v>0.03</v>
      </c>
      <c r="E448" s="4" t="n">
        <v>0.05</v>
      </c>
      <c r="F448" s="4" t="s">
        <v>5698</v>
      </c>
      <c r="G448" s="4" t="s">
        <v>5766</v>
      </c>
    </row>
    <row r="449" customFormat="false" ht="15" hidden="false" customHeight="false" outlineLevel="0" collapsed="false">
      <c r="A449" s="4" t="s">
        <v>5767</v>
      </c>
      <c r="B449" s="4" t="s">
        <v>5768</v>
      </c>
      <c r="C449" s="4" t="n">
        <v>0.25</v>
      </c>
      <c r="D449" s="4" t="n">
        <v>0.4</v>
      </c>
      <c r="E449" s="4" t="n">
        <v>0.55</v>
      </c>
      <c r="F449" s="4" t="s">
        <v>5698</v>
      </c>
      <c r="G449" s="4" t="s">
        <v>5227</v>
      </c>
    </row>
    <row r="450" customFormat="false" ht="15" hidden="false" customHeight="false" outlineLevel="0" collapsed="false">
      <c r="A450" s="4" t="s">
        <v>5769</v>
      </c>
      <c r="B450" s="4" t="s">
        <v>5770</v>
      </c>
      <c r="C450" s="4" t="n">
        <v>0.7</v>
      </c>
      <c r="D450" s="4" t="n">
        <v>0.85</v>
      </c>
      <c r="E450" s="4" t="n">
        <v>0.95</v>
      </c>
      <c r="F450" s="4" t="s">
        <v>5698</v>
      </c>
      <c r="G450" s="4" t="s">
        <v>5227</v>
      </c>
    </row>
    <row r="451" customFormat="false" ht="15" hidden="false" customHeight="false" outlineLevel="0" collapsed="false">
      <c r="A451" s="4" t="s">
        <v>5771</v>
      </c>
      <c r="B451" s="4" t="s">
        <v>3306</v>
      </c>
      <c r="C451" s="4" t="n">
        <v>1.5</v>
      </c>
      <c r="D451" s="4" t="n">
        <v>1.8</v>
      </c>
      <c r="E451" s="4" t="n">
        <v>2.5</v>
      </c>
      <c r="F451" s="4" t="s">
        <v>5723</v>
      </c>
      <c r="G451" s="4" t="s">
        <v>5216</v>
      </c>
    </row>
    <row r="452" customFormat="false" ht="15" hidden="false" customHeight="false" outlineLevel="0" collapsed="false">
      <c r="A452" s="4" t="s">
        <v>5772</v>
      </c>
      <c r="B452" s="4" t="s">
        <v>3306</v>
      </c>
      <c r="C452" s="4" t="n">
        <v>0.2</v>
      </c>
      <c r="D452" s="4" t="n">
        <v>0.5</v>
      </c>
      <c r="E452" s="4" t="n">
        <v>0.8</v>
      </c>
      <c r="F452" s="4" t="s">
        <v>5698</v>
      </c>
      <c r="G452" s="4" t="s">
        <v>5216</v>
      </c>
    </row>
    <row r="453" customFormat="false" ht="15" hidden="false" customHeight="false" outlineLevel="0" collapsed="false">
      <c r="A453" s="4" t="s">
        <v>5773</v>
      </c>
      <c r="B453" s="4" t="s">
        <v>3306</v>
      </c>
      <c r="C453" s="4" t="n">
        <v>0</v>
      </c>
      <c r="D453" s="4" t="n">
        <v>0.1</v>
      </c>
      <c r="E453" s="4" t="n">
        <v>0.2</v>
      </c>
      <c r="F453" s="4" t="s">
        <v>5698</v>
      </c>
      <c r="G453" s="4" t="s">
        <v>5227</v>
      </c>
    </row>
    <row r="454" customFormat="false" ht="15" hidden="false" customHeight="false" outlineLevel="0" collapsed="false">
      <c r="A454" s="4" t="s">
        <v>5774</v>
      </c>
      <c r="B454" s="4" t="s">
        <v>5775</v>
      </c>
      <c r="C454" s="4" t="n">
        <v>4</v>
      </c>
      <c r="D454" s="4" t="n">
        <v>8</v>
      </c>
      <c r="E454" s="4" t="n">
        <v>12</v>
      </c>
      <c r="F454" s="4" t="s">
        <v>5698</v>
      </c>
      <c r="G454" s="4" t="s">
        <v>4660</v>
      </c>
    </row>
    <row r="455" customFormat="false" ht="15" hidden="false" customHeight="false" outlineLevel="0" collapsed="false">
      <c r="A455" s="4" t="s">
        <v>5776</v>
      </c>
      <c r="B455" s="4" t="s">
        <v>5777</v>
      </c>
      <c r="C455" s="4" t="n">
        <v>0.3</v>
      </c>
      <c r="D455" s="4" t="n">
        <v>0.5</v>
      </c>
      <c r="E455" s="4" t="n">
        <v>0.7</v>
      </c>
      <c r="F455" s="4" t="s">
        <v>5698</v>
      </c>
      <c r="G455" s="4" t="s">
        <v>4660</v>
      </c>
    </row>
    <row r="456" customFormat="false" ht="15" hidden="false" customHeight="false" outlineLevel="0" collapsed="false">
      <c r="A456" s="4" t="s">
        <v>5778</v>
      </c>
      <c r="B456" s="4" t="s">
        <v>5779</v>
      </c>
      <c r="C456" s="4" t="s">
        <v>3475</v>
      </c>
      <c r="D456" s="4" t="s">
        <v>5780</v>
      </c>
      <c r="E456" s="4" t="s">
        <v>5781</v>
      </c>
      <c r="F456" s="4" t="s">
        <v>5723</v>
      </c>
      <c r="G456" s="4" t="s">
        <v>5782</v>
      </c>
    </row>
    <row r="457" customFormat="false" ht="15" hidden="false" customHeight="false" outlineLevel="0" collapsed="false">
      <c r="A457" s="4" t="s">
        <v>5783</v>
      </c>
      <c r="B457" s="4" t="s">
        <v>5784</v>
      </c>
      <c r="C457" s="4" t="n">
        <v>88</v>
      </c>
      <c r="D457" s="4" t="n">
        <v>89</v>
      </c>
      <c r="E457" s="4" t="n">
        <v>92</v>
      </c>
      <c r="F457" s="4" t="s">
        <v>5698</v>
      </c>
      <c r="G457" s="4" t="s">
        <v>5227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7" min="1" style="0" width="56"/>
    <col collapsed="false" customWidth="true" hidden="false" outlineLevel="0" max="8" min="8" style="0" width="25.39"/>
  </cols>
  <sheetData>
    <row r="1" customFormat="false" ht="17.35" hidden="false" customHeight="false" outlineLevel="0" collapsed="false">
      <c r="A1" s="1" t="s">
        <v>777</v>
      </c>
    </row>
    <row r="2" customFormat="false" ht="15" hidden="false" customHeight="false" outlineLevel="0" collapsed="false">
      <c r="A2" s="14" t="s">
        <v>5202</v>
      </c>
    </row>
    <row r="4" customFormat="false" ht="15" hidden="false" customHeight="false" outlineLevel="0" collapsed="false">
      <c r="A4" s="17" t="s">
        <v>5785</v>
      </c>
      <c r="B4" s="18"/>
      <c r="C4" s="18"/>
      <c r="D4" s="18"/>
    </row>
    <row r="5" customFormat="false" ht="15" hidden="false" customHeight="false" outlineLevel="0" collapsed="false">
      <c r="A5" s="19" t="s">
        <v>5786</v>
      </c>
    </row>
    <row r="6" customFormat="false" ht="15" hidden="false" customHeight="false" outlineLevel="0" collapsed="false">
      <c r="A6" s="27" t="s">
        <v>5787</v>
      </c>
    </row>
    <row r="7" customFormat="false" ht="15" hidden="false" customHeight="false" outlineLevel="0" collapsed="false">
      <c r="A7" s="21" t="s">
        <v>5788</v>
      </c>
    </row>
    <row r="8" customFormat="false" ht="15" hidden="false" customHeight="false" outlineLevel="0" collapsed="false">
      <c r="A8" s="21" t="s">
        <v>5789</v>
      </c>
    </row>
    <row r="9" customFormat="false" ht="15" hidden="false" customHeight="false" outlineLevel="0" collapsed="false">
      <c r="A9" s="22" t="s">
        <v>5790</v>
      </c>
      <c r="B9" s="22" t="s">
        <v>1512</v>
      </c>
      <c r="C9" s="22" t="s">
        <v>5791</v>
      </c>
      <c r="D9" s="22" t="s">
        <v>5210</v>
      </c>
    </row>
    <row r="10" customFormat="false" ht="23.85" hidden="false" customHeight="false" outlineLevel="0" collapsed="false">
      <c r="A10" s="4" t="s">
        <v>2785</v>
      </c>
      <c r="B10" s="4" t="s">
        <v>5792</v>
      </c>
      <c r="C10" s="4" t="s">
        <v>5793</v>
      </c>
      <c r="D10" s="4" t="s">
        <v>5794</v>
      </c>
    </row>
    <row r="11" customFormat="false" ht="23.85" hidden="false" customHeight="false" outlineLevel="0" collapsed="false">
      <c r="A11" s="4" t="s">
        <v>2786</v>
      </c>
      <c r="B11" s="4" t="s">
        <v>5795</v>
      </c>
      <c r="C11" s="4" t="s">
        <v>5796</v>
      </c>
      <c r="D11" s="4" t="s">
        <v>5797</v>
      </c>
    </row>
    <row r="12" customFormat="false" ht="15" hidden="false" customHeight="false" outlineLevel="0" collapsed="false">
      <c r="A12" s="4" t="s">
        <v>2935</v>
      </c>
      <c r="B12" s="4" t="s">
        <v>5798</v>
      </c>
      <c r="C12" s="4" t="s">
        <v>5796</v>
      </c>
      <c r="D12" s="4" t="s">
        <v>5799</v>
      </c>
    </row>
    <row r="13" customFormat="false" ht="23.85" hidden="false" customHeight="false" outlineLevel="0" collapsed="false">
      <c r="A13" s="4" t="s">
        <v>5800</v>
      </c>
      <c r="B13" s="4" t="s">
        <v>5801</v>
      </c>
      <c r="C13" s="4" t="s">
        <v>5802</v>
      </c>
      <c r="D13" s="4" t="s">
        <v>5803</v>
      </c>
    </row>
    <row r="14" customFormat="false" ht="23.85" hidden="false" customHeight="false" outlineLevel="0" collapsed="false">
      <c r="A14" s="4" t="s">
        <v>5804</v>
      </c>
      <c r="B14" s="4" t="s">
        <v>5805</v>
      </c>
      <c r="C14" s="4" t="s">
        <v>5802</v>
      </c>
      <c r="D14" s="4" t="s">
        <v>5806</v>
      </c>
    </row>
    <row r="15" customFormat="false" ht="23.85" hidden="false" customHeight="false" outlineLevel="0" collapsed="false">
      <c r="A15" s="4" t="s">
        <v>5807</v>
      </c>
      <c r="B15" s="4" t="s">
        <v>5808</v>
      </c>
      <c r="C15" s="4" t="s">
        <v>1555</v>
      </c>
      <c r="D15" s="4" t="s">
        <v>5809</v>
      </c>
    </row>
    <row r="16" customFormat="false" ht="15" hidden="false" customHeight="false" outlineLevel="0" collapsed="false">
      <c r="A16" s="4" t="s">
        <v>4039</v>
      </c>
      <c r="B16" s="4" t="s">
        <v>5810</v>
      </c>
      <c r="C16" s="4" t="s">
        <v>1555</v>
      </c>
      <c r="D16" s="4" t="s">
        <v>5811</v>
      </c>
    </row>
    <row r="17" customFormat="false" ht="35.05" hidden="false" customHeight="false" outlineLevel="0" collapsed="false">
      <c r="A17" s="4" t="s">
        <v>5812</v>
      </c>
      <c r="B17" s="4" t="s">
        <v>5813</v>
      </c>
      <c r="C17" s="4" t="s">
        <v>5814</v>
      </c>
      <c r="D17" s="4" t="s">
        <v>5815</v>
      </c>
    </row>
    <row r="18" customFormat="false" ht="23.85" hidden="false" customHeight="false" outlineLevel="0" collapsed="false">
      <c r="A18" s="4" t="s">
        <v>5816</v>
      </c>
      <c r="B18" s="4" t="s">
        <v>5817</v>
      </c>
      <c r="C18" s="4" t="s">
        <v>1555</v>
      </c>
      <c r="D18" s="4" t="s">
        <v>5818</v>
      </c>
    </row>
    <row r="21" customFormat="false" ht="15" hidden="false" customHeight="false" outlineLevel="0" collapsed="false">
      <c r="A21" s="17" t="s">
        <v>5819</v>
      </c>
      <c r="B21" s="18"/>
      <c r="C21" s="18"/>
      <c r="D21" s="18"/>
      <c r="E21" s="18"/>
      <c r="F21" s="18"/>
      <c r="G21" s="18"/>
    </row>
    <row r="22" customFormat="false" ht="15" hidden="false" customHeight="false" outlineLevel="0" collapsed="false">
      <c r="A22" s="19" t="s">
        <v>5820</v>
      </c>
    </row>
    <row r="23" customFormat="false" ht="15" hidden="false" customHeight="false" outlineLevel="0" collapsed="false">
      <c r="A23" s="25" t="s">
        <v>2043</v>
      </c>
    </row>
    <row r="24" customFormat="false" ht="15" hidden="false" customHeight="false" outlineLevel="0" collapsed="false">
      <c r="A24" s="21" t="s">
        <v>5821</v>
      </c>
    </row>
    <row r="25" customFormat="false" ht="15" hidden="false" customHeight="false" outlineLevel="0" collapsed="false">
      <c r="A25" s="21" t="s">
        <v>5822</v>
      </c>
    </row>
    <row r="26" customFormat="false" ht="15" hidden="false" customHeight="false" outlineLevel="0" collapsed="false">
      <c r="A26" s="22" t="s">
        <v>1490</v>
      </c>
      <c r="B26" s="22" t="s">
        <v>5823</v>
      </c>
      <c r="C26" s="22" t="s">
        <v>2519</v>
      </c>
      <c r="D26" s="22" t="s">
        <v>5824</v>
      </c>
      <c r="E26" s="22" t="s">
        <v>5247</v>
      </c>
      <c r="F26" s="22" t="s">
        <v>5791</v>
      </c>
      <c r="G26" s="22" t="s">
        <v>5210</v>
      </c>
    </row>
    <row r="27" customFormat="false" ht="15" hidden="false" customHeight="false" outlineLevel="0" collapsed="false">
      <c r="A27" s="4" t="s">
        <v>5825</v>
      </c>
      <c r="B27" s="4" t="s">
        <v>5826</v>
      </c>
      <c r="C27" s="4" t="s">
        <v>5827</v>
      </c>
      <c r="D27" s="4" t="s">
        <v>5828</v>
      </c>
      <c r="E27" s="4" t="s">
        <v>5829</v>
      </c>
      <c r="F27" s="4" t="s">
        <v>5830</v>
      </c>
      <c r="G27" s="4" t="s">
        <v>5831</v>
      </c>
    </row>
    <row r="28" customFormat="false" ht="15" hidden="false" customHeight="false" outlineLevel="0" collapsed="false">
      <c r="A28" s="4" t="s">
        <v>5832</v>
      </c>
      <c r="B28" s="4" t="s">
        <v>5833</v>
      </c>
      <c r="C28" s="4" t="n">
        <v>1.47</v>
      </c>
      <c r="D28" s="4" t="n">
        <v>1.48</v>
      </c>
      <c r="E28" s="4" t="n">
        <v>1.6</v>
      </c>
      <c r="F28" s="4" t="s">
        <v>5834</v>
      </c>
      <c r="G28" s="4" t="s">
        <v>5835</v>
      </c>
    </row>
    <row r="29" customFormat="false" ht="15" hidden="false" customHeight="false" outlineLevel="0" collapsed="false">
      <c r="A29" s="4" t="s">
        <v>5836</v>
      </c>
      <c r="B29" s="4" t="s">
        <v>5837</v>
      </c>
      <c r="C29" s="4" t="n">
        <v>0.75</v>
      </c>
      <c r="D29" s="4" t="n">
        <v>0.85</v>
      </c>
      <c r="E29" s="4" t="n">
        <v>0.95</v>
      </c>
      <c r="F29" s="4" t="s">
        <v>1555</v>
      </c>
      <c r="G29" s="4" t="s">
        <v>5838</v>
      </c>
    </row>
    <row r="30" customFormat="false" ht="15" hidden="false" customHeight="false" outlineLevel="0" collapsed="false">
      <c r="A30" s="4" t="s">
        <v>2924</v>
      </c>
      <c r="B30" s="4" t="s">
        <v>5839</v>
      </c>
      <c r="C30" s="4" t="n">
        <v>1.1</v>
      </c>
      <c r="D30" s="4" t="n">
        <v>1.26</v>
      </c>
      <c r="E30" s="4" t="n">
        <v>1.5</v>
      </c>
      <c r="F30" s="4" t="s">
        <v>5834</v>
      </c>
      <c r="G30" s="4" t="s">
        <v>5835</v>
      </c>
    </row>
    <row r="31" customFormat="false" ht="15" hidden="false" customHeight="false" outlineLevel="0" collapsed="false">
      <c r="A31" s="4" t="s">
        <v>5840</v>
      </c>
      <c r="B31" s="4" t="s">
        <v>5841</v>
      </c>
      <c r="C31" s="4" t="n">
        <v>1.15</v>
      </c>
      <c r="D31" s="4" t="n">
        <v>1.25</v>
      </c>
      <c r="E31" s="4" t="n">
        <v>1.35</v>
      </c>
      <c r="F31" s="4" t="s">
        <v>5842</v>
      </c>
      <c r="G31" s="4" t="s">
        <v>5843</v>
      </c>
    </row>
    <row r="32" customFormat="false" ht="15" hidden="false" customHeight="false" outlineLevel="0" collapsed="false">
      <c r="A32" s="4" t="s">
        <v>2925</v>
      </c>
      <c r="B32" s="4" t="s">
        <v>5844</v>
      </c>
      <c r="C32" s="4" t="s">
        <v>5845</v>
      </c>
      <c r="D32" s="4" t="s">
        <v>5846</v>
      </c>
      <c r="E32" s="4" t="s">
        <v>5847</v>
      </c>
      <c r="F32" s="4" t="s">
        <v>5834</v>
      </c>
      <c r="G32" s="4" t="s">
        <v>5835</v>
      </c>
    </row>
    <row r="33" customFormat="false" ht="15" hidden="false" customHeight="false" outlineLevel="0" collapsed="false">
      <c r="A33" s="4" t="s">
        <v>2926</v>
      </c>
      <c r="B33" s="4" t="s">
        <v>5848</v>
      </c>
      <c r="C33" s="4" t="n">
        <v>0.0009</v>
      </c>
      <c r="D33" s="4" t="n">
        <v>0.002</v>
      </c>
      <c r="E33" s="4" t="n">
        <v>0.004</v>
      </c>
      <c r="F33" s="4" t="s">
        <v>5834</v>
      </c>
      <c r="G33" s="4" t="s">
        <v>5849</v>
      </c>
    </row>
    <row r="34" customFormat="false" ht="15" hidden="false" customHeight="false" outlineLevel="0" collapsed="false">
      <c r="A34" s="4" t="s">
        <v>2927</v>
      </c>
      <c r="B34" s="4" t="s">
        <v>5850</v>
      </c>
      <c r="C34" s="4" t="n">
        <v>1.3</v>
      </c>
      <c r="D34" s="4" t="n">
        <v>1.7</v>
      </c>
      <c r="E34" s="4" t="n">
        <v>3</v>
      </c>
      <c r="F34" s="4" t="s">
        <v>5834</v>
      </c>
      <c r="G34" s="4" t="s">
        <v>5835</v>
      </c>
    </row>
    <row r="35" customFormat="false" ht="15" hidden="false" customHeight="false" outlineLevel="0" collapsed="false">
      <c r="A35" s="4" t="s">
        <v>5851</v>
      </c>
      <c r="B35" s="4" t="s">
        <v>5852</v>
      </c>
      <c r="C35" s="4" t="n">
        <v>1.5</v>
      </c>
      <c r="D35" s="4" t="n">
        <v>2.1</v>
      </c>
      <c r="E35" s="4" t="n">
        <v>3.5</v>
      </c>
      <c r="F35" s="4" t="s">
        <v>5802</v>
      </c>
      <c r="G35" s="4" t="s">
        <v>5853</v>
      </c>
    </row>
    <row r="36" customFormat="false" ht="15" hidden="false" customHeight="false" outlineLevel="0" collapsed="false">
      <c r="A36" s="4" t="s">
        <v>5854</v>
      </c>
      <c r="B36" s="4" t="s">
        <v>1555</v>
      </c>
      <c r="C36" s="4" t="n">
        <v>0</v>
      </c>
      <c r="D36" s="4" t="n">
        <v>0.01</v>
      </c>
      <c r="E36" s="4" t="n">
        <v>0.05</v>
      </c>
      <c r="F36" s="4" t="s">
        <v>5802</v>
      </c>
      <c r="G36" s="4" t="s">
        <v>5855</v>
      </c>
    </row>
    <row r="37" customFormat="false" ht="15" hidden="false" customHeight="false" outlineLevel="0" collapsed="false">
      <c r="A37" s="4" t="s">
        <v>2853</v>
      </c>
      <c r="B37" s="4" t="s">
        <v>5856</v>
      </c>
      <c r="C37" s="4" t="n">
        <v>0.25</v>
      </c>
      <c r="D37" s="4" t="n">
        <v>0.4</v>
      </c>
      <c r="E37" s="4" t="n">
        <v>0.55</v>
      </c>
      <c r="F37" s="4" t="s">
        <v>5857</v>
      </c>
      <c r="G37" s="4" t="s">
        <v>5858</v>
      </c>
    </row>
    <row r="38" customFormat="false" ht="15" hidden="false" customHeight="false" outlineLevel="0" collapsed="false">
      <c r="A38" s="4" t="s">
        <v>5859</v>
      </c>
      <c r="B38" s="4" t="s">
        <v>5860</v>
      </c>
      <c r="C38" s="4" t="n">
        <v>0.005</v>
      </c>
      <c r="D38" s="4" t="n">
        <v>0.01</v>
      </c>
      <c r="E38" s="4" t="n">
        <v>0.02</v>
      </c>
      <c r="F38" s="4" t="s">
        <v>5861</v>
      </c>
      <c r="G38" s="4" t="s">
        <v>5862</v>
      </c>
    </row>
    <row r="39" customFormat="false" ht="15" hidden="false" customHeight="false" outlineLevel="0" collapsed="false">
      <c r="A39" s="4" t="s">
        <v>2845</v>
      </c>
      <c r="B39" s="4" t="s">
        <v>5863</v>
      </c>
      <c r="C39" s="4" t="s">
        <v>1555</v>
      </c>
      <c r="D39" s="4" t="s">
        <v>1555</v>
      </c>
      <c r="E39" s="4" t="s">
        <v>1555</v>
      </c>
      <c r="F39" s="4" t="s">
        <v>1555</v>
      </c>
      <c r="G39" s="4" t="s">
        <v>5864</v>
      </c>
    </row>
    <row r="40" customFormat="false" ht="15" hidden="false" customHeight="false" outlineLevel="0" collapsed="false">
      <c r="A40" s="4" t="s">
        <v>5865</v>
      </c>
      <c r="B40" s="4" t="s">
        <v>5866</v>
      </c>
      <c r="C40" s="4" t="n">
        <v>0</v>
      </c>
      <c r="D40" s="4" t="s">
        <v>2030</v>
      </c>
      <c r="E40" s="4" t="s">
        <v>2030</v>
      </c>
      <c r="F40" s="4" t="s">
        <v>1555</v>
      </c>
      <c r="G40" s="4" t="s">
        <v>5858</v>
      </c>
    </row>
    <row r="41" customFormat="false" ht="15" hidden="false" customHeight="false" outlineLevel="0" collapsed="false">
      <c r="A41" s="4" t="s">
        <v>5867</v>
      </c>
      <c r="B41" s="4" t="s">
        <v>5868</v>
      </c>
      <c r="C41" s="4" t="s">
        <v>1555</v>
      </c>
      <c r="D41" s="4" t="s">
        <v>1555</v>
      </c>
      <c r="E41" s="4" t="s">
        <v>1555</v>
      </c>
      <c r="F41" s="4" t="s">
        <v>5869</v>
      </c>
      <c r="G41" s="4" t="s">
        <v>5870</v>
      </c>
    </row>
    <row r="44" customFormat="false" ht="15" hidden="false" customHeight="false" outlineLevel="0" collapsed="false">
      <c r="A44" s="17" t="s">
        <v>5871</v>
      </c>
      <c r="B44" s="18"/>
      <c r="C44" s="18"/>
      <c r="D44" s="18"/>
    </row>
    <row r="45" customFormat="false" ht="15" hidden="false" customHeight="false" outlineLevel="0" collapsed="false">
      <c r="A45" s="19" t="s">
        <v>5872</v>
      </c>
    </row>
    <row r="46" customFormat="false" ht="15" hidden="false" customHeight="false" outlineLevel="0" collapsed="false">
      <c r="A46" s="27" t="s">
        <v>5787</v>
      </c>
    </row>
    <row r="47" customFormat="false" ht="15" hidden="false" customHeight="false" outlineLevel="0" collapsed="false">
      <c r="A47" s="21" t="s">
        <v>5873</v>
      </c>
    </row>
    <row r="48" customFormat="false" ht="15" hidden="false" customHeight="false" outlineLevel="0" collapsed="false">
      <c r="A48" s="21" t="s">
        <v>5874</v>
      </c>
    </row>
    <row r="49" customFormat="false" ht="15" hidden="false" customHeight="false" outlineLevel="0" collapsed="false">
      <c r="A49" s="22" t="s">
        <v>5875</v>
      </c>
      <c r="B49" s="22" t="s">
        <v>1319</v>
      </c>
      <c r="C49" s="22" t="s">
        <v>1551</v>
      </c>
      <c r="D49" s="22" t="s">
        <v>5210</v>
      </c>
    </row>
    <row r="50" customFormat="false" ht="15" hidden="false" customHeight="false" outlineLevel="0" collapsed="false">
      <c r="A50" s="4" t="s">
        <v>5876</v>
      </c>
      <c r="B50" s="4" t="s">
        <v>5877</v>
      </c>
      <c r="C50" s="4" t="s">
        <v>5878</v>
      </c>
      <c r="D50" s="4" t="s">
        <v>5879</v>
      </c>
    </row>
    <row r="51" customFormat="false" ht="23.85" hidden="false" customHeight="false" outlineLevel="0" collapsed="false">
      <c r="A51" s="4" t="s">
        <v>5880</v>
      </c>
      <c r="B51" s="4" t="s">
        <v>5881</v>
      </c>
      <c r="C51" s="4" t="s">
        <v>1555</v>
      </c>
      <c r="D51" s="4" t="s">
        <v>5879</v>
      </c>
    </row>
    <row r="52" customFormat="false" ht="15" hidden="false" customHeight="false" outlineLevel="0" collapsed="false">
      <c r="A52" s="4" t="s">
        <v>5882</v>
      </c>
      <c r="B52" s="4" t="s">
        <v>5883</v>
      </c>
      <c r="C52" s="4" t="n">
        <v>2023</v>
      </c>
      <c r="D52" s="4" t="s">
        <v>5879</v>
      </c>
    </row>
    <row r="53" customFormat="false" ht="15" hidden="false" customHeight="false" outlineLevel="0" collapsed="false">
      <c r="A53" s="4" t="s">
        <v>5884</v>
      </c>
      <c r="B53" s="4" t="s">
        <v>5885</v>
      </c>
      <c r="C53" s="4" t="s">
        <v>1555</v>
      </c>
      <c r="D53" s="4" t="s">
        <v>5879</v>
      </c>
    </row>
    <row r="54" customFormat="false" ht="15" hidden="false" customHeight="false" outlineLevel="0" collapsed="false">
      <c r="A54" s="4" t="s">
        <v>5886</v>
      </c>
      <c r="B54" s="4" t="s">
        <v>5887</v>
      </c>
      <c r="C54" s="4" t="s">
        <v>5888</v>
      </c>
      <c r="D54" s="4" t="s">
        <v>5889</v>
      </c>
    </row>
    <row r="55" customFormat="false" ht="15" hidden="false" customHeight="false" outlineLevel="0" collapsed="false">
      <c r="A55" s="4" t="s">
        <v>5890</v>
      </c>
      <c r="B55" s="4" t="s">
        <v>5891</v>
      </c>
      <c r="C55" s="4" t="s">
        <v>5888</v>
      </c>
      <c r="D55" s="4" t="s">
        <v>5889</v>
      </c>
    </row>
    <row r="56" customFormat="false" ht="15" hidden="false" customHeight="false" outlineLevel="0" collapsed="false">
      <c r="A56" s="4" t="s">
        <v>5892</v>
      </c>
      <c r="B56" s="4" t="s">
        <v>5893</v>
      </c>
      <c r="C56" s="4" t="s">
        <v>5894</v>
      </c>
      <c r="D56" s="4" t="s">
        <v>5895</v>
      </c>
    </row>
    <row r="57" customFormat="false" ht="15" hidden="false" customHeight="false" outlineLevel="0" collapsed="false">
      <c r="A57" s="4" t="s">
        <v>5896</v>
      </c>
      <c r="B57" s="4" t="s">
        <v>5897</v>
      </c>
      <c r="C57" s="4" t="s">
        <v>1555</v>
      </c>
      <c r="D57" s="4" t="s">
        <v>5898</v>
      </c>
    </row>
    <row r="58" customFormat="false" ht="15" hidden="false" customHeight="false" outlineLevel="0" collapsed="false">
      <c r="A58" s="4" t="s">
        <v>5899</v>
      </c>
      <c r="B58" s="4" t="s">
        <v>5900</v>
      </c>
      <c r="C58" s="4" t="n">
        <v>2025</v>
      </c>
      <c r="D58" s="4" t="s">
        <v>5901</v>
      </c>
    </row>
    <row r="59" customFormat="false" ht="15" hidden="false" customHeight="false" outlineLevel="0" collapsed="false">
      <c r="A59" s="4" t="s">
        <v>5902</v>
      </c>
      <c r="B59" s="4" t="s">
        <v>5903</v>
      </c>
      <c r="C59" s="4" t="n">
        <v>2024</v>
      </c>
      <c r="D59" s="4" t="s">
        <v>5904</v>
      </c>
    </row>
    <row r="60" customFormat="false" ht="15" hidden="false" customHeight="false" outlineLevel="0" collapsed="false">
      <c r="A60" s="4" t="s">
        <v>5905</v>
      </c>
      <c r="B60" s="4" t="s">
        <v>5906</v>
      </c>
      <c r="C60" s="4" t="s">
        <v>5907</v>
      </c>
      <c r="D60" s="4" t="s">
        <v>5908</v>
      </c>
    </row>
    <row r="61" customFormat="false" ht="15" hidden="false" customHeight="false" outlineLevel="0" collapsed="false">
      <c r="A61" s="4" t="s">
        <v>5909</v>
      </c>
      <c r="B61" s="4" t="s">
        <v>5910</v>
      </c>
      <c r="C61" s="4" t="s">
        <v>5907</v>
      </c>
      <c r="D61" s="4" t="s">
        <v>5908</v>
      </c>
    </row>
    <row r="62" customFormat="false" ht="15" hidden="false" customHeight="false" outlineLevel="0" collapsed="false">
      <c r="A62" s="4" t="s">
        <v>5911</v>
      </c>
      <c r="B62" s="4" t="s">
        <v>5912</v>
      </c>
      <c r="C62" s="4" t="s">
        <v>5907</v>
      </c>
      <c r="D62" s="4" t="s">
        <v>5908</v>
      </c>
    </row>
    <row r="63" customFormat="false" ht="15" hidden="false" customHeight="false" outlineLevel="0" collapsed="false">
      <c r="A63" s="4" t="s">
        <v>5913</v>
      </c>
      <c r="B63" s="4" t="s">
        <v>5914</v>
      </c>
      <c r="C63" s="4" t="n">
        <v>2025</v>
      </c>
      <c r="D63" s="4" t="s">
        <v>5915</v>
      </c>
    </row>
    <row r="64" customFormat="false" ht="15" hidden="false" customHeight="false" outlineLevel="0" collapsed="false">
      <c r="A64" s="4" t="s">
        <v>5916</v>
      </c>
      <c r="B64" s="4" t="s">
        <v>5917</v>
      </c>
      <c r="C64" s="4" t="s">
        <v>1555</v>
      </c>
      <c r="D64" s="4" t="s">
        <v>5918</v>
      </c>
    </row>
    <row r="65" customFormat="false" ht="15" hidden="false" customHeight="false" outlineLevel="0" collapsed="false">
      <c r="A65" s="4" t="s">
        <v>5919</v>
      </c>
      <c r="B65" s="4" t="s">
        <v>5920</v>
      </c>
      <c r="C65" s="4" t="n">
        <v>2025</v>
      </c>
      <c r="D65" s="4" t="s">
        <v>5918</v>
      </c>
    </row>
    <row r="66" customFormat="false" ht="15" hidden="false" customHeight="false" outlineLevel="0" collapsed="false">
      <c r="A66" s="4" t="s">
        <v>2097</v>
      </c>
      <c r="B66" s="4" t="s">
        <v>5921</v>
      </c>
      <c r="C66" s="4" t="n">
        <v>2025</v>
      </c>
      <c r="D66" s="4" t="s">
        <v>5918</v>
      </c>
    </row>
    <row r="67" customFormat="false" ht="23.85" hidden="false" customHeight="false" outlineLevel="0" collapsed="false">
      <c r="A67" s="4" t="s">
        <v>5922</v>
      </c>
      <c r="B67" s="4" t="s">
        <v>5923</v>
      </c>
      <c r="C67" s="4" t="s">
        <v>5924</v>
      </c>
      <c r="D67" s="4" t="s">
        <v>5925</v>
      </c>
    </row>
    <row r="68" customFormat="false" ht="15" hidden="false" customHeight="false" outlineLevel="0" collapsed="false">
      <c r="A68" s="4" t="s">
        <v>5926</v>
      </c>
      <c r="B68" s="4" t="s">
        <v>5927</v>
      </c>
      <c r="C68" s="4" t="n">
        <v>2025</v>
      </c>
      <c r="D68" s="4" t="s">
        <v>5928</v>
      </c>
    </row>
    <row r="69" customFormat="false" ht="23.85" hidden="false" customHeight="false" outlineLevel="0" collapsed="false">
      <c r="A69" s="4" t="s">
        <v>5929</v>
      </c>
      <c r="B69" s="4" t="s">
        <v>5930</v>
      </c>
      <c r="C69" s="4" t="n">
        <v>2026</v>
      </c>
      <c r="D69" s="4" t="s">
        <v>5931</v>
      </c>
    </row>
    <row r="72" customFormat="false" ht="15" hidden="false" customHeight="false" outlineLevel="0" collapsed="false">
      <c r="A72" s="17" t="s">
        <v>5932</v>
      </c>
      <c r="B72" s="18"/>
      <c r="C72" s="18"/>
      <c r="D72" s="18"/>
      <c r="E72" s="18"/>
    </row>
    <row r="73" customFormat="false" ht="15" hidden="false" customHeight="false" outlineLevel="0" collapsed="false">
      <c r="A73" s="19" t="s">
        <v>5933</v>
      </c>
    </row>
    <row r="74" customFormat="false" ht="15" hidden="false" customHeight="false" outlineLevel="0" collapsed="false">
      <c r="A74" s="20" t="s">
        <v>1193</v>
      </c>
    </row>
    <row r="75" customFormat="false" ht="15" hidden="false" customHeight="false" outlineLevel="0" collapsed="false">
      <c r="A75" s="21" t="s">
        <v>5934</v>
      </c>
    </row>
    <row r="76" customFormat="false" ht="15" hidden="false" customHeight="false" outlineLevel="0" collapsed="false">
      <c r="A76" s="21" t="s">
        <v>5935</v>
      </c>
    </row>
    <row r="77" customFormat="false" ht="15" hidden="false" customHeight="false" outlineLevel="0" collapsed="false">
      <c r="A77" s="22" t="s">
        <v>1531</v>
      </c>
      <c r="B77" s="22" t="s">
        <v>1568</v>
      </c>
      <c r="C77" s="22" t="s">
        <v>1630</v>
      </c>
      <c r="D77" s="22" t="s">
        <v>1533</v>
      </c>
      <c r="E77" s="22" t="s">
        <v>5210</v>
      </c>
    </row>
    <row r="78" customFormat="false" ht="15" hidden="false" customHeight="false" outlineLevel="0" collapsed="false">
      <c r="A78" s="4" t="s">
        <v>5936</v>
      </c>
      <c r="B78" s="4" t="s">
        <v>5937</v>
      </c>
      <c r="C78" s="4" t="s">
        <v>5938</v>
      </c>
      <c r="D78" s="4" t="s">
        <v>5939</v>
      </c>
      <c r="E78" s="4" t="s">
        <v>5901</v>
      </c>
    </row>
    <row r="79" customFormat="false" ht="15" hidden="false" customHeight="false" outlineLevel="0" collapsed="false">
      <c r="A79" s="4" t="s">
        <v>5940</v>
      </c>
      <c r="B79" s="4" t="s">
        <v>5941</v>
      </c>
      <c r="C79" s="4" t="s">
        <v>5942</v>
      </c>
      <c r="D79" s="4" t="s">
        <v>5943</v>
      </c>
      <c r="E79" s="4" t="s">
        <v>5944</v>
      </c>
    </row>
    <row r="80" customFormat="false" ht="23.85" hidden="false" customHeight="false" outlineLevel="0" collapsed="false">
      <c r="A80" s="4" t="s">
        <v>5945</v>
      </c>
      <c r="B80" s="4" t="s">
        <v>1555</v>
      </c>
      <c r="C80" s="4" t="s">
        <v>5946</v>
      </c>
      <c r="D80" s="4" t="s">
        <v>5947</v>
      </c>
      <c r="E80" s="4" t="s">
        <v>5898</v>
      </c>
    </row>
    <row r="81" customFormat="false" ht="15" hidden="false" customHeight="false" outlineLevel="0" collapsed="false">
      <c r="A81" s="4" t="s">
        <v>5948</v>
      </c>
      <c r="B81" s="4" t="s">
        <v>5937</v>
      </c>
      <c r="C81" s="4" t="s">
        <v>5949</v>
      </c>
      <c r="D81" s="4" t="s">
        <v>5947</v>
      </c>
      <c r="E81" s="4" t="s">
        <v>5835</v>
      </c>
    </row>
    <row r="82" customFormat="false" ht="15" hidden="false" customHeight="false" outlineLevel="0" collapsed="false">
      <c r="A82" s="4" t="s">
        <v>5950</v>
      </c>
      <c r="B82" s="4" t="s">
        <v>5937</v>
      </c>
      <c r="C82" s="4" t="s">
        <v>5951</v>
      </c>
      <c r="D82" s="4" t="s">
        <v>5947</v>
      </c>
      <c r="E82" s="4" t="s">
        <v>5835</v>
      </c>
    </row>
    <row r="85" customFormat="false" ht="15" hidden="false" customHeight="false" outlineLevel="0" collapsed="false">
      <c r="A85" s="17" t="s">
        <v>5952</v>
      </c>
      <c r="B85" s="18"/>
      <c r="C85" s="18"/>
      <c r="D85" s="18"/>
    </row>
    <row r="86" customFormat="false" ht="15" hidden="false" customHeight="false" outlineLevel="0" collapsed="false">
      <c r="A86" s="19" t="s">
        <v>5953</v>
      </c>
    </row>
    <row r="87" customFormat="false" ht="15" hidden="false" customHeight="false" outlineLevel="0" collapsed="false">
      <c r="A87" s="20" t="s">
        <v>1193</v>
      </c>
    </row>
    <row r="88" customFormat="false" ht="15" hidden="false" customHeight="false" outlineLevel="0" collapsed="false">
      <c r="A88" s="21" t="s">
        <v>5954</v>
      </c>
    </row>
    <row r="89" customFormat="false" ht="15" hidden="false" customHeight="false" outlineLevel="0" collapsed="false">
      <c r="A89" s="21" t="s">
        <v>5955</v>
      </c>
    </row>
    <row r="90" customFormat="false" ht="15" hidden="false" customHeight="false" outlineLevel="0" collapsed="false">
      <c r="A90" s="22" t="s">
        <v>5956</v>
      </c>
      <c r="B90" s="22" t="s">
        <v>2786</v>
      </c>
      <c r="C90" s="22" t="s">
        <v>2785</v>
      </c>
      <c r="D90" s="22" t="s">
        <v>5210</v>
      </c>
    </row>
    <row r="91" customFormat="false" ht="15" hidden="false" customHeight="false" outlineLevel="0" collapsed="false">
      <c r="A91" s="4" t="s">
        <v>5957</v>
      </c>
      <c r="B91" s="4" t="s">
        <v>5958</v>
      </c>
      <c r="C91" s="4" t="s">
        <v>5959</v>
      </c>
      <c r="D91" s="4" t="s">
        <v>5960</v>
      </c>
    </row>
    <row r="92" customFormat="false" ht="15" hidden="false" customHeight="false" outlineLevel="0" collapsed="false">
      <c r="A92" s="4" t="s">
        <v>5961</v>
      </c>
      <c r="B92" s="4" t="s">
        <v>5962</v>
      </c>
      <c r="C92" s="4" t="s">
        <v>5963</v>
      </c>
      <c r="D92" s="4" t="s">
        <v>5964</v>
      </c>
    </row>
    <row r="93" customFormat="false" ht="15" hidden="false" customHeight="false" outlineLevel="0" collapsed="false">
      <c r="A93" s="4" t="s">
        <v>5965</v>
      </c>
      <c r="B93" s="4" t="s">
        <v>5966</v>
      </c>
      <c r="C93" s="4" t="s">
        <v>1555</v>
      </c>
      <c r="D93" s="4" t="s">
        <v>5967</v>
      </c>
    </row>
    <row r="94" customFormat="false" ht="15" hidden="false" customHeight="false" outlineLevel="0" collapsed="false">
      <c r="A94" s="4" t="s">
        <v>5968</v>
      </c>
      <c r="B94" s="4" t="s">
        <v>5969</v>
      </c>
      <c r="C94" s="4" t="s">
        <v>1555</v>
      </c>
      <c r="D94" s="4" t="s">
        <v>5970</v>
      </c>
    </row>
    <row r="95" customFormat="false" ht="15" hidden="false" customHeight="false" outlineLevel="0" collapsed="false">
      <c r="A95" s="4" t="s">
        <v>5971</v>
      </c>
      <c r="B95" s="4" t="s">
        <v>5972</v>
      </c>
      <c r="C95" s="4" t="s">
        <v>1555</v>
      </c>
      <c r="D95" s="4" t="s">
        <v>5973</v>
      </c>
    </row>
    <row r="96" customFormat="false" ht="15" hidden="false" customHeight="false" outlineLevel="0" collapsed="false">
      <c r="A96" s="4" t="s">
        <v>5974</v>
      </c>
      <c r="B96" s="4" t="s">
        <v>5975</v>
      </c>
      <c r="C96" s="4" t="s">
        <v>1555</v>
      </c>
      <c r="D96" s="4" t="s">
        <v>5976</v>
      </c>
    </row>
    <row r="97" customFormat="false" ht="15" hidden="false" customHeight="false" outlineLevel="0" collapsed="false">
      <c r="A97" s="4" t="s">
        <v>5977</v>
      </c>
      <c r="B97" s="4" t="s">
        <v>5978</v>
      </c>
      <c r="C97" s="4" t="s">
        <v>5979</v>
      </c>
      <c r="D97" s="4" t="s">
        <v>5980</v>
      </c>
    </row>
    <row r="98" customFormat="false" ht="15" hidden="false" customHeight="false" outlineLevel="0" collapsed="false">
      <c r="A98" s="4" t="s">
        <v>5981</v>
      </c>
      <c r="B98" s="4" t="s">
        <v>5982</v>
      </c>
      <c r="C98" s="4" t="s">
        <v>1555</v>
      </c>
      <c r="D98" s="4" t="s">
        <v>5980</v>
      </c>
    </row>
    <row r="99" customFormat="false" ht="15" hidden="false" customHeight="false" outlineLevel="0" collapsed="false">
      <c r="A99" s="4" t="s">
        <v>5983</v>
      </c>
      <c r="B99" s="4" t="s">
        <v>5984</v>
      </c>
      <c r="C99" s="4" t="s">
        <v>5985</v>
      </c>
      <c r="D99" s="4" t="s">
        <v>5986</v>
      </c>
    </row>
    <row r="100" customFormat="false" ht="23.85" hidden="false" customHeight="false" outlineLevel="0" collapsed="false">
      <c r="A100" s="4" t="s">
        <v>5987</v>
      </c>
      <c r="B100" s="4" t="s">
        <v>5988</v>
      </c>
      <c r="C100" s="4" t="s">
        <v>1555</v>
      </c>
      <c r="D100" s="4" t="s">
        <v>5989</v>
      </c>
    </row>
    <row r="101" customFormat="false" ht="15" hidden="false" customHeight="false" outlineLevel="0" collapsed="false">
      <c r="A101" s="4" t="s">
        <v>5990</v>
      </c>
      <c r="B101" s="4" t="s">
        <v>5991</v>
      </c>
      <c r="C101" s="4" t="s">
        <v>1555</v>
      </c>
      <c r="D101" s="4" t="s">
        <v>5992</v>
      </c>
    </row>
    <row r="102" customFormat="false" ht="15" hidden="false" customHeight="false" outlineLevel="0" collapsed="false">
      <c r="A102" s="4" t="s">
        <v>2537</v>
      </c>
      <c r="B102" s="4" t="s">
        <v>2030</v>
      </c>
      <c r="C102" s="4" t="s">
        <v>2030</v>
      </c>
      <c r="D102" s="4" t="s">
        <v>5980</v>
      </c>
    </row>
    <row r="103" customFormat="false" ht="15" hidden="false" customHeight="false" outlineLevel="0" collapsed="false">
      <c r="A103" s="4" t="s">
        <v>5993</v>
      </c>
      <c r="B103" s="4" t="s">
        <v>5994</v>
      </c>
      <c r="C103" s="4" t="s">
        <v>5995</v>
      </c>
      <c r="D103" s="4" t="s">
        <v>5996</v>
      </c>
    </row>
    <row r="106" customFormat="false" ht="15" hidden="false" customHeight="false" outlineLevel="0" collapsed="false">
      <c r="A106" s="17" t="s">
        <v>5997</v>
      </c>
      <c r="B106" s="18"/>
      <c r="C106" s="18"/>
      <c r="D106" s="18"/>
    </row>
    <row r="107" customFormat="false" ht="15" hidden="false" customHeight="false" outlineLevel="0" collapsed="false">
      <c r="A107" s="19" t="s">
        <v>5998</v>
      </c>
    </row>
    <row r="108" customFormat="false" ht="15" hidden="false" customHeight="false" outlineLevel="0" collapsed="false">
      <c r="A108" s="19" t="s">
        <v>5999</v>
      </c>
    </row>
    <row r="109" customFormat="false" ht="15" hidden="false" customHeight="false" outlineLevel="0" collapsed="false">
      <c r="A109" s="26" t="s">
        <v>2179</v>
      </c>
    </row>
    <row r="110" customFormat="false" ht="15" hidden="false" customHeight="false" outlineLevel="0" collapsed="false">
      <c r="A110" s="21" t="s">
        <v>6000</v>
      </c>
    </row>
    <row r="111" customFormat="false" ht="15" hidden="false" customHeight="false" outlineLevel="0" collapsed="false">
      <c r="A111" s="21" t="s">
        <v>6001</v>
      </c>
    </row>
    <row r="112" customFormat="false" ht="15" hidden="false" customHeight="false" outlineLevel="0" collapsed="false">
      <c r="A112" s="22" t="s">
        <v>8</v>
      </c>
      <c r="B112" s="22" t="s">
        <v>3511</v>
      </c>
      <c r="C112" s="22" t="s">
        <v>6002</v>
      </c>
      <c r="D112" s="22" t="s">
        <v>6003</v>
      </c>
    </row>
    <row r="113" customFormat="false" ht="15" hidden="false" customHeight="false" outlineLevel="0" collapsed="false">
      <c r="A113" s="4" t="s">
        <v>6004</v>
      </c>
      <c r="B113" s="4" t="s">
        <v>6005</v>
      </c>
      <c r="C113" s="4" t="s">
        <v>6006</v>
      </c>
      <c r="D113" s="4" t="n">
        <v>2.19</v>
      </c>
    </row>
    <row r="114" customFormat="false" ht="15" hidden="false" customHeight="false" outlineLevel="0" collapsed="false">
      <c r="A114" s="4" t="s">
        <v>6007</v>
      </c>
      <c r="B114" s="4" t="s">
        <v>5394</v>
      </c>
      <c r="C114" s="4" t="n">
        <v>0.7</v>
      </c>
      <c r="D114" s="4" t="n">
        <v>0.01</v>
      </c>
    </row>
    <row r="115" customFormat="false" ht="15" hidden="false" customHeight="false" outlineLevel="0" collapsed="false">
      <c r="A115" s="4" t="s">
        <v>2496</v>
      </c>
      <c r="B115" s="4" t="s">
        <v>6008</v>
      </c>
      <c r="C115" s="4" t="n">
        <v>2.5</v>
      </c>
      <c r="D115" s="4" t="n">
        <v>0.08</v>
      </c>
    </row>
    <row r="116" customFormat="false" ht="15" hidden="false" customHeight="false" outlineLevel="0" collapsed="false">
      <c r="A116" s="4" t="s">
        <v>6009</v>
      </c>
      <c r="B116" s="4" t="s">
        <v>6010</v>
      </c>
      <c r="C116" s="4" t="n">
        <v>0.1</v>
      </c>
      <c r="D116" s="4" t="n">
        <v>0.01</v>
      </c>
    </row>
    <row r="117" customFormat="false" ht="15" hidden="false" customHeight="false" outlineLevel="0" collapsed="false">
      <c r="A117" s="4" t="s">
        <v>6011</v>
      </c>
      <c r="B117" s="4" t="s">
        <v>6012</v>
      </c>
      <c r="C117" s="4" t="s">
        <v>6013</v>
      </c>
      <c r="D117" s="4" t="s">
        <v>6014</v>
      </c>
    </row>
    <row r="118" customFormat="false" ht="15" hidden="false" customHeight="false" outlineLevel="0" collapsed="false">
      <c r="A118" s="4" t="s">
        <v>6015</v>
      </c>
      <c r="B118" s="4" t="s">
        <v>3478</v>
      </c>
      <c r="C118" s="4" t="s">
        <v>1555</v>
      </c>
      <c r="D118" s="4" t="s">
        <v>6016</v>
      </c>
    </row>
    <row r="119" customFormat="false" ht="15" hidden="false" customHeight="false" outlineLevel="0" collapsed="false">
      <c r="A119" s="4" t="s">
        <v>6017</v>
      </c>
      <c r="B119" s="4" t="s">
        <v>1555</v>
      </c>
      <c r="C119" s="4" t="s">
        <v>1555</v>
      </c>
      <c r="D119" s="4" t="s">
        <v>6018</v>
      </c>
    </row>
    <row r="122" customFormat="false" ht="15" hidden="false" customHeight="false" outlineLevel="0" collapsed="false">
      <c r="A122" s="17" t="s">
        <v>6019</v>
      </c>
      <c r="B122" s="18"/>
      <c r="C122" s="18"/>
      <c r="D122" s="18"/>
    </row>
    <row r="123" customFormat="false" ht="15" hidden="false" customHeight="false" outlineLevel="0" collapsed="false">
      <c r="A123" s="19" t="s">
        <v>5998</v>
      </c>
    </row>
    <row r="124" customFormat="false" ht="15" hidden="false" customHeight="false" outlineLevel="0" collapsed="false">
      <c r="A124" s="19" t="s">
        <v>6020</v>
      </c>
    </row>
    <row r="125" customFormat="false" ht="15" hidden="false" customHeight="false" outlineLevel="0" collapsed="false">
      <c r="A125" s="25" t="s">
        <v>2043</v>
      </c>
    </row>
    <row r="126" customFormat="false" ht="15" hidden="false" customHeight="false" outlineLevel="0" collapsed="false">
      <c r="A126" s="21" t="s">
        <v>6021</v>
      </c>
    </row>
    <row r="127" customFormat="false" ht="15" hidden="false" customHeight="false" outlineLevel="0" collapsed="false">
      <c r="A127" s="21" t="s">
        <v>6022</v>
      </c>
    </row>
    <row r="128" customFormat="false" ht="15" hidden="false" customHeight="false" outlineLevel="0" collapsed="false">
      <c r="A128" s="22" t="s">
        <v>1423</v>
      </c>
      <c r="B128" s="22" t="s">
        <v>6023</v>
      </c>
      <c r="C128" s="22" t="s">
        <v>2631</v>
      </c>
      <c r="D128" s="22" t="s">
        <v>5210</v>
      </c>
    </row>
    <row r="129" customFormat="false" ht="15" hidden="false" customHeight="false" outlineLevel="0" collapsed="false">
      <c r="A129" s="4" t="s">
        <v>3547</v>
      </c>
      <c r="B129" s="4" t="s">
        <v>6024</v>
      </c>
      <c r="C129" s="4" t="s">
        <v>6025</v>
      </c>
      <c r="D129" s="4" t="s">
        <v>6026</v>
      </c>
    </row>
    <row r="130" customFormat="false" ht="15" hidden="false" customHeight="false" outlineLevel="0" collapsed="false">
      <c r="A130" s="4" t="s">
        <v>1431</v>
      </c>
      <c r="B130" s="4" t="s">
        <v>6027</v>
      </c>
      <c r="C130" s="4" t="s">
        <v>6028</v>
      </c>
      <c r="D130" s="4" t="s">
        <v>5858</v>
      </c>
    </row>
    <row r="131" customFormat="false" ht="15" hidden="false" customHeight="false" outlineLevel="0" collapsed="false">
      <c r="A131" s="4" t="s">
        <v>1447</v>
      </c>
      <c r="B131" s="4" t="s">
        <v>6029</v>
      </c>
      <c r="C131" s="4" t="s">
        <v>6030</v>
      </c>
      <c r="D131" s="4" t="s">
        <v>5858</v>
      </c>
    </row>
    <row r="132" customFormat="false" ht="15" hidden="false" customHeight="false" outlineLevel="0" collapsed="false">
      <c r="A132" s="4" t="s">
        <v>1427</v>
      </c>
      <c r="B132" s="4" t="s">
        <v>6031</v>
      </c>
      <c r="C132" s="4" t="s">
        <v>6032</v>
      </c>
      <c r="D132" s="4" t="s">
        <v>5858</v>
      </c>
    </row>
    <row r="133" customFormat="false" ht="15" hidden="false" customHeight="false" outlineLevel="0" collapsed="false">
      <c r="A133" s="4" t="s">
        <v>1435</v>
      </c>
      <c r="B133" s="4" t="s">
        <v>6031</v>
      </c>
      <c r="C133" s="4" t="s">
        <v>6033</v>
      </c>
      <c r="D133" s="4" t="s">
        <v>5858</v>
      </c>
    </row>
    <row r="134" customFormat="false" ht="15" hidden="false" customHeight="false" outlineLevel="0" collapsed="false">
      <c r="A134" s="4" t="s">
        <v>1439</v>
      </c>
      <c r="B134" s="4" t="s">
        <v>6034</v>
      </c>
      <c r="C134" s="4" t="s">
        <v>6035</v>
      </c>
      <c r="D134" s="4" t="s">
        <v>5858</v>
      </c>
    </row>
    <row r="137" customFormat="false" ht="15" hidden="false" customHeight="false" outlineLevel="0" collapsed="false">
      <c r="A137" s="17" t="s">
        <v>6036</v>
      </c>
      <c r="B137" s="18"/>
      <c r="C137" s="18"/>
      <c r="D137" s="18"/>
      <c r="E137" s="18"/>
    </row>
    <row r="138" customFormat="false" ht="15" hidden="false" customHeight="false" outlineLevel="0" collapsed="false">
      <c r="A138" s="19" t="s">
        <v>6037</v>
      </c>
    </row>
    <row r="139" customFormat="false" ht="15" hidden="false" customHeight="false" outlineLevel="0" collapsed="false">
      <c r="A139" s="19" t="s">
        <v>6038</v>
      </c>
    </row>
    <row r="140" customFormat="false" ht="15" hidden="false" customHeight="false" outlineLevel="0" collapsed="false">
      <c r="A140" s="26" t="s">
        <v>2179</v>
      </c>
    </row>
    <row r="141" customFormat="false" ht="15" hidden="false" customHeight="false" outlineLevel="0" collapsed="false">
      <c r="A141" s="21" t="s">
        <v>6039</v>
      </c>
    </row>
    <row r="142" customFormat="false" ht="15" hidden="false" customHeight="false" outlineLevel="0" collapsed="false">
      <c r="A142" s="21" t="s">
        <v>6040</v>
      </c>
    </row>
    <row r="143" customFormat="false" ht="15" hidden="false" customHeight="false" outlineLevel="0" collapsed="false">
      <c r="A143" s="22" t="s">
        <v>3014</v>
      </c>
      <c r="B143" s="22" t="s">
        <v>6041</v>
      </c>
      <c r="C143" s="22" t="s">
        <v>1627</v>
      </c>
      <c r="D143" s="22" t="s">
        <v>6042</v>
      </c>
      <c r="E143" s="22" t="s">
        <v>6043</v>
      </c>
    </row>
    <row r="144" customFormat="false" ht="15" hidden="false" customHeight="false" outlineLevel="0" collapsed="false">
      <c r="A144" s="4" t="s">
        <v>6044</v>
      </c>
      <c r="B144" s="4" t="n">
        <v>2</v>
      </c>
      <c r="C144" s="4" t="n">
        <v>1.5</v>
      </c>
      <c r="D144" s="4" t="n">
        <v>3</v>
      </c>
      <c r="E144" s="4" t="n">
        <v>6.5</v>
      </c>
    </row>
    <row r="145" customFormat="false" ht="15" hidden="false" customHeight="false" outlineLevel="0" collapsed="false">
      <c r="A145" s="4" t="s">
        <v>6045</v>
      </c>
      <c r="B145" s="4" t="n">
        <v>0.45</v>
      </c>
      <c r="C145" s="4" t="n">
        <v>1.3</v>
      </c>
      <c r="D145" s="4" t="n">
        <v>2.8</v>
      </c>
      <c r="E145" s="4" t="n">
        <v>4.09</v>
      </c>
    </row>
    <row r="146" customFormat="false" ht="15" hidden="false" customHeight="false" outlineLevel="0" collapsed="false">
      <c r="A146" s="4" t="s">
        <v>6046</v>
      </c>
      <c r="B146" s="4" t="n">
        <v>0.03</v>
      </c>
      <c r="C146" s="4" t="n">
        <v>1.25</v>
      </c>
      <c r="D146" s="4" t="n">
        <v>1.8</v>
      </c>
      <c r="E146" s="4" t="n">
        <v>2.28</v>
      </c>
    </row>
    <row r="147" customFormat="false" ht="15" hidden="false" customHeight="false" outlineLevel="0" collapsed="false">
      <c r="A147" s="4" t="s">
        <v>6047</v>
      </c>
      <c r="B147" s="4" t="n">
        <v>0.03</v>
      </c>
      <c r="C147" s="4" t="n">
        <v>1.25</v>
      </c>
      <c r="D147" s="4" t="n">
        <v>0.27</v>
      </c>
      <c r="E147" s="4" t="n">
        <v>0.37</v>
      </c>
    </row>
    <row r="150" customFormat="false" ht="15" hidden="false" customHeight="false" outlineLevel="0" collapsed="false">
      <c r="A150" s="17" t="s">
        <v>6048</v>
      </c>
      <c r="B150" s="18"/>
      <c r="C150" s="18"/>
    </row>
    <row r="151" customFormat="false" ht="15" hidden="false" customHeight="false" outlineLevel="0" collapsed="false">
      <c r="A151" s="19" t="s">
        <v>6049</v>
      </c>
    </row>
    <row r="152" customFormat="false" ht="15" hidden="false" customHeight="false" outlineLevel="0" collapsed="false">
      <c r="A152" s="20" t="s">
        <v>1193</v>
      </c>
    </row>
    <row r="153" customFormat="false" ht="15" hidden="false" customHeight="false" outlineLevel="0" collapsed="false">
      <c r="A153" s="21" t="s">
        <v>6050</v>
      </c>
    </row>
    <row r="154" customFormat="false" ht="15" hidden="false" customHeight="false" outlineLevel="0" collapsed="false">
      <c r="A154" s="21" t="s">
        <v>6051</v>
      </c>
    </row>
    <row r="155" customFormat="false" ht="15" hidden="false" customHeight="false" outlineLevel="0" collapsed="false">
      <c r="A155" s="22" t="s">
        <v>2952</v>
      </c>
      <c r="B155" s="22" t="s">
        <v>1319</v>
      </c>
      <c r="C155" s="22" t="s">
        <v>5210</v>
      </c>
    </row>
    <row r="156" customFormat="false" ht="23.85" hidden="false" customHeight="false" outlineLevel="0" collapsed="false">
      <c r="A156" s="4" t="s">
        <v>6052</v>
      </c>
      <c r="B156" s="4" t="s">
        <v>1555</v>
      </c>
      <c r="C156" s="4" t="s">
        <v>6053</v>
      </c>
    </row>
    <row r="157" customFormat="false" ht="15" hidden="false" customHeight="false" outlineLevel="0" collapsed="false">
      <c r="A157" s="4" t="s">
        <v>6054</v>
      </c>
      <c r="B157" s="4" t="s">
        <v>6055</v>
      </c>
      <c r="C157" s="4" t="s">
        <v>6056</v>
      </c>
    </row>
    <row r="158" customFormat="false" ht="15" hidden="false" customHeight="false" outlineLevel="0" collapsed="false">
      <c r="A158" s="4" t="s">
        <v>6057</v>
      </c>
      <c r="B158" s="4" t="s">
        <v>6058</v>
      </c>
      <c r="C158" s="4" t="s">
        <v>6059</v>
      </c>
    </row>
    <row r="159" customFormat="false" ht="23.85" hidden="false" customHeight="false" outlineLevel="0" collapsed="false">
      <c r="A159" s="4" t="s">
        <v>2612</v>
      </c>
      <c r="B159" s="4" t="s">
        <v>6060</v>
      </c>
      <c r="C159" s="4" t="s">
        <v>5835</v>
      </c>
    </row>
    <row r="162" customFormat="false" ht="15" hidden="false" customHeight="false" outlineLevel="0" collapsed="false">
      <c r="A162" s="17" t="s">
        <v>6061</v>
      </c>
      <c r="B162" s="18"/>
      <c r="C162" s="18"/>
      <c r="D162" s="18"/>
      <c r="E162" s="18"/>
      <c r="F162" s="18"/>
      <c r="G162" s="18"/>
    </row>
    <row r="163" customFormat="false" ht="15" hidden="false" customHeight="false" outlineLevel="0" collapsed="false">
      <c r="A163" s="19" t="s">
        <v>6062</v>
      </c>
    </row>
    <row r="164" customFormat="false" ht="15" hidden="false" customHeight="false" outlineLevel="0" collapsed="false">
      <c r="A164" s="19" t="s">
        <v>6063</v>
      </c>
    </row>
    <row r="165" customFormat="false" ht="15" hidden="false" customHeight="false" outlineLevel="0" collapsed="false">
      <c r="A165" s="25" t="s">
        <v>2043</v>
      </c>
    </row>
    <row r="166" customFormat="false" ht="15" hidden="false" customHeight="false" outlineLevel="0" collapsed="false">
      <c r="A166" s="21" t="s">
        <v>6064</v>
      </c>
    </row>
    <row r="167" customFormat="false" ht="15" hidden="false" customHeight="false" outlineLevel="0" collapsed="false">
      <c r="A167" s="21" t="s">
        <v>6065</v>
      </c>
    </row>
    <row r="168" customFormat="false" ht="15" hidden="false" customHeight="false" outlineLevel="0" collapsed="false">
      <c r="A168" s="22" t="s">
        <v>5956</v>
      </c>
      <c r="B168" s="22" t="s">
        <v>6066</v>
      </c>
      <c r="C168" s="22" t="s">
        <v>6067</v>
      </c>
      <c r="D168" s="22" t="s">
        <v>6068</v>
      </c>
      <c r="E168" s="22" t="s">
        <v>6069</v>
      </c>
      <c r="F168" s="22" t="s">
        <v>4258</v>
      </c>
      <c r="G168" s="22" t="s">
        <v>6070</v>
      </c>
    </row>
    <row r="169" customFormat="false" ht="15" hidden="false" customHeight="false" outlineLevel="0" collapsed="false">
      <c r="A169" s="4" t="s">
        <v>6071</v>
      </c>
      <c r="B169" s="4" t="s">
        <v>6072</v>
      </c>
      <c r="C169" s="4" t="s">
        <v>6073</v>
      </c>
      <c r="D169" s="4" t="s">
        <v>6074</v>
      </c>
      <c r="E169" s="4" t="s">
        <v>6075</v>
      </c>
      <c r="F169" s="4" t="s">
        <v>6074</v>
      </c>
      <c r="G169" s="4" t="s">
        <v>6076</v>
      </c>
    </row>
    <row r="170" customFormat="false" ht="15" hidden="false" customHeight="false" outlineLevel="0" collapsed="false">
      <c r="A170" s="4" t="s">
        <v>6077</v>
      </c>
      <c r="B170" s="4" t="s">
        <v>6078</v>
      </c>
      <c r="C170" s="4" t="s">
        <v>1893</v>
      </c>
      <c r="D170" s="4" t="s">
        <v>6079</v>
      </c>
      <c r="E170" s="4" t="s">
        <v>6080</v>
      </c>
      <c r="F170" s="4" t="s">
        <v>6081</v>
      </c>
      <c r="G170" s="4" t="s">
        <v>6082</v>
      </c>
    </row>
    <row r="171" customFormat="false" ht="15" hidden="false" customHeight="false" outlineLevel="0" collapsed="false">
      <c r="A171" s="4" t="s">
        <v>6083</v>
      </c>
      <c r="B171" s="4" t="s">
        <v>6084</v>
      </c>
      <c r="C171" s="4" t="s">
        <v>6085</v>
      </c>
      <c r="D171" s="4" t="s">
        <v>6086</v>
      </c>
      <c r="E171" s="4" t="s">
        <v>6087</v>
      </c>
      <c r="F171" s="4" t="s">
        <v>6088</v>
      </c>
      <c r="G171" s="4" t="s">
        <v>6089</v>
      </c>
    </row>
    <row r="172" customFormat="false" ht="15" hidden="false" customHeight="false" outlineLevel="0" collapsed="false">
      <c r="A172" s="4" t="s">
        <v>6090</v>
      </c>
      <c r="B172" s="4" t="s">
        <v>6084</v>
      </c>
      <c r="C172" s="4" t="s">
        <v>6091</v>
      </c>
      <c r="D172" s="4" t="s">
        <v>6092</v>
      </c>
      <c r="E172" s="4" t="s">
        <v>6093</v>
      </c>
      <c r="F172" s="4" t="s">
        <v>6094</v>
      </c>
      <c r="G172" s="4" t="s">
        <v>1920</v>
      </c>
    </row>
    <row r="173" customFormat="false" ht="15" hidden="false" customHeight="false" outlineLevel="0" collapsed="false">
      <c r="A173" s="4" t="s">
        <v>6095</v>
      </c>
      <c r="B173" s="4" t="s">
        <v>6096</v>
      </c>
      <c r="C173" s="4" t="s">
        <v>6097</v>
      </c>
      <c r="D173" s="4" t="s">
        <v>5958</v>
      </c>
      <c r="E173" s="4" t="s">
        <v>6098</v>
      </c>
      <c r="F173" s="4" t="s">
        <v>6099</v>
      </c>
      <c r="G173" s="4" t="s">
        <v>1920</v>
      </c>
    </row>
    <row r="174" customFormat="false" ht="15" hidden="false" customHeight="false" outlineLevel="0" collapsed="false">
      <c r="A174" s="4" t="s">
        <v>6100</v>
      </c>
      <c r="B174" s="4" t="s">
        <v>6101</v>
      </c>
      <c r="C174" s="4" t="s">
        <v>6102</v>
      </c>
      <c r="D174" s="4" t="s">
        <v>6103</v>
      </c>
      <c r="E174" s="4" t="s">
        <v>6104</v>
      </c>
      <c r="F174" s="4" t="s">
        <v>6081</v>
      </c>
      <c r="G174" s="4" t="s">
        <v>6105</v>
      </c>
    </row>
    <row r="175" customFormat="false" ht="15" hidden="false" customHeight="false" outlineLevel="0" collapsed="false">
      <c r="A175" s="4" t="s">
        <v>6106</v>
      </c>
      <c r="B175" s="4" t="s">
        <v>6107</v>
      </c>
      <c r="C175" s="4" t="s">
        <v>6108</v>
      </c>
      <c r="D175" s="4" t="s">
        <v>6103</v>
      </c>
      <c r="E175" s="4" t="s">
        <v>6109</v>
      </c>
      <c r="F175" s="4" t="s">
        <v>6110</v>
      </c>
      <c r="G175" s="4" t="s">
        <v>1920</v>
      </c>
    </row>
    <row r="176" customFormat="false" ht="15" hidden="false" customHeight="false" outlineLevel="0" collapsed="false">
      <c r="A176" s="4" t="s">
        <v>6111</v>
      </c>
      <c r="B176" s="4" t="s">
        <v>6112</v>
      </c>
      <c r="C176" s="4" t="s">
        <v>6097</v>
      </c>
      <c r="D176" s="4" t="s">
        <v>1555</v>
      </c>
      <c r="E176" s="4" t="s">
        <v>6113</v>
      </c>
      <c r="F176" s="4" t="s">
        <v>6114</v>
      </c>
      <c r="G176" s="4" t="s">
        <v>6115</v>
      </c>
    </row>
    <row r="177" customFormat="false" ht="15" hidden="false" customHeight="false" outlineLevel="0" collapsed="false">
      <c r="A177" s="4" t="s">
        <v>6116</v>
      </c>
      <c r="B177" s="4" t="s">
        <v>6117</v>
      </c>
      <c r="C177" s="4" t="s">
        <v>6102</v>
      </c>
      <c r="D177" s="4" t="s">
        <v>6103</v>
      </c>
      <c r="E177" s="4" t="s">
        <v>6118</v>
      </c>
      <c r="F177" s="4" t="s">
        <v>6110</v>
      </c>
      <c r="G177" s="4" t="s">
        <v>6119</v>
      </c>
    </row>
    <row r="178" customFormat="false" ht="15" hidden="false" customHeight="false" outlineLevel="0" collapsed="false">
      <c r="A178" s="4" t="s">
        <v>6120</v>
      </c>
      <c r="B178" s="4" t="s">
        <v>6117</v>
      </c>
      <c r="C178" s="4" t="s">
        <v>6121</v>
      </c>
      <c r="D178" s="4" t="s">
        <v>6103</v>
      </c>
      <c r="E178" s="4" t="s">
        <v>6093</v>
      </c>
      <c r="F178" s="4" t="s">
        <v>6122</v>
      </c>
      <c r="G178" s="4" t="s">
        <v>1917</v>
      </c>
    </row>
    <row r="179" customFormat="false" ht="15" hidden="false" customHeight="false" outlineLevel="0" collapsed="false">
      <c r="A179" s="4" t="s">
        <v>6123</v>
      </c>
      <c r="B179" s="4" t="s">
        <v>6117</v>
      </c>
      <c r="C179" s="4" t="s">
        <v>6124</v>
      </c>
      <c r="D179" s="4" t="s">
        <v>6125</v>
      </c>
      <c r="E179" s="4" t="s">
        <v>6093</v>
      </c>
      <c r="F179" s="4" t="s">
        <v>6126</v>
      </c>
      <c r="G179" s="4" t="s">
        <v>6127</v>
      </c>
    </row>
    <row r="180" customFormat="false" ht="15" hidden="false" customHeight="false" outlineLevel="0" collapsed="false">
      <c r="A180" s="4" t="s">
        <v>6128</v>
      </c>
      <c r="B180" s="4" t="s">
        <v>6117</v>
      </c>
      <c r="C180" s="4" t="s">
        <v>6129</v>
      </c>
      <c r="D180" s="4" t="s">
        <v>6130</v>
      </c>
      <c r="E180" s="4" t="s">
        <v>6093</v>
      </c>
      <c r="F180" s="4" t="s">
        <v>6131</v>
      </c>
      <c r="G180" s="4" t="s">
        <v>6132</v>
      </c>
    </row>
    <row r="181" customFormat="false" ht="23.85" hidden="false" customHeight="false" outlineLevel="0" collapsed="false">
      <c r="A181" s="4" t="s">
        <v>6133</v>
      </c>
      <c r="B181" s="4" t="s">
        <v>2038</v>
      </c>
      <c r="C181" s="4" t="s">
        <v>6108</v>
      </c>
      <c r="D181" s="4" t="s">
        <v>6103</v>
      </c>
      <c r="E181" s="4" t="s">
        <v>6134</v>
      </c>
      <c r="F181" s="4" t="s">
        <v>6135</v>
      </c>
      <c r="G181" s="4" t="s">
        <v>6136</v>
      </c>
    </row>
    <row r="182" customFormat="false" ht="15" hidden="false" customHeight="false" outlineLevel="0" collapsed="false">
      <c r="A182" s="4" t="s">
        <v>6137</v>
      </c>
      <c r="B182" s="4" t="s">
        <v>2030</v>
      </c>
      <c r="C182" s="4" t="s">
        <v>6138</v>
      </c>
      <c r="D182" s="4" t="s">
        <v>1555</v>
      </c>
      <c r="E182" s="4" t="s">
        <v>6139</v>
      </c>
      <c r="F182" s="4" t="s">
        <v>2519</v>
      </c>
      <c r="G182" s="4" t="s">
        <v>6140</v>
      </c>
    </row>
    <row r="185" customFormat="false" ht="15" hidden="false" customHeight="false" outlineLevel="0" collapsed="false">
      <c r="A185" s="17" t="s">
        <v>6141</v>
      </c>
      <c r="B185" s="18"/>
      <c r="C185" s="18"/>
      <c r="D185" s="18"/>
    </row>
    <row r="186" customFormat="false" ht="15" hidden="false" customHeight="false" outlineLevel="0" collapsed="false">
      <c r="A186" s="19" t="s">
        <v>6062</v>
      </c>
    </row>
    <row r="187" customFormat="false" ht="15" hidden="false" customHeight="false" outlineLevel="0" collapsed="false">
      <c r="A187" s="19" t="s">
        <v>6142</v>
      </c>
    </row>
    <row r="188" customFormat="false" ht="15" hidden="false" customHeight="false" outlineLevel="0" collapsed="false">
      <c r="A188" s="25" t="s">
        <v>2043</v>
      </c>
    </row>
    <row r="189" customFormat="false" ht="15" hidden="false" customHeight="false" outlineLevel="0" collapsed="false">
      <c r="A189" s="21" t="s">
        <v>6143</v>
      </c>
    </row>
    <row r="190" customFormat="false" ht="15" hidden="false" customHeight="false" outlineLevel="0" collapsed="false">
      <c r="A190" s="21" t="s">
        <v>6144</v>
      </c>
    </row>
    <row r="191" customFormat="false" ht="15" hidden="false" customHeight="false" outlineLevel="0" collapsed="false">
      <c r="A191" s="22" t="s">
        <v>2066</v>
      </c>
      <c r="B191" s="22" t="s">
        <v>6145</v>
      </c>
      <c r="C191" s="22" t="s">
        <v>6146</v>
      </c>
      <c r="D191" s="22" t="s">
        <v>1426</v>
      </c>
    </row>
    <row r="192" customFormat="false" ht="15" hidden="false" customHeight="false" outlineLevel="0" collapsed="false">
      <c r="A192" s="4" t="s">
        <v>1403</v>
      </c>
      <c r="B192" s="4" t="s">
        <v>6147</v>
      </c>
      <c r="C192" s="4" t="s">
        <v>6148</v>
      </c>
      <c r="D192" s="4" t="s">
        <v>6149</v>
      </c>
    </row>
    <row r="193" customFormat="false" ht="15" hidden="false" customHeight="false" outlineLevel="0" collapsed="false">
      <c r="A193" s="4" t="s">
        <v>1409</v>
      </c>
      <c r="B193" s="4" t="s">
        <v>6150</v>
      </c>
      <c r="C193" s="4" t="s">
        <v>6151</v>
      </c>
      <c r="D193" s="4" t="s">
        <v>6152</v>
      </c>
    </row>
    <row r="194" customFormat="false" ht="15" hidden="false" customHeight="false" outlineLevel="0" collapsed="false">
      <c r="A194" s="4" t="s">
        <v>1406</v>
      </c>
      <c r="B194" s="4" t="s">
        <v>6153</v>
      </c>
      <c r="C194" s="4" t="s">
        <v>6154</v>
      </c>
      <c r="D194" s="4" t="s">
        <v>6155</v>
      </c>
    </row>
    <row r="195" customFormat="false" ht="15" hidden="false" customHeight="false" outlineLevel="0" collapsed="false">
      <c r="A195" s="4" t="s">
        <v>2132</v>
      </c>
      <c r="B195" s="4" t="s">
        <v>6156</v>
      </c>
      <c r="C195" s="4" t="s">
        <v>6157</v>
      </c>
      <c r="D195" s="4" t="s">
        <v>6158</v>
      </c>
    </row>
    <row r="196" customFormat="false" ht="15" hidden="false" customHeight="false" outlineLevel="0" collapsed="false">
      <c r="A196" s="4" t="s">
        <v>3371</v>
      </c>
      <c r="B196" s="4" t="s">
        <v>6159</v>
      </c>
      <c r="C196" s="4" t="s">
        <v>6157</v>
      </c>
      <c r="D196" s="4" t="s">
        <v>6160</v>
      </c>
    </row>
    <row r="197" customFormat="false" ht="15" hidden="false" customHeight="false" outlineLevel="0" collapsed="false">
      <c r="A197" s="4" t="s">
        <v>1397</v>
      </c>
      <c r="B197" s="4" t="s">
        <v>6161</v>
      </c>
      <c r="C197" s="4" t="s">
        <v>6162</v>
      </c>
      <c r="D197" s="4" t="s">
        <v>6163</v>
      </c>
    </row>
    <row r="198" customFormat="false" ht="15" hidden="false" customHeight="false" outlineLevel="0" collapsed="false">
      <c r="A198" s="4" t="s">
        <v>1412</v>
      </c>
      <c r="B198" s="4" t="s">
        <v>6164</v>
      </c>
      <c r="C198" s="4" t="s">
        <v>6165</v>
      </c>
      <c r="D198" s="4" t="s">
        <v>6166</v>
      </c>
    </row>
    <row r="199" customFormat="false" ht="15" hidden="false" customHeight="false" outlineLevel="0" collapsed="false">
      <c r="A199" s="4" t="s">
        <v>2085</v>
      </c>
      <c r="B199" s="4" t="s">
        <v>6167</v>
      </c>
      <c r="C199" s="4" t="s">
        <v>6162</v>
      </c>
      <c r="D199" s="4" t="s">
        <v>6168</v>
      </c>
    </row>
    <row r="202" customFormat="false" ht="15" hidden="false" customHeight="false" outlineLevel="0" collapsed="false">
      <c r="A202" s="17" t="s">
        <v>6169</v>
      </c>
      <c r="B202" s="18"/>
      <c r="C202" s="18"/>
      <c r="D202" s="18"/>
      <c r="E202" s="18"/>
      <c r="F202" s="18"/>
    </row>
    <row r="203" customFormat="false" ht="15" hidden="false" customHeight="false" outlineLevel="0" collapsed="false">
      <c r="A203" s="19" t="s">
        <v>6170</v>
      </c>
    </row>
    <row r="204" customFormat="false" ht="15" hidden="false" customHeight="false" outlineLevel="0" collapsed="false">
      <c r="A204" s="26" t="s">
        <v>2179</v>
      </c>
    </row>
    <row r="205" customFormat="false" ht="15" hidden="false" customHeight="false" outlineLevel="0" collapsed="false">
      <c r="A205" s="21" t="s">
        <v>6171</v>
      </c>
    </row>
    <row r="206" customFormat="false" ht="15" hidden="false" customHeight="false" outlineLevel="0" collapsed="false">
      <c r="A206" s="21" t="s">
        <v>6172</v>
      </c>
    </row>
    <row r="207" customFormat="false" ht="15" hidden="false" customHeight="false" outlineLevel="0" collapsed="false">
      <c r="A207" s="22" t="s">
        <v>2805</v>
      </c>
      <c r="B207" s="22" t="s">
        <v>6173</v>
      </c>
      <c r="C207" s="22" t="s">
        <v>6174</v>
      </c>
      <c r="D207" s="22" t="s">
        <v>6175</v>
      </c>
      <c r="E207" s="22" t="s">
        <v>6176</v>
      </c>
      <c r="F207" s="22" t="s">
        <v>5210</v>
      </c>
    </row>
    <row r="208" customFormat="false" ht="15" hidden="false" customHeight="false" outlineLevel="0" collapsed="false">
      <c r="A208" s="4" t="s">
        <v>6177</v>
      </c>
      <c r="B208" s="4" t="s">
        <v>6102</v>
      </c>
      <c r="C208" s="4" t="s">
        <v>6178</v>
      </c>
      <c r="D208" s="4" t="s">
        <v>6179</v>
      </c>
      <c r="E208" s="4" t="s">
        <v>6180</v>
      </c>
      <c r="F208" s="4" t="s">
        <v>6181</v>
      </c>
    </row>
    <row r="209" customFormat="false" ht="15" hidden="false" customHeight="false" outlineLevel="0" collapsed="false">
      <c r="A209" s="4" t="s">
        <v>6182</v>
      </c>
      <c r="B209" s="4" t="s">
        <v>6183</v>
      </c>
      <c r="C209" s="4" t="s">
        <v>6184</v>
      </c>
      <c r="D209" s="4" t="s">
        <v>6185</v>
      </c>
      <c r="E209" s="4" t="s">
        <v>6186</v>
      </c>
      <c r="F209" s="4" t="s">
        <v>6187</v>
      </c>
    </row>
    <row r="210" customFormat="false" ht="15" hidden="false" customHeight="false" outlineLevel="0" collapsed="false">
      <c r="A210" s="4" t="s">
        <v>6188</v>
      </c>
      <c r="B210" s="4" t="s">
        <v>6189</v>
      </c>
      <c r="C210" s="4" t="s">
        <v>1555</v>
      </c>
      <c r="D210" s="4" t="s">
        <v>1555</v>
      </c>
      <c r="E210" s="4" t="s">
        <v>6190</v>
      </c>
      <c r="F210" s="4" t="s">
        <v>5835</v>
      </c>
    </row>
    <row r="211" customFormat="false" ht="15" hidden="false" customHeight="false" outlineLevel="0" collapsed="false">
      <c r="A211" s="4" t="s">
        <v>6191</v>
      </c>
      <c r="B211" s="4" t="s">
        <v>6192</v>
      </c>
      <c r="C211" s="4" t="s">
        <v>6193</v>
      </c>
      <c r="D211" s="4" t="s">
        <v>6194</v>
      </c>
      <c r="E211" s="4" t="s">
        <v>1555</v>
      </c>
      <c r="F211" s="4" t="s">
        <v>5858</v>
      </c>
    </row>
    <row r="214" customFormat="false" ht="15" hidden="false" customHeight="false" outlineLevel="0" collapsed="false">
      <c r="A214" s="17" t="s">
        <v>6195</v>
      </c>
      <c r="B214" s="18"/>
      <c r="C214" s="18"/>
      <c r="D214" s="18"/>
      <c r="E214" s="18"/>
    </row>
    <row r="215" customFormat="false" ht="15" hidden="false" customHeight="false" outlineLevel="0" collapsed="false">
      <c r="A215" s="19" t="s">
        <v>6196</v>
      </c>
    </row>
    <row r="216" customFormat="false" ht="15" hidden="false" customHeight="false" outlineLevel="0" collapsed="false">
      <c r="A216" s="27" t="s">
        <v>5787</v>
      </c>
    </row>
    <row r="217" customFormat="false" ht="15" hidden="false" customHeight="false" outlineLevel="0" collapsed="false">
      <c r="A217" s="21" t="s">
        <v>6197</v>
      </c>
    </row>
    <row r="218" customFormat="false" ht="15" hidden="false" customHeight="false" outlineLevel="0" collapsed="false">
      <c r="A218" s="21" t="s">
        <v>6198</v>
      </c>
    </row>
    <row r="219" customFormat="false" ht="15" hidden="false" customHeight="false" outlineLevel="0" collapsed="false">
      <c r="A219" s="22" t="s">
        <v>6199</v>
      </c>
      <c r="B219" s="22" t="s">
        <v>6200</v>
      </c>
      <c r="C219" s="22" t="s">
        <v>6201</v>
      </c>
      <c r="D219" s="22" t="s">
        <v>6202</v>
      </c>
      <c r="E219" s="22" t="s">
        <v>5210</v>
      </c>
    </row>
    <row r="220" customFormat="false" ht="15" hidden="false" customHeight="false" outlineLevel="0" collapsed="false">
      <c r="A220" s="4" t="s">
        <v>6203</v>
      </c>
      <c r="B220" s="4" t="s">
        <v>6204</v>
      </c>
      <c r="C220" s="4" t="s">
        <v>6205</v>
      </c>
      <c r="D220" s="4" t="s">
        <v>6206</v>
      </c>
      <c r="E220" s="4" t="s">
        <v>6207</v>
      </c>
    </row>
    <row r="221" customFormat="false" ht="15" hidden="false" customHeight="false" outlineLevel="0" collapsed="false">
      <c r="A221" s="4" t="s">
        <v>6208</v>
      </c>
      <c r="B221" s="4" t="s">
        <v>6209</v>
      </c>
      <c r="C221" s="4" t="s">
        <v>6210</v>
      </c>
      <c r="D221" s="4" t="s">
        <v>6206</v>
      </c>
      <c r="E221" s="4" t="s">
        <v>6211</v>
      </c>
    </row>
    <row r="222" customFormat="false" ht="23.85" hidden="false" customHeight="false" outlineLevel="0" collapsed="false">
      <c r="A222" s="4" t="s">
        <v>6212</v>
      </c>
      <c r="B222" s="4" t="s">
        <v>6213</v>
      </c>
      <c r="C222" s="4" t="s">
        <v>6214</v>
      </c>
      <c r="D222" s="4" t="s">
        <v>6215</v>
      </c>
      <c r="E222" s="4" t="s">
        <v>5879</v>
      </c>
    </row>
    <row r="223" customFormat="false" ht="15" hidden="false" customHeight="false" outlineLevel="0" collapsed="false">
      <c r="A223" s="4" t="s">
        <v>6216</v>
      </c>
      <c r="B223" s="4" t="s">
        <v>6217</v>
      </c>
      <c r="C223" s="4" t="s">
        <v>6218</v>
      </c>
      <c r="D223" s="4" t="s">
        <v>6219</v>
      </c>
      <c r="E223" s="4" t="s">
        <v>5879</v>
      </c>
    </row>
    <row r="224" customFormat="false" ht="15" hidden="false" customHeight="false" outlineLevel="0" collapsed="false">
      <c r="A224" s="4" t="s">
        <v>6220</v>
      </c>
      <c r="B224" s="4" t="s">
        <v>6221</v>
      </c>
      <c r="C224" s="4" t="s">
        <v>1555</v>
      </c>
      <c r="D224" s="4" t="s">
        <v>1555</v>
      </c>
      <c r="E224" s="4" t="s">
        <v>5879</v>
      </c>
    </row>
    <row r="227" customFormat="false" ht="15" hidden="false" customHeight="false" outlineLevel="0" collapsed="false">
      <c r="A227" s="17" t="s">
        <v>6222</v>
      </c>
      <c r="B227" s="18"/>
      <c r="C227" s="18"/>
      <c r="D227" s="18"/>
      <c r="E227" s="18"/>
      <c r="F227" s="18"/>
      <c r="G227" s="18"/>
    </row>
    <row r="228" customFormat="false" ht="15" hidden="false" customHeight="false" outlineLevel="0" collapsed="false">
      <c r="A228" s="19" t="s">
        <v>6223</v>
      </c>
    </row>
    <row r="229" customFormat="false" ht="15" hidden="false" customHeight="false" outlineLevel="0" collapsed="false">
      <c r="A229" s="19" t="s">
        <v>6224</v>
      </c>
    </row>
    <row r="230" customFormat="false" ht="15" hidden="false" customHeight="false" outlineLevel="0" collapsed="false">
      <c r="A230" s="26" t="s">
        <v>2179</v>
      </c>
    </row>
    <row r="231" customFormat="false" ht="15" hidden="false" customHeight="false" outlineLevel="0" collapsed="false">
      <c r="A231" s="21" t="s">
        <v>6225</v>
      </c>
    </row>
    <row r="232" customFormat="false" ht="15" hidden="false" customHeight="false" outlineLevel="0" collapsed="false">
      <c r="A232" s="21" t="s">
        <v>6226</v>
      </c>
    </row>
    <row r="233" customFormat="false" ht="15" hidden="false" customHeight="false" outlineLevel="0" collapsed="false">
      <c r="A233" s="22" t="s">
        <v>6227</v>
      </c>
      <c r="B233" s="22" t="s">
        <v>6228</v>
      </c>
      <c r="C233" s="22" t="s">
        <v>1627</v>
      </c>
      <c r="D233" s="22" t="s">
        <v>6229</v>
      </c>
      <c r="E233" s="22" t="s">
        <v>6230</v>
      </c>
      <c r="F233" s="22" t="s">
        <v>6231</v>
      </c>
      <c r="G233" s="22" t="s">
        <v>6232</v>
      </c>
    </row>
    <row r="234" customFormat="false" ht="15" hidden="false" customHeight="false" outlineLevel="0" collapsed="false">
      <c r="A234" s="4" t="n">
        <v>0</v>
      </c>
      <c r="B234" s="4" t="n">
        <v>31</v>
      </c>
      <c r="C234" s="4" t="n">
        <v>1.31</v>
      </c>
      <c r="D234" s="4" t="n">
        <v>55</v>
      </c>
      <c r="E234" s="4" t="n">
        <v>0.64</v>
      </c>
      <c r="F234" s="4" t="n">
        <v>26.9</v>
      </c>
      <c r="G234" s="4" t="n">
        <v>6</v>
      </c>
    </row>
    <row r="235" customFormat="false" ht="15" hidden="false" customHeight="false" outlineLevel="0" collapsed="false">
      <c r="A235" s="4" t="n">
        <v>2</v>
      </c>
      <c r="B235" s="4" t="n">
        <v>29</v>
      </c>
      <c r="C235" s="4" t="n">
        <v>1.28</v>
      </c>
      <c r="D235" s="4" t="n">
        <v>53.8</v>
      </c>
      <c r="E235" s="4" t="n">
        <v>0.42</v>
      </c>
      <c r="F235" s="4" t="n">
        <v>17.6</v>
      </c>
      <c r="G235" s="4" t="n">
        <v>4</v>
      </c>
    </row>
    <row r="236" customFormat="false" ht="15" hidden="false" customHeight="false" outlineLevel="0" collapsed="false">
      <c r="A236" s="4" t="n">
        <v>4</v>
      </c>
      <c r="B236" s="4" t="n">
        <v>27.5</v>
      </c>
      <c r="C236" s="4" t="n">
        <v>1.26</v>
      </c>
      <c r="D236" s="4" t="n">
        <v>52.8</v>
      </c>
      <c r="E236" s="4" t="n">
        <v>0.26</v>
      </c>
      <c r="F236" s="4" t="n">
        <v>10.9</v>
      </c>
      <c r="G236" s="4" t="n">
        <v>3.8</v>
      </c>
    </row>
    <row r="237" customFormat="false" ht="15" hidden="false" customHeight="false" outlineLevel="0" collapsed="false">
      <c r="A237" s="4" t="n">
        <v>6</v>
      </c>
      <c r="B237" s="4" t="n">
        <v>28</v>
      </c>
      <c r="C237" s="4" t="n">
        <v>1.27</v>
      </c>
      <c r="D237" s="4" t="n">
        <v>53.1</v>
      </c>
      <c r="E237" s="4" t="n">
        <v>0.31</v>
      </c>
      <c r="F237" s="4" t="n">
        <v>13</v>
      </c>
      <c r="G237" s="4" t="n">
        <v>4.5</v>
      </c>
    </row>
    <row r="238" customFormat="false" ht="15" hidden="false" customHeight="false" outlineLevel="0" collapsed="false">
      <c r="A238" s="4" t="n">
        <v>8</v>
      </c>
      <c r="B238" s="4" t="n">
        <v>32</v>
      </c>
      <c r="C238" s="4" t="n">
        <v>1.33</v>
      </c>
      <c r="D238" s="4" t="n">
        <v>55.7</v>
      </c>
      <c r="E238" s="4" t="n">
        <v>0.74</v>
      </c>
      <c r="F238" s="4" t="n">
        <v>31.1</v>
      </c>
      <c r="G238" s="4" t="n">
        <v>2.2</v>
      </c>
    </row>
    <row r="239" customFormat="false" ht="15" hidden="false" customHeight="false" outlineLevel="0" collapsed="false">
      <c r="A239" s="4" t="n">
        <v>10</v>
      </c>
      <c r="B239" s="4" t="n">
        <v>36</v>
      </c>
      <c r="C239" s="4" t="n">
        <v>1.39</v>
      </c>
      <c r="D239" s="4" t="n">
        <v>58.2</v>
      </c>
      <c r="E239" s="4" t="n">
        <v>1.17</v>
      </c>
      <c r="F239" s="4" t="n">
        <v>49.1</v>
      </c>
      <c r="G239" s="4" t="n">
        <v>1.3</v>
      </c>
    </row>
    <row r="240" customFormat="false" ht="15" hidden="false" customHeight="false" outlineLevel="0" collapsed="false">
      <c r="A240" s="4" t="n">
        <v>12</v>
      </c>
      <c r="B240" s="4" t="n">
        <v>38.5</v>
      </c>
      <c r="C240" s="4" t="n">
        <v>1.42</v>
      </c>
      <c r="D240" s="4" t="n">
        <v>59.7</v>
      </c>
      <c r="E240" s="4" t="n">
        <v>1.44</v>
      </c>
      <c r="F240" s="4" t="n">
        <v>60.5</v>
      </c>
      <c r="G240" s="4" t="n">
        <v>1.2</v>
      </c>
    </row>
    <row r="241" customFormat="false" ht="15" hidden="false" customHeight="false" outlineLevel="0" collapsed="false">
      <c r="A241" s="4" t="n">
        <v>14</v>
      </c>
      <c r="B241" s="4" t="n">
        <v>40</v>
      </c>
      <c r="C241" s="4" t="n">
        <v>1.45</v>
      </c>
      <c r="D241" s="4" t="n">
        <v>60.7</v>
      </c>
      <c r="E241" s="4" t="n">
        <v>1.6</v>
      </c>
      <c r="F241" s="4" t="n">
        <v>67.2</v>
      </c>
      <c r="G241" s="4" t="n">
        <v>1.5</v>
      </c>
    </row>
    <row r="242" customFormat="false" ht="15" hidden="false" customHeight="false" outlineLevel="0" collapsed="false">
      <c r="A242" s="4" t="n">
        <v>16</v>
      </c>
      <c r="B242" s="4" t="n">
        <v>39</v>
      </c>
      <c r="C242" s="4" t="n">
        <v>1.43</v>
      </c>
      <c r="D242" s="4" t="n">
        <v>60.1</v>
      </c>
      <c r="E242" s="4" t="n">
        <v>1.49</v>
      </c>
      <c r="F242" s="4" t="n">
        <v>62.6</v>
      </c>
      <c r="G242" s="4" t="n">
        <v>3</v>
      </c>
    </row>
    <row r="243" customFormat="false" ht="15" hidden="false" customHeight="false" outlineLevel="0" collapsed="false">
      <c r="A243" s="4" t="n">
        <v>18</v>
      </c>
      <c r="B243" s="4" t="n">
        <v>35.5</v>
      </c>
      <c r="C243" s="4" t="n">
        <v>1.38</v>
      </c>
      <c r="D243" s="4" t="n">
        <v>57.9</v>
      </c>
      <c r="E243" s="4" t="n">
        <v>1.12</v>
      </c>
      <c r="F243" s="4" t="n">
        <v>47</v>
      </c>
      <c r="G243" s="4" t="n">
        <v>6.5</v>
      </c>
    </row>
    <row r="244" customFormat="false" ht="15" hidden="false" customHeight="false" outlineLevel="0" collapsed="false">
      <c r="A244" s="4" t="n">
        <v>20</v>
      </c>
      <c r="B244" s="4" t="n">
        <v>33</v>
      </c>
      <c r="C244" s="4" t="n">
        <v>1.34</v>
      </c>
      <c r="D244" s="4" t="n">
        <v>56.3</v>
      </c>
      <c r="E244" s="4" t="n">
        <v>0.85</v>
      </c>
      <c r="F244" s="4" t="n">
        <v>35.7</v>
      </c>
      <c r="G244" s="4" t="n">
        <v>9</v>
      </c>
    </row>
    <row r="245" customFormat="false" ht="15" hidden="false" customHeight="false" outlineLevel="0" collapsed="false">
      <c r="A245" s="4" t="n">
        <v>22</v>
      </c>
      <c r="B245" s="4" t="n">
        <v>32</v>
      </c>
      <c r="C245" s="4" t="n">
        <v>1.33</v>
      </c>
      <c r="D245" s="4" t="n">
        <v>55.7</v>
      </c>
      <c r="E245" s="4" t="n">
        <v>0.74</v>
      </c>
      <c r="F245" s="4" t="n">
        <v>31.1</v>
      </c>
      <c r="G245" s="4" t="n">
        <v>9.9</v>
      </c>
    </row>
    <row r="246" customFormat="false" ht="15" hidden="false" customHeight="false" outlineLevel="0" collapsed="false">
      <c r="A246" s="4" t="s">
        <v>6233</v>
      </c>
      <c r="B246" s="4" t="s">
        <v>1555</v>
      </c>
      <c r="C246" s="4" t="s">
        <v>6234</v>
      </c>
      <c r="D246" s="4" t="s">
        <v>6235</v>
      </c>
      <c r="E246" s="4" t="s">
        <v>6236</v>
      </c>
      <c r="F246" s="4" t="s">
        <v>6237</v>
      </c>
      <c r="G246" s="4" t="s">
        <v>1555</v>
      </c>
    </row>
    <row r="249" customFormat="false" ht="15" hidden="false" customHeight="false" outlineLevel="0" collapsed="false">
      <c r="A249" s="17" t="s">
        <v>6238</v>
      </c>
      <c r="B249" s="18"/>
      <c r="C249" s="18"/>
    </row>
    <row r="250" customFormat="false" ht="15" hidden="false" customHeight="false" outlineLevel="0" collapsed="false">
      <c r="A250" s="19" t="s">
        <v>6239</v>
      </c>
    </row>
    <row r="251" customFormat="false" ht="15" hidden="false" customHeight="false" outlineLevel="0" collapsed="false">
      <c r="A251" s="27" t="s">
        <v>5787</v>
      </c>
    </row>
    <row r="252" customFormat="false" ht="15" hidden="false" customHeight="false" outlineLevel="0" collapsed="false">
      <c r="A252" s="21" t="s">
        <v>6240</v>
      </c>
    </row>
    <row r="253" customFormat="false" ht="15" hidden="false" customHeight="false" outlineLevel="0" collapsed="false">
      <c r="A253" s="21" t="s">
        <v>6241</v>
      </c>
    </row>
    <row r="254" customFormat="false" ht="15" hidden="false" customHeight="false" outlineLevel="0" collapsed="false">
      <c r="A254" s="22" t="s">
        <v>1423</v>
      </c>
      <c r="B254" s="22" t="s">
        <v>6242</v>
      </c>
      <c r="C254" s="22" t="s">
        <v>5210</v>
      </c>
    </row>
    <row r="255" customFormat="false" ht="15" hidden="false" customHeight="false" outlineLevel="0" collapsed="false">
      <c r="A255" s="4" t="s">
        <v>6243</v>
      </c>
      <c r="B255" s="4" t="s">
        <v>6244</v>
      </c>
      <c r="C255" s="4" t="s">
        <v>6245</v>
      </c>
    </row>
    <row r="256" customFormat="false" ht="23.85" hidden="false" customHeight="false" outlineLevel="0" collapsed="false">
      <c r="A256" s="4" t="s">
        <v>6246</v>
      </c>
      <c r="B256" s="4" t="s">
        <v>6247</v>
      </c>
      <c r="C256" s="4" t="s">
        <v>6248</v>
      </c>
    </row>
    <row r="257" customFormat="false" ht="35.05" hidden="false" customHeight="false" outlineLevel="0" collapsed="false">
      <c r="A257" s="4" t="s">
        <v>4335</v>
      </c>
      <c r="B257" s="4" t="s">
        <v>6249</v>
      </c>
      <c r="C257" s="4" t="s">
        <v>6250</v>
      </c>
    </row>
    <row r="260" customFormat="false" ht="15" hidden="false" customHeight="false" outlineLevel="0" collapsed="false">
      <c r="A260" s="17" t="s">
        <v>6251</v>
      </c>
      <c r="B260" s="18"/>
      <c r="C260" s="18"/>
      <c r="D260" s="18"/>
      <c r="E260" s="18"/>
      <c r="F260" s="18"/>
    </row>
    <row r="261" customFormat="false" ht="15" hidden="false" customHeight="false" outlineLevel="0" collapsed="false">
      <c r="A261" s="19" t="s">
        <v>6252</v>
      </c>
    </row>
    <row r="262" customFormat="false" ht="15" hidden="false" customHeight="false" outlineLevel="0" collapsed="false">
      <c r="A262" s="20" t="s">
        <v>1193</v>
      </c>
    </row>
    <row r="263" customFormat="false" ht="15" hidden="false" customHeight="false" outlineLevel="0" collapsed="false">
      <c r="A263" s="21" t="s">
        <v>6253</v>
      </c>
    </row>
    <row r="264" customFormat="false" ht="15" hidden="false" customHeight="false" outlineLevel="0" collapsed="false">
      <c r="A264" s="21" t="s">
        <v>6254</v>
      </c>
    </row>
    <row r="265" customFormat="false" ht="15" hidden="false" customHeight="false" outlineLevel="0" collapsed="false">
      <c r="A265" s="22" t="s">
        <v>6255</v>
      </c>
      <c r="B265" s="22" t="s">
        <v>1142</v>
      </c>
      <c r="C265" s="22" t="s">
        <v>6256</v>
      </c>
      <c r="D265" s="22" t="s">
        <v>6257</v>
      </c>
      <c r="E265" s="22" t="s">
        <v>6258</v>
      </c>
      <c r="F265" s="22" t="s">
        <v>5210</v>
      </c>
    </row>
    <row r="266" customFormat="false" ht="23.85" hidden="false" customHeight="false" outlineLevel="0" collapsed="false">
      <c r="A266" s="4" t="s">
        <v>6259</v>
      </c>
      <c r="B266" s="4" t="s">
        <v>6260</v>
      </c>
      <c r="C266" s="4" t="s">
        <v>6261</v>
      </c>
      <c r="D266" s="4" t="s">
        <v>6262</v>
      </c>
      <c r="E266" s="4" t="s">
        <v>6263</v>
      </c>
      <c r="F266" s="4" t="s">
        <v>6264</v>
      </c>
    </row>
    <row r="267" customFormat="false" ht="15" hidden="false" customHeight="false" outlineLevel="0" collapsed="false">
      <c r="A267" s="4" t="s">
        <v>6259</v>
      </c>
      <c r="B267" s="4" t="s">
        <v>6265</v>
      </c>
      <c r="C267" s="4" t="s">
        <v>6266</v>
      </c>
      <c r="D267" s="4" t="s">
        <v>6267</v>
      </c>
      <c r="E267" s="4" t="s">
        <v>1555</v>
      </c>
      <c r="F267" s="4" t="s">
        <v>6248</v>
      </c>
    </row>
    <row r="268" customFormat="false" ht="15" hidden="false" customHeight="false" outlineLevel="0" collapsed="false">
      <c r="A268" s="4" t="s">
        <v>6268</v>
      </c>
      <c r="B268" s="4" t="s">
        <v>6269</v>
      </c>
      <c r="C268" s="4" t="s">
        <v>6270</v>
      </c>
      <c r="D268" s="4" t="s">
        <v>6271</v>
      </c>
      <c r="E268" s="4" t="s">
        <v>6272</v>
      </c>
      <c r="F268" s="4" t="s">
        <v>6273</v>
      </c>
    </row>
    <row r="269" customFormat="false" ht="15" hidden="false" customHeight="false" outlineLevel="0" collapsed="false">
      <c r="A269" s="4" t="s">
        <v>6274</v>
      </c>
      <c r="B269" s="4" t="s">
        <v>6260</v>
      </c>
      <c r="C269" s="4" t="s">
        <v>6275</v>
      </c>
      <c r="D269" s="4" t="s">
        <v>6276</v>
      </c>
      <c r="E269" s="4" t="s">
        <v>6277</v>
      </c>
      <c r="F269" s="4" t="s">
        <v>6245</v>
      </c>
    </row>
    <row r="270" customFormat="false" ht="15" hidden="false" customHeight="false" outlineLevel="0" collapsed="false">
      <c r="A270" s="4" t="s">
        <v>6274</v>
      </c>
      <c r="B270" s="4" t="s">
        <v>6278</v>
      </c>
      <c r="C270" s="4" t="s">
        <v>6279</v>
      </c>
      <c r="D270" s="4" t="s">
        <v>6276</v>
      </c>
      <c r="E270" s="4" t="s">
        <v>1555</v>
      </c>
      <c r="F270" s="4" t="s">
        <v>6245</v>
      </c>
    </row>
    <row r="271" customFormat="false" ht="23.85" hidden="false" customHeight="false" outlineLevel="0" collapsed="false">
      <c r="A271" s="4" t="s">
        <v>6280</v>
      </c>
      <c r="B271" s="4" t="s">
        <v>6281</v>
      </c>
      <c r="C271" s="4" t="s">
        <v>6282</v>
      </c>
      <c r="D271" s="4" t="s">
        <v>6283</v>
      </c>
      <c r="E271" s="4" t="s">
        <v>6284</v>
      </c>
      <c r="F271" s="4" t="s">
        <v>6285</v>
      </c>
    </row>
    <row r="272" customFormat="false" ht="15" hidden="false" customHeight="false" outlineLevel="0" collapsed="false">
      <c r="A272" s="4" t="s">
        <v>6286</v>
      </c>
      <c r="B272" s="4" t="s">
        <v>6287</v>
      </c>
      <c r="C272" s="4" t="s">
        <v>6288</v>
      </c>
      <c r="D272" s="4" t="s">
        <v>6289</v>
      </c>
      <c r="E272" s="4" t="s">
        <v>6290</v>
      </c>
      <c r="F272" s="4" t="s">
        <v>6291</v>
      </c>
    </row>
    <row r="275" customFormat="false" ht="15" hidden="false" customHeight="false" outlineLevel="0" collapsed="false">
      <c r="A275" s="17" t="s">
        <v>6292</v>
      </c>
      <c r="B275" s="18"/>
      <c r="C275" s="18"/>
      <c r="D275" s="18"/>
      <c r="E275" s="18"/>
      <c r="F275" s="18"/>
    </row>
    <row r="276" customFormat="false" ht="15" hidden="false" customHeight="false" outlineLevel="0" collapsed="false">
      <c r="A276" s="19" t="s">
        <v>6293</v>
      </c>
    </row>
    <row r="277" customFormat="false" ht="15" hidden="false" customHeight="false" outlineLevel="0" collapsed="false">
      <c r="A277" s="20" t="s">
        <v>1193</v>
      </c>
    </row>
    <row r="278" customFormat="false" ht="15" hidden="false" customHeight="false" outlineLevel="0" collapsed="false">
      <c r="A278" s="21" t="s">
        <v>6294</v>
      </c>
    </row>
    <row r="279" customFormat="false" ht="15" hidden="false" customHeight="false" outlineLevel="0" collapsed="false">
      <c r="A279" s="21" t="s">
        <v>6295</v>
      </c>
    </row>
    <row r="280" customFormat="false" ht="15" hidden="false" customHeight="false" outlineLevel="0" collapsed="false">
      <c r="A280" s="22" t="s">
        <v>6296</v>
      </c>
      <c r="B280" s="22" t="s">
        <v>6297</v>
      </c>
      <c r="C280" s="22" t="s">
        <v>6298</v>
      </c>
      <c r="D280" s="22" t="s">
        <v>6299</v>
      </c>
      <c r="E280" s="22" t="s">
        <v>6300</v>
      </c>
      <c r="F280" s="22" t="s">
        <v>5210</v>
      </c>
    </row>
    <row r="281" customFormat="false" ht="15" hidden="false" customHeight="false" outlineLevel="0" collapsed="false">
      <c r="A281" s="4" t="s">
        <v>6301</v>
      </c>
      <c r="B281" s="4" t="s">
        <v>6302</v>
      </c>
      <c r="C281" s="4" t="s">
        <v>1555</v>
      </c>
      <c r="D281" s="4" t="s">
        <v>6303</v>
      </c>
      <c r="E281" s="4" t="s">
        <v>6304</v>
      </c>
      <c r="F281" s="4" t="s">
        <v>6305</v>
      </c>
    </row>
    <row r="282" customFormat="false" ht="35.05" hidden="false" customHeight="false" outlineLevel="0" collapsed="false">
      <c r="A282" s="4" t="s">
        <v>6306</v>
      </c>
      <c r="B282" s="4" t="s">
        <v>6307</v>
      </c>
      <c r="C282" s="4" t="s">
        <v>1555</v>
      </c>
      <c r="D282" s="4" t="s">
        <v>6308</v>
      </c>
      <c r="E282" s="4" t="s">
        <v>6309</v>
      </c>
      <c r="F282" s="4" t="s">
        <v>6310</v>
      </c>
    </row>
    <row r="283" customFormat="false" ht="15" hidden="false" customHeight="false" outlineLevel="0" collapsed="false">
      <c r="A283" s="4" t="s">
        <v>6311</v>
      </c>
      <c r="B283" s="4" t="s">
        <v>6312</v>
      </c>
      <c r="C283" s="4" t="s">
        <v>1555</v>
      </c>
      <c r="D283" s="4" t="s">
        <v>1555</v>
      </c>
      <c r="E283" s="4" t="s">
        <v>1555</v>
      </c>
      <c r="F283" s="4" t="s">
        <v>6313</v>
      </c>
    </row>
    <row r="284" customFormat="false" ht="23.85" hidden="false" customHeight="false" outlineLevel="0" collapsed="false">
      <c r="A284" s="4" t="s">
        <v>6314</v>
      </c>
      <c r="B284" s="4" t="s">
        <v>6315</v>
      </c>
      <c r="C284" s="4" t="s">
        <v>1555</v>
      </c>
      <c r="D284" s="4" t="s">
        <v>1555</v>
      </c>
      <c r="E284" s="4" t="s">
        <v>1555</v>
      </c>
      <c r="F284" s="4" t="s">
        <v>6245</v>
      </c>
    </row>
    <row r="285" customFormat="false" ht="15" hidden="false" customHeight="false" outlineLevel="0" collapsed="false">
      <c r="A285" s="4" t="s">
        <v>6316</v>
      </c>
      <c r="B285" s="4" t="s">
        <v>6317</v>
      </c>
      <c r="C285" s="4" t="s">
        <v>1555</v>
      </c>
      <c r="D285" s="4" t="s">
        <v>1555</v>
      </c>
      <c r="E285" s="4" t="s">
        <v>1555</v>
      </c>
      <c r="F285" s="4" t="s">
        <v>6291</v>
      </c>
    </row>
    <row r="286" customFormat="false" ht="15" hidden="false" customHeight="false" outlineLevel="0" collapsed="false">
      <c r="A286" s="4" t="s">
        <v>6318</v>
      </c>
      <c r="B286" s="4" t="s">
        <v>6319</v>
      </c>
      <c r="C286" s="4" t="s">
        <v>1555</v>
      </c>
      <c r="D286" s="4" t="s">
        <v>1555</v>
      </c>
      <c r="E286" s="4" t="s">
        <v>1555</v>
      </c>
      <c r="F286" s="4" t="s">
        <v>6320</v>
      </c>
    </row>
    <row r="287" customFormat="false" ht="15" hidden="false" customHeight="false" outlineLevel="0" collapsed="false">
      <c r="A287" s="4" t="s">
        <v>6321</v>
      </c>
      <c r="B287" s="4" t="s">
        <v>6322</v>
      </c>
      <c r="C287" s="4" t="s">
        <v>1555</v>
      </c>
      <c r="D287" s="4" t="s">
        <v>1555</v>
      </c>
      <c r="E287" s="4" t="s">
        <v>1555</v>
      </c>
      <c r="F287" s="4" t="s">
        <v>6320</v>
      </c>
    </row>
    <row r="288" customFormat="false" ht="23.85" hidden="false" customHeight="false" outlineLevel="0" collapsed="false">
      <c r="A288" s="4" t="s">
        <v>4219</v>
      </c>
      <c r="B288" s="4" t="s">
        <v>6323</v>
      </c>
      <c r="C288" s="4" t="s">
        <v>6324</v>
      </c>
      <c r="D288" s="4" t="s">
        <v>6325</v>
      </c>
      <c r="E288" s="4" t="s">
        <v>6326</v>
      </c>
      <c r="F288" s="4" t="s">
        <v>6327</v>
      </c>
    </row>
    <row r="289" customFormat="false" ht="23.85" hidden="false" customHeight="false" outlineLevel="0" collapsed="false">
      <c r="A289" s="4" t="s">
        <v>6328</v>
      </c>
      <c r="B289" s="4" t="s">
        <v>6329</v>
      </c>
      <c r="C289" s="4" t="s">
        <v>6330</v>
      </c>
      <c r="D289" s="4" t="s">
        <v>6331</v>
      </c>
      <c r="E289" s="4" t="s">
        <v>6332</v>
      </c>
      <c r="F289" s="4" t="s">
        <v>6333</v>
      </c>
    </row>
    <row r="290" customFormat="false" ht="15" hidden="false" customHeight="false" outlineLevel="0" collapsed="false">
      <c r="A290" s="4" t="s">
        <v>6334</v>
      </c>
      <c r="B290" s="4" t="s">
        <v>6335</v>
      </c>
      <c r="C290" s="4" t="s">
        <v>1555</v>
      </c>
      <c r="D290" s="4" t="s">
        <v>6336</v>
      </c>
      <c r="E290" s="4" t="s">
        <v>6337</v>
      </c>
      <c r="F290" s="4" t="s">
        <v>6338</v>
      </c>
    </row>
    <row r="291" customFormat="false" ht="15" hidden="false" customHeight="false" outlineLevel="0" collapsed="false">
      <c r="A291" s="4" t="s">
        <v>6339</v>
      </c>
      <c r="B291" s="4" t="s">
        <v>6340</v>
      </c>
      <c r="C291" s="4" t="s">
        <v>1555</v>
      </c>
      <c r="D291" s="4" t="s">
        <v>1555</v>
      </c>
      <c r="E291" s="4" t="s">
        <v>6341</v>
      </c>
      <c r="F291" s="4" t="s">
        <v>6338</v>
      </c>
    </row>
    <row r="292" customFormat="false" ht="15" hidden="false" customHeight="false" outlineLevel="0" collapsed="false">
      <c r="A292" s="4" t="s">
        <v>6342</v>
      </c>
      <c r="B292" s="4" t="s">
        <v>6343</v>
      </c>
      <c r="C292" s="4" t="s">
        <v>6344</v>
      </c>
      <c r="D292" s="4" t="s">
        <v>6345</v>
      </c>
      <c r="E292" s="4" t="s">
        <v>1555</v>
      </c>
      <c r="F292" s="4" t="s">
        <v>6346</v>
      </c>
    </row>
    <row r="293" customFormat="false" ht="15" hidden="false" customHeight="false" outlineLevel="0" collapsed="false">
      <c r="A293" s="4" t="s">
        <v>6347</v>
      </c>
      <c r="B293" s="4" t="s">
        <v>6348</v>
      </c>
      <c r="C293" s="4" t="s">
        <v>1555</v>
      </c>
      <c r="D293" s="4" t="s">
        <v>1555</v>
      </c>
      <c r="E293" s="4" t="s">
        <v>6349</v>
      </c>
      <c r="F293" s="4" t="s">
        <v>5835</v>
      </c>
    </row>
    <row r="294" customFormat="false" ht="15" hidden="false" customHeight="false" outlineLevel="0" collapsed="false">
      <c r="A294" s="4" t="s">
        <v>4249</v>
      </c>
      <c r="B294" s="4" t="s">
        <v>6350</v>
      </c>
      <c r="C294" s="4" t="s">
        <v>1555</v>
      </c>
      <c r="D294" s="4" t="s">
        <v>1555</v>
      </c>
      <c r="E294" s="4" t="s">
        <v>6351</v>
      </c>
      <c r="F294" s="4" t="s">
        <v>5858</v>
      </c>
    </row>
    <row r="295" customFormat="false" ht="15" hidden="false" customHeight="false" outlineLevel="0" collapsed="false">
      <c r="A295" s="4" t="s">
        <v>4127</v>
      </c>
      <c r="B295" s="4" t="s">
        <v>6352</v>
      </c>
      <c r="C295" s="4" t="s">
        <v>1555</v>
      </c>
      <c r="D295" s="4" t="s">
        <v>1555</v>
      </c>
      <c r="E295" s="4" t="s">
        <v>1555</v>
      </c>
      <c r="F295" s="4" t="s">
        <v>6353</v>
      </c>
    </row>
    <row r="298" customFormat="false" ht="15" hidden="false" customHeight="false" outlineLevel="0" collapsed="false">
      <c r="A298" s="17" t="s">
        <v>6354</v>
      </c>
      <c r="B298" s="18"/>
      <c r="C298" s="18"/>
    </row>
    <row r="299" customFormat="false" ht="15" hidden="false" customHeight="false" outlineLevel="0" collapsed="false">
      <c r="A299" s="19" t="s">
        <v>6355</v>
      </c>
    </row>
    <row r="300" customFormat="false" ht="15" hidden="false" customHeight="false" outlineLevel="0" collapsed="false">
      <c r="A300" s="25" t="s">
        <v>2043</v>
      </c>
    </row>
    <row r="301" customFormat="false" ht="15" hidden="false" customHeight="false" outlineLevel="0" collapsed="false">
      <c r="A301" s="21" t="s">
        <v>6356</v>
      </c>
    </row>
    <row r="302" customFormat="false" ht="15" hidden="false" customHeight="false" outlineLevel="0" collapsed="false">
      <c r="A302" s="21" t="s">
        <v>6357</v>
      </c>
    </row>
    <row r="303" customFormat="false" ht="15" hidden="false" customHeight="false" outlineLevel="0" collapsed="false">
      <c r="A303" s="22" t="s">
        <v>6358</v>
      </c>
      <c r="B303" s="22" t="s">
        <v>6359</v>
      </c>
      <c r="C303" s="22" t="s">
        <v>5210</v>
      </c>
    </row>
    <row r="304" customFormat="false" ht="15" hidden="false" customHeight="false" outlineLevel="0" collapsed="false">
      <c r="A304" s="4" t="s">
        <v>6360</v>
      </c>
      <c r="B304" s="4" t="s">
        <v>6361</v>
      </c>
      <c r="C304" s="4" t="s">
        <v>6362</v>
      </c>
    </row>
    <row r="305" customFormat="false" ht="15" hidden="false" customHeight="false" outlineLevel="0" collapsed="false">
      <c r="A305" s="4" t="s">
        <v>6363</v>
      </c>
      <c r="B305" s="4" t="s">
        <v>6364</v>
      </c>
      <c r="C305" s="4" t="s">
        <v>5858</v>
      </c>
    </row>
    <row r="306" customFormat="false" ht="15" hidden="false" customHeight="false" outlineLevel="0" collapsed="false">
      <c r="A306" s="4" t="s">
        <v>6365</v>
      </c>
      <c r="B306" s="4" t="s">
        <v>6366</v>
      </c>
      <c r="C306" s="4" t="s">
        <v>5858</v>
      </c>
    </row>
    <row r="307" customFormat="false" ht="15" hidden="false" customHeight="false" outlineLevel="0" collapsed="false">
      <c r="A307" s="4" t="s">
        <v>6367</v>
      </c>
      <c r="B307" s="4" t="s">
        <v>6368</v>
      </c>
      <c r="C307" s="4" t="s">
        <v>5858</v>
      </c>
    </row>
    <row r="308" customFormat="false" ht="15" hidden="false" customHeight="false" outlineLevel="0" collapsed="false">
      <c r="A308" s="4" t="s">
        <v>6369</v>
      </c>
      <c r="B308" s="4" t="s">
        <v>6370</v>
      </c>
      <c r="C308" s="4" t="s">
        <v>5858</v>
      </c>
    </row>
    <row r="311" customFormat="false" ht="15" hidden="false" customHeight="false" outlineLevel="0" collapsed="false">
      <c r="A311" s="17" t="s">
        <v>6371</v>
      </c>
      <c r="B311" s="18"/>
      <c r="C311" s="18"/>
      <c r="D311" s="18"/>
      <c r="E311" s="18"/>
    </row>
    <row r="312" customFormat="false" ht="15" hidden="false" customHeight="false" outlineLevel="0" collapsed="false">
      <c r="A312" s="19" t="s">
        <v>6372</v>
      </c>
    </row>
    <row r="313" customFormat="false" ht="15" hidden="false" customHeight="false" outlineLevel="0" collapsed="false">
      <c r="A313" s="20" t="s">
        <v>1193</v>
      </c>
    </row>
    <row r="314" customFormat="false" ht="15" hidden="false" customHeight="false" outlineLevel="0" collapsed="false">
      <c r="A314" s="21" t="s">
        <v>6373</v>
      </c>
    </row>
    <row r="315" customFormat="false" ht="15" hidden="false" customHeight="false" outlineLevel="0" collapsed="false">
      <c r="A315" s="21" t="s">
        <v>6374</v>
      </c>
    </row>
    <row r="316" customFormat="false" ht="15" hidden="false" customHeight="false" outlineLevel="0" collapsed="false">
      <c r="A316" s="22" t="s">
        <v>2147</v>
      </c>
      <c r="B316" s="22" t="s">
        <v>2519</v>
      </c>
      <c r="C316" s="22" t="s">
        <v>5824</v>
      </c>
      <c r="D316" s="22" t="s">
        <v>5247</v>
      </c>
      <c r="E316" s="22" t="s">
        <v>5210</v>
      </c>
    </row>
    <row r="317" customFormat="false" ht="15" hidden="false" customHeight="false" outlineLevel="0" collapsed="false">
      <c r="A317" s="4" t="s">
        <v>6375</v>
      </c>
      <c r="B317" s="4" t="s">
        <v>6376</v>
      </c>
      <c r="C317" s="4" t="s">
        <v>6377</v>
      </c>
      <c r="D317" s="4" t="s">
        <v>6378</v>
      </c>
      <c r="E317" s="4" t="s">
        <v>6379</v>
      </c>
    </row>
    <row r="318" customFormat="false" ht="23.85" hidden="false" customHeight="false" outlineLevel="0" collapsed="false">
      <c r="A318" s="4" t="s">
        <v>6380</v>
      </c>
      <c r="B318" s="4" t="s">
        <v>6381</v>
      </c>
      <c r="C318" s="4" t="s">
        <v>6382</v>
      </c>
      <c r="D318" s="4" t="s">
        <v>1555</v>
      </c>
      <c r="E318" s="4" t="s">
        <v>6383</v>
      </c>
    </row>
    <row r="319" customFormat="false" ht="15" hidden="false" customHeight="false" outlineLevel="0" collapsed="false">
      <c r="A319" s="4" t="s">
        <v>6384</v>
      </c>
      <c r="B319" s="4" t="s">
        <v>6385</v>
      </c>
      <c r="C319" s="4" t="s">
        <v>6386</v>
      </c>
      <c r="D319" s="4" t="s">
        <v>6387</v>
      </c>
      <c r="E319" s="4" t="s">
        <v>5879</v>
      </c>
    </row>
    <row r="320" customFormat="false" ht="15" hidden="false" customHeight="false" outlineLevel="0" collapsed="false">
      <c r="A320" s="4" t="s">
        <v>6388</v>
      </c>
      <c r="B320" s="4" t="s">
        <v>6389</v>
      </c>
      <c r="C320" s="4" t="s">
        <v>6390</v>
      </c>
      <c r="D320" s="4" t="s">
        <v>6391</v>
      </c>
      <c r="E320" s="4" t="s">
        <v>6392</v>
      </c>
    </row>
    <row r="321" customFormat="false" ht="35.05" hidden="false" customHeight="false" outlineLevel="0" collapsed="false">
      <c r="A321" s="4" t="s">
        <v>6393</v>
      </c>
      <c r="B321" s="4" t="n">
        <v>1.35</v>
      </c>
      <c r="C321" s="4" t="s">
        <v>6394</v>
      </c>
      <c r="D321" s="4" t="n">
        <v>1.7</v>
      </c>
      <c r="E321" s="4" t="s">
        <v>6395</v>
      </c>
    </row>
    <row r="322" customFormat="false" ht="15" hidden="false" customHeight="false" outlineLevel="0" collapsed="false">
      <c r="A322" s="4" t="s">
        <v>6396</v>
      </c>
      <c r="B322" s="4" t="s">
        <v>6397</v>
      </c>
      <c r="C322" s="4" t="s">
        <v>6398</v>
      </c>
      <c r="D322" s="4" t="s">
        <v>6399</v>
      </c>
      <c r="E322" s="4" t="s">
        <v>5879</v>
      </c>
    </row>
    <row r="323" customFormat="false" ht="15" hidden="false" customHeight="false" outlineLevel="0" collapsed="false">
      <c r="A323" s="4" t="s">
        <v>6400</v>
      </c>
      <c r="B323" s="4" t="s">
        <v>2435</v>
      </c>
      <c r="C323" s="4" t="s">
        <v>5393</v>
      </c>
      <c r="D323" s="4" t="s">
        <v>5394</v>
      </c>
      <c r="E323" s="4" t="s">
        <v>5858</v>
      </c>
    </row>
    <row r="324" customFormat="false" ht="15" hidden="false" customHeight="false" outlineLevel="0" collapsed="false">
      <c r="A324" s="4" t="s">
        <v>6401</v>
      </c>
      <c r="B324" s="4" t="n">
        <v>0.95</v>
      </c>
      <c r="C324" s="4" t="n">
        <v>0.98</v>
      </c>
      <c r="D324" s="4" t="n">
        <v>0.99</v>
      </c>
      <c r="E324" s="4" t="s">
        <v>5858</v>
      </c>
    </row>
    <row r="325" customFormat="false" ht="15" hidden="false" customHeight="false" outlineLevel="0" collapsed="false">
      <c r="A325" s="4" t="s">
        <v>1600</v>
      </c>
      <c r="B325" s="4" t="s">
        <v>6402</v>
      </c>
      <c r="C325" s="4" t="s">
        <v>1555</v>
      </c>
      <c r="D325" s="4" t="s">
        <v>6403</v>
      </c>
      <c r="E325" s="4" t="s">
        <v>6404</v>
      </c>
    </row>
    <row r="326" customFormat="false" ht="15" hidden="false" customHeight="false" outlineLevel="0" collapsed="false">
      <c r="A326" s="4" t="s">
        <v>6405</v>
      </c>
      <c r="B326" s="4" t="s">
        <v>6406</v>
      </c>
      <c r="C326" s="4" t="s">
        <v>1555</v>
      </c>
      <c r="D326" s="4" t="s">
        <v>1555</v>
      </c>
      <c r="E326" s="4" t="s">
        <v>5879</v>
      </c>
    </row>
    <row r="327" customFormat="false" ht="15" hidden="false" customHeight="false" outlineLevel="0" collapsed="false">
      <c r="A327" s="4" t="s">
        <v>6407</v>
      </c>
      <c r="B327" s="4" t="s">
        <v>6408</v>
      </c>
      <c r="C327" s="4" t="s">
        <v>1555</v>
      </c>
      <c r="D327" s="4" t="s">
        <v>1555</v>
      </c>
      <c r="E327" s="4" t="s">
        <v>6409</v>
      </c>
    </row>
    <row r="328" customFormat="false" ht="15" hidden="false" customHeight="false" outlineLevel="0" collapsed="false">
      <c r="A328" s="4" t="s">
        <v>3427</v>
      </c>
      <c r="B328" s="4" t="s">
        <v>6410</v>
      </c>
      <c r="C328" s="4" t="s">
        <v>6411</v>
      </c>
      <c r="D328" s="4" t="s">
        <v>6412</v>
      </c>
      <c r="E328" s="4" t="s">
        <v>6413</v>
      </c>
    </row>
    <row r="329" customFormat="false" ht="15" hidden="false" customHeight="false" outlineLevel="0" collapsed="false">
      <c r="A329" s="4" t="s">
        <v>6414</v>
      </c>
      <c r="B329" s="4" t="s">
        <v>6415</v>
      </c>
      <c r="C329" s="4" t="s">
        <v>5537</v>
      </c>
      <c r="D329" s="4" t="s">
        <v>1555</v>
      </c>
      <c r="E329" s="4" t="s">
        <v>5879</v>
      </c>
    </row>
    <row r="330" customFormat="false" ht="15" hidden="false" customHeight="false" outlineLevel="0" collapsed="false">
      <c r="A330" s="4" t="s">
        <v>6416</v>
      </c>
      <c r="B330" s="4" t="s">
        <v>6417</v>
      </c>
      <c r="C330" s="4" t="s">
        <v>6418</v>
      </c>
      <c r="D330" s="4" t="s">
        <v>6419</v>
      </c>
      <c r="E330" s="4" t="s">
        <v>6420</v>
      </c>
    </row>
    <row r="333" customFormat="false" ht="15" hidden="false" customHeight="false" outlineLevel="0" collapsed="false">
      <c r="A333" s="17" t="s">
        <v>6421</v>
      </c>
      <c r="B333" s="18"/>
      <c r="C333" s="18"/>
      <c r="D333" s="18"/>
      <c r="E333" s="18"/>
      <c r="F333" s="18"/>
      <c r="G333" s="18"/>
      <c r="H333" s="18"/>
    </row>
    <row r="334" customFormat="false" ht="15" hidden="false" customHeight="false" outlineLevel="0" collapsed="false">
      <c r="A334" s="19" t="s">
        <v>6422</v>
      </c>
    </row>
    <row r="335" customFormat="false" ht="15" hidden="false" customHeight="false" outlineLevel="0" collapsed="false">
      <c r="A335" s="26" t="s">
        <v>2179</v>
      </c>
    </row>
    <row r="336" customFormat="false" ht="15" hidden="false" customHeight="false" outlineLevel="0" collapsed="false">
      <c r="A336" s="21" t="s">
        <v>6423</v>
      </c>
    </row>
    <row r="337" customFormat="false" ht="15" hidden="false" customHeight="false" outlineLevel="0" collapsed="false">
      <c r="A337" s="21" t="s">
        <v>6424</v>
      </c>
    </row>
    <row r="338" customFormat="false" ht="15" hidden="false" customHeight="false" outlineLevel="0" collapsed="false">
      <c r="A338" s="22" t="s">
        <v>6199</v>
      </c>
      <c r="B338" s="22" t="s">
        <v>6425</v>
      </c>
      <c r="C338" s="22" t="s">
        <v>3873</v>
      </c>
      <c r="D338" s="22" t="s">
        <v>6426</v>
      </c>
      <c r="E338" s="22" t="s">
        <v>1627</v>
      </c>
      <c r="F338" s="22" t="s">
        <v>6427</v>
      </c>
      <c r="G338" s="22" t="s">
        <v>6428</v>
      </c>
      <c r="H338" s="22" t="s">
        <v>6429</v>
      </c>
    </row>
    <row r="339" customFormat="false" ht="15" hidden="false" customHeight="false" outlineLevel="0" collapsed="false">
      <c r="A339" s="4" t="s">
        <v>6430</v>
      </c>
      <c r="B339" s="4" t="s">
        <v>6431</v>
      </c>
      <c r="C339" s="4" t="s">
        <v>3823</v>
      </c>
      <c r="D339" s="4" t="n">
        <v>26.3</v>
      </c>
      <c r="E339" s="4" t="n">
        <v>1.6</v>
      </c>
      <c r="F339" s="4" t="n">
        <v>42</v>
      </c>
      <c r="G339" s="4" t="n">
        <v>9</v>
      </c>
      <c r="H339" s="4" t="n">
        <v>2300</v>
      </c>
    </row>
    <row r="340" customFormat="false" ht="15" hidden="false" customHeight="false" outlineLevel="0" collapsed="false">
      <c r="A340" s="4" t="s">
        <v>6432</v>
      </c>
      <c r="B340" s="4" t="s">
        <v>2152</v>
      </c>
      <c r="C340" s="4" t="s">
        <v>5537</v>
      </c>
      <c r="D340" s="4" t="n">
        <v>122.6</v>
      </c>
      <c r="E340" s="4" t="n">
        <v>1.5</v>
      </c>
      <c r="F340" s="4" t="n">
        <v>184</v>
      </c>
      <c r="G340" s="4" t="n">
        <v>35</v>
      </c>
      <c r="H340" s="4" t="n">
        <v>8600</v>
      </c>
    </row>
    <row r="341" customFormat="false" ht="15" hidden="false" customHeight="false" outlineLevel="0" collapsed="false">
      <c r="A341" s="4" t="s">
        <v>6433</v>
      </c>
      <c r="B341" s="4" t="s">
        <v>2153</v>
      </c>
      <c r="C341" s="4" t="s">
        <v>3822</v>
      </c>
      <c r="D341" s="4" t="n">
        <v>350.4</v>
      </c>
      <c r="E341" s="4" t="n">
        <v>1.3</v>
      </c>
      <c r="F341" s="4" t="n">
        <v>455.5</v>
      </c>
      <c r="G341" s="4" t="n">
        <v>76</v>
      </c>
      <c r="H341" s="4" t="n">
        <v>18900</v>
      </c>
    </row>
    <row r="342" customFormat="false" ht="15" hidden="false" customHeight="false" outlineLevel="0" collapsed="false">
      <c r="A342" s="4" t="s">
        <v>6434</v>
      </c>
      <c r="B342" s="4" t="s">
        <v>2154</v>
      </c>
      <c r="C342" s="4" t="s">
        <v>6435</v>
      </c>
      <c r="D342" s="4" t="n">
        <v>657</v>
      </c>
      <c r="E342" s="4" t="n">
        <v>1.25</v>
      </c>
      <c r="F342" s="4" t="n">
        <v>821.3</v>
      </c>
      <c r="G342" s="4" t="n">
        <v>150</v>
      </c>
      <c r="H342" s="4" t="n">
        <v>35100</v>
      </c>
    </row>
    <row r="345" customFormat="false" ht="15" hidden="false" customHeight="false" outlineLevel="0" collapsed="false">
      <c r="A345" s="17" t="s">
        <v>6436</v>
      </c>
      <c r="B345" s="18"/>
      <c r="C345" s="18"/>
      <c r="D345" s="18"/>
    </row>
    <row r="346" customFormat="false" ht="15" hidden="false" customHeight="false" outlineLevel="0" collapsed="false">
      <c r="A346" s="19" t="s">
        <v>6437</v>
      </c>
    </row>
    <row r="347" customFormat="false" ht="15" hidden="false" customHeight="false" outlineLevel="0" collapsed="false">
      <c r="A347" s="26" t="s">
        <v>2179</v>
      </c>
    </row>
    <row r="348" customFormat="false" ht="15" hidden="false" customHeight="false" outlineLevel="0" collapsed="false">
      <c r="A348" s="21" t="s">
        <v>6438</v>
      </c>
    </row>
    <row r="349" customFormat="false" ht="15" hidden="false" customHeight="false" outlineLevel="0" collapsed="false">
      <c r="A349" s="21" t="s">
        <v>6439</v>
      </c>
    </row>
    <row r="350" customFormat="false" ht="15" hidden="false" customHeight="false" outlineLevel="0" collapsed="false">
      <c r="A350" s="22" t="s">
        <v>6440</v>
      </c>
      <c r="B350" s="22" t="s">
        <v>2953</v>
      </c>
      <c r="C350" s="22" t="s">
        <v>3157</v>
      </c>
      <c r="D350" s="22" t="s">
        <v>5210</v>
      </c>
    </row>
    <row r="351" customFormat="false" ht="15" hidden="false" customHeight="false" outlineLevel="0" collapsed="false">
      <c r="A351" s="4" t="s">
        <v>6441</v>
      </c>
      <c r="B351" s="4" t="s">
        <v>6442</v>
      </c>
      <c r="C351" s="4" t="s">
        <v>6443</v>
      </c>
      <c r="D351" s="4" t="s">
        <v>6444</v>
      </c>
    </row>
    <row r="352" customFormat="false" ht="15" hidden="false" customHeight="false" outlineLevel="0" collapsed="false">
      <c r="A352" s="4" t="s">
        <v>2185</v>
      </c>
      <c r="B352" s="4" t="s">
        <v>6445</v>
      </c>
      <c r="C352" s="4" t="s">
        <v>6446</v>
      </c>
      <c r="D352" s="4" t="s">
        <v>5835</v>
      </c>
    </row>
    <row r="353" customFormat="false" ht="15" hidden="false" customHeight="false" outlineLevel="0" collapsed="false">
      <c r="A353" s="4" t="s">
        <v>1627</v>
      </c>
      <c r="B353" s="4" t="s">
        <v>6447</v>
      </c>
      <c r="C353" s="4" t="n">
        <v>1.5</v>
      </c>
      <c r="D353" s="4" t="s">
        <v>6448</v>
      </c>
    </row>
    <row r="354" customFormat="false" ht="15" hidden="false" customHeight="false" outlineLevel="0" collapsed="false">
      <c r="A354" s="4" t="s">
        <v>4323</v>
      </c>
      <c r="B354" s="4" t="s">
        <v>6449</v>
      </c>
      <c r="C354" s="4" t="s">
        <v>6450</v>
      </c>
      <c r="D354" s="4" t="s">
        <v>5835</v>
      </c>
    </row>
    <row r="355" customFormat="false" ht="23.85" hidden="false" customHeight="false" outlineLevel="0" collapsed="false">
      <c r="A355" s="4" t="s">
        <v>2964</v>
      </c>
      <c r="B355" s="4" t="s">
        <v>6451</v>
      </c>
      <c r="C355" s="4" t="s">
        <v>6452</v>
      </c>
      <c r="D355" s="4" t="s">
        <v>6453</v>
      </c>
    </row>
    <row r="356" customFormat="false" ht="15" hidden="false" customHeight="false" outlineLevel="0" collapsed="false">
      <c r="A356" s="4" t="s">
        <v>6454</v>
      </c>
      <c r="B356" s="4" t="s">
        <v>6455</v>
      </c>
      <c r="C356" s="4" t="s">
        <v>6456</v>
      </c>
      <c r="D356" s="4" t="s">
        <v>5835</v>
      </c>
    </row>
    <row r="357" customFormat="false" ht="15" hidden="false" customHeight="false" outlineLevel="0" collapsed="false">
      <c r="A357" s="4" t="s">
        <v>6457</v>
      </c>
      <c r="B357" s="4" t="s">
        <v>6458</v>
      </c>
      <c r="C357" s="4" t="s">
        <v>6459</v>
      </c>
      <c r="D357" s="4" t="s">
        <v>5835</v>
      </c>
    </row>
    <row r="358" customFormat="false" ht="15" hidden="false" customHeight="false" outlineLevel="0" collapsed="false">
      <c r="A358" s="4" t="s">
        <v>6460</v>
      </c>
      <c r="B358" s="4" t="s">
        <v>1555</v>
      </c>
      <c r="C358" s="4" t="s">
        <v>6461</v>
      </c>
      <c r="D358" s="4" t="s">
        <v>5835</v>
      </c>
    </row>
    <row r="359" customFormat="false" ht="15" hidden="false" customHeight="false" outlineLevel="0" collapsed="false">
      <c r="A359" s="4" t="s">
        <v>6462</v>
      </c>
      <c r="B359" s="4" t="s">
        <v>6463</v>
      </c>
      <c r="C359" s="4" t="s">
        <v>6464</v>
      </c>
      <c r="D359" s="4" t="s">
        <v>5835</v>
      </c>
    </row>
    <row r="360" customFormat="false" ht="15" hidden="false" customHeight="false" outlineLevel="0" collapsed="false">
      <c r="A360" s="4" t="s">
        <v>6465</v>
      </c>
      <c r="B360" s="4" t="s">
        <v>6466</v>
      </c>
      <c r="C360" s="4" t="s">
        <v>6467</v>
      </c>
      <c r="D360" s="4" t="s">
        <v>5835</v>
      </c>
    </row>
    <row r="361" customFormat="false" ht="15" hidden="false" customHeight="false" outlineLevel="0" collapsed="false">
      <c r="A361" s="4" t="s">
        <v>6468</v>
      </c>
      <c r="B361" s="4" t="s">
        <v>6469</v>
      </c>
      <c r="C361" s="4" t="s">
        <v>6470</v>
      </c>
      <c r="D361" s="4" t="s">
        <v>5835</v>
      </c>
    </row>
    <row r="362" customFormat="false" ht="15" hidden="false" customHeight="false" outlineLevel="0" collapsed="false">
      <c r="A362" s="4" t="s">
        <v>2205</v>
      </c>
      <c r="B362" s="4" t="s">
        <v>6471</v>
      </c>
      <c r="C362" s="4" t="s">
        <v>6472</v>
      </c>
      <c r="D362" s="4" t="s">
        <v>5835</v>
      </c>
    </row>
    <row r="363" customFormat="false" ht="15" hidden="false" customHeight="false" outlineLevel="0" collapsed="false">
      <c r="A363" s="4" t="s">
        <v>6473</v>
      </c>
      <c r="B363" s="4" t="s">
        <v>6474</v>
      </c>
      <c r="C363" s="4" t="s">
        <v>6475</v>
      </c>
      <c r="D363" s="4" t="s">
        <v>5835</v>
      </c>
    </row>
    <row r="366" customFormat="false" ht="15" hidden="false" customHeight="false" outlineLevel="0" collapsed="false">
      <c r="A366" s="17" t="s">
        <v>6476</v>
      </c>
      <c r="B366" s="18"/>
      <c r="C366" s="18"/>
      <c r="D366" s="18"/>
      <c r="E366" s="18"/>
    </row>
    <row r="367" customFormat="false" ht="15" hidden="false" customHeight="false" outlineLevel="0" collapsed="false">
      <c r="A367" s="19" t="s">
        <v>6437</v>
      </c>
    </row>
    <row r="368" customFormat="false" ht="15" hidden="false" customHeight="false" outlineLevel="0" collapsed="false">
      <c r="A368" s="19" t="s">
        <v>6477</v>
      </c>
    </row>
    <row r="369" customFormat="false" ht="15" hidden="false" customHeight="false" outlineLevel="0" collapsed="false">
      <c r="A369" s="26" t="s">
        <v>2179</v>
      </c>
    </row>
    <row r="370" customFormat="false" ht="15" hidden="false" customHeight="false" outlineLevel="0" collapsed="false">
      <c r="A370" s="21" t="s">
        <v>6478</v>
      </c>
    </row>
    <row r="371" customFormat="false" ht="15" hidden="false" customHeight="false" outlineLevel="0" collapsed="false">
      <c r="A371" s="21" t="s">
        <v>6479</v>
      </c>
    </row>
    <row r="372" customFormat="false" ht="15" hidden="false" customHeight="false" outlineLevel="0" collapsed="false">
      <c r="A372" s="22" t="s">
        <v>6296</v>
      </c>
      <c r="B372" s="22" t="s">
        <v>2953</v>
      </c>
      <c r="C372" s="22" t="s">
        <v>3636</v>
      </c>
      <c r="D372" s="22" t="s">
        <v>6480</v>
      </c>
      <c r="E372" s="22" t="s">
        <v>5210</v>
      </c>
    </row>
    <row r="373" customFormat="false" ht="15" hidden="false" customHeight="false" outlineLevel="0" collapsed="false">
      <c r="A373" s="4" t="s">
        <v>6481</v>
      </c>
      <c r="B373" s="4" t="s">
        <v>6482</v>
      </c>
      <c r="C373" s="4" t="n">
        <v>172.3</v>
      </c>
      <c r="D373" s="4" t="n">
        <v>9.37</v>
      </c>
      <c r="E373" s="4" t="s">
        <v>6483</v>
      </c>
    </row>
    <row r="374" customFormat="false" ht="15" hidden="false" customHeight="false" outlineLevel="0" collapsed="false">
      <c r="A374" s="4" t="s">
        <v>6484</v>
      </c>
      <c r="B374" s="4" t="s">
        <v>6485</v>
      </c>
      <c r="C374" s="4" t="n">
        <v>205.1</v>
      </c>
      <c r="D374" s="4" t="n">
        <v>11.15</v>
      </c>
      <c r="E374" s="4" t="s">
        <v>5835</v>
      </c>
    </row>
    <row r="375" customFormat="false" ht="15" hidden="false" customHeight="false" outlineLevel="0" collapsed="false">
      <c r="A375" s="4" t="s">
        <v>6486</v>
      </c>
      <c r="B375" s="4" t="s">
        <v>6487</v>
      </c>
      <c r="C375" s="4" t="n">
        <v>176.9</v>
      </c>
      <c r="D375" s="4" t="n">
        <v>9.62</v>
      </c>
      <c r="E375" s="4" t="s">
        <v>6488</v>
      </c>
    </row>
    <row r="376" customFormat="false" ht="23.85" hidden="false" customHeight="false" outlineLevel="0" collapsed="false">
      <c r="A376" s="4" t="s">
        <v>6489</v>
      </c>
      <c r="B376" s="4" t="s">
        <v>6490</v>
      </c>
      <c r="C376" s="4" t="n">
        <v>146</v>
      </c>
      <c r="D376" s="4" t="n">
        <v>7.94</v>
      </c>
      <c r="E376" s="4" t="s">
        <v>6491</v>
      </c>
    </row>
    <row r="377" customFormat="false" ht="23.85" hidden="false" customHeight="false" outlineLevel="0" collapsed="false">
      <c r="A377" s="4" t="s">
        <v>6492</v>
      </c>
      <c r="B377" s="4" t="s">
        <v>6493</v>
      </c>
      <c r="C377" s="4" t="n">
        <v>182.8</v>
      </c>
      <c r="D377" s="4" t="n">
        <v>9.94</v>
      </c>
      <c r="E377" s="4" t="s">
        <v>5835</v>
      </c>
    </row>
    <row r="380" customFormat="false" ht="15" hidden="false" customHeight="false" outlineLevel="0" collapsed="false">
      <c r="A380" s="17" t="s">
        <v>6494</v>
      </c>
      <c r="B380" s="18"/>
      <c r="C380" s="18"/>
      <c r="D380" s="18"/>
    </row>
    <row r="381" customFormat="false" ht="15" hidden="false" customHeight="false" outlineLevel="0" collapsed="false">
      <c r="A381" s="19" t="s">
        <v>6495</v>
      </c>
    </row>
    <row r="382" customFormat="false" ht="15" hidden="false" customHeight="false" outlineLevel="0" collapsed="false">
      <c r="A382" s="26" t="s">
        <v>2179</v>
      </c>
    </row>
    <row r="383" customFormat="false" ht="15" hidden="false" customHeight="false" outlineLevel="0" collapsed="false">
      <c r="A383" s="21" t="s">
        <v>6496</v>
      </c>
    </row>
    <row r="384" customFormat="false" ht="15" hidden="false" customHeight="false" outlineLevel="0" collapsed="false">
      <c r="A384" s="21" t="s">
        <v>6497</v>
      </c>
    </row>
    <row r="385" customFormat="false" ht="15" hidden="false" customHeight="false" outlineLevel="0" collapsed="false">
      <c r="A385" s="22" t="s">
        <v>6440</v>
      </c>
      <c r="B385" s="22" t="s">
        <v>2953</v>
      </c>
      <c r="C385" s="22" t="s">
        <v>3157</v>
      </c>
      <c r="D385" s="22" t="s">
        <v>5210</v>
      </c>
    </row>
    <row r="386" customFormat="false" ht="15" hidden="false" customHeight="false" outlineLevel="0" collapsed="false">
      <c r="A386" s="4" t="s">
        <v>6441</v>
      </c>
      <c r="B386" s="4" t="s">
        <v>6498</v>
      </c>
      <c r="C386" s="4" t="s">
        <v>6499</v>
      </c>
      <c r="D386" s="4" t="s">
        <v>5858</v>
      </c>
    </row>
    <row r="387" customFormat="false" ht="15" hidden="false" customHeight="false" outlineLevel="0" collapsed="false">
      <c r="A387" s="4" t="s">
        <v>2185</v>
      </c>
      <c r="B387" s="4" t="s">
        <v>6500</v>
      </c>
      <c r="C387" s="4" t="s">
        <v>6501</v>
      </c>
      <c r="D387" s="4" t="s">
        <v>5835</v>
      </c>
    </row>
    <row r="388" customFormat="false" ht="15" hidden="false" customHeight="false" outlineLevel="0" collapsed="false">
      <c r="A388" s="4" t="s">
        <v>6502</v>
      </c>
      <c r="B388" s="4" t="s">
        <v>1555</v>
      </c>
      <c r="C388" s="4" t="n">
        <v>1.3</v>
      </c>
      <c r="D388" s="4" t="s">
        <v>6503</v>
      </c>
    </row>
    <row r="389" customFormat="false" ht="15" hidden="false" customHeight="false" outlineLevel="0" collapsed="false">
      <c r="A389" s="4" t="s">
        <v>4323</v>
      </c>
      <c r="B389" s="4" t="s">
        <v>6504</v>
      </c>
      <c r="C389" s="4" t="s">
        <v>6505</v>
      </c>
      <c r="D389" s="4" t="s">
        <v>5835</v>
      </c>
    </row>
    <row r="390" customFormat="false" ht="15" hidden="false" customHeight="false" outlineLevel="0" collapsed="false">
      <c r="A390" s="4" t="s">
        <v>6506</v>
      </c>
      <c r="B390" s="4" t="s">
        <v>6507</v>
      </c>
      <c r="C390" s="4" t="s">
        <v>6508</v>
      </c>
      <c r="D390" s="4" t="s">
        <v>6509</v>
      </c>
    </row>
    <row r="391" customFormat="false" ht="15" hidden="false" customHeight="false" outlineLevel="0" collapsed="false">
      <c r="A391" s="4" t="s">
        <v>6454</v>
      </c>
      <c r="B391" s="4" t="s">
        <v>6510</v>
      </c>
      <c r="C391" s="4" t="s">
        <v>6511</v>
      </c>
      <c r="D391" s="4" t="s">
        <v>5835</v>
      </c>
    </row>
    <row r="392" customFormat="false" ht="15" hidden="false" customHeight="false" outlineLevel="0" collapsed="false">
      <c r="A392" s="4" t="s">
        <v>6457</v>
      </c>
      <c r="B392" s="4" t="s">
        <v>6512</v>
      </c>
      <c r="C392" s="4" t="s">
        <v>6513</v>
      </c>
      <c r="D392" s="4" t="s">
        <v>5835</v>
      </c>
    </row>
    <row r="393" customFormat="false" ht="15" hidden="false" customHeight="false" outlineLevel="0" collapsed="false">
      <c r="A393" s="4" t="s">
        <v>6460</v>
      </c>
      <c r="B393" s="4" t="s">
        <v>1555</v>
      </c>
      <c r="C393" s="4" t="s">
        <v>6514</v>
      </c>
      <c r="D393" s="4" t="s">
        <v>5835</v>
      </c>
    </row>
    <row r="394" customFormat="false" ht="15" hidden="false" customHeight="false" outlineLevel="0" collapsed="false">
      <c r="A394" s="4" t="s">
        <v>6515</v>
      </c>
      <c r="B394" s="4" t="s">
        <v>6516</v>
      </c>
      <c r="C394" s="4" t="s">
        <v>6517</v>
      </c>
      <c r="D394" s="4" t="s">
        <v>5835</v>
      </c>
    </row>
    <row r="395" customFormat="false" ht="15" hidden="false" customHeight="false" outlineLevel="0" collapsed="false">
      <c r="A395" s="4" t="s">
        <v>6465</v>
      </c>
      <c r="B395" s="4" t="s">
        <v>6518</v>
      </c>
      <c r="C395" s="4" t="s">
        <v>6519</v>
      </c>
      <c r="D395" s="4" t="s">
        <v>5835</v>
      </c>
    </row>
    <row r="396" customFormat="false" ht="15" hidden="false" customHeight="false" outlineLevel="0" collapsed="false">
      <c r="A396" s="4" t="s">
        <v>3410</v>
      </c>
      <c r="B396" s="4" t="s">
        <v>6520</v>
      </c>
      <c r="C396" s="4" t="s">
        <v>6521</v>
      </c>
      <c r="D396" s="4" t="s">
        <v>5835</v>
      </c>
    </row>
    <row r="397" customFormat="false" ht="15" hidden="false" customHeight="false" outlineLevel="0" collapsed="false">
      <c r="A397" s="4" t="s">
        <v>2205</v>
      </c>
      <c r="B397" s="4" t="s">
        <v>6522</v>
      </c>
      <c r="C397" s="4" t="s">
        <v>6523</v>
      </c>
      <c r="D397" s="4" t="s">
        <v>5835</v>
      </c>
    </row>
    <row r="398" customFormat="false" ht="15" hidden="false" customHeight="false" outlineLevel="0" collapsed="false">
      <c r="A398" s="4" t="s">
        <v>6473</v>
      </c>
      <c r="B398" s="4" t="s">
        <v>6524</v>
      </c>
      <c r="C398" s="4" t="s">
        <v>6525</v>
      </c>
      <c r="D398" s="4" t="s">
        <v>5835</v>
      </c>
    </row>
    <row r="401" customFormat="false" ht="15" hidden="false" customHeight="false" outlineLevel="0" collapsed="false">
      <c r="A401" s="17" t="s">
        <v>6526</v>
      </c>
      <c r="B401" s="18"/>
      <c r="C401" s="18"/>
      <c r="D401" s="18"/>
    </row>
    <row r="402" customFormat="false" ht="15" hidden="false" customHeight="false" outlineLevel="0" collapsed="false">
      <c r="A402" s="19" t="s">
        <v>6495</v>
      </c>
    </row>
    <row r="403" customFormat="false" ht="15" hidden="false" customHeight="false" outlineLevel="0" collapsed="false">
      <c r="A403" s="19" t="s">
        <v>6527</v>
      </c>
    </row>
    <row r="404" customFormat="false" ht="15" hidden="false" customHeight="false" outlineLevel="0" collapsed="false">
      <c r="A404" s="26" t="s">
        <v>2179</v>
      </c>
    </row>
    <row r="405" customFormat="false" ht="15" hidden="false" customHeight="false" outlineLevel="0" collapsed="false">
      <c r="A405" s="21" t="s">
        <v>6528</v>
      </c>
    </row>
    <row r="406" customFormat="false" ht="15" hidden="false" customHeight="false" outlineLevel="0" collapsed="false">
      <c r="A406" s="21" t="s">
        <v>6479</v>
      </c>
    </row>
    <row r="407" customFormat="false" ht="15" hidden="false" customHeight="false" outlineLevel="0" collapsed="false">
      <c r="A407" s="22" t="s">
        <v>6296</v>
      </c>
      <c r="B407" s="22" t="s">
        <v>2953</v>
      </c>
      <c r="C407" s="22" t="s">
        <v>6480</v>
      </c>
      <c r="D407" s="22" t="s">
        <v>5210</v>
      </c>
    </row>
    <row r="408" customFormat="false" ht="23.85" hidden="false" customHeight="false" outlineLevel="0" collapsed="false">
      <c r="A408" s="4" t="s">
        <v>6529</v>
      </c>
      <c r="B408" s="4" t="s">
        <v>6530</v>
      </c>
      <c r="C408" s="4" t="s">
        <v>6531</v>
      </c>
      <c r="D408" s="4" t="s">
        <v>6532</v>
      </c>
    </row>
    <row r="409" customFormat="false" ht="15" hidden="false" customHeight="false" outlineLevel="0" collapsed="false">
      <c r="A409" s="4" t="s">
        <v>6533</v>
      </c>
      <c r="B409" s="4" t="s">
        <v>6534</v>
      </c>
      <c r="C409" s="4" t="n">
        <v>8.63</v>
      </c>
      <c r="D409" s="4" t="s">
        <v>5835</v>
      </c>
    </row>
    <row r="410" customFormat="false" ht="15" hidden="false" customHeight="false" outlineLevel="0" collapsed="false">
      <c r="A410" s="4" t="s">
        <v>6535</v>
      </c>
      <c r="B410" s="4" t="s">
        <v>6536</v>
      </c>
      <c r="C410" s="4" t="n">
        <v>8.14</v>
      </c>
      <c r="D410" s="4" t="s">
        <v>6537</v>
      </c>
    </row>
    <row r="411" customFormat="false" ht="23.85" hidden="false" customHeight="false" outlineLevel="0" collapsed="false">
      <c r="A411" s="4" t="s">
        <v>6538</v>
      </c>
      <c r="B411" s="4" t="s">
        <v>6539</v>
      </c>
      <c r="C411" s="4" t="n">
        <v>7.55</v>
      </c>
      <c r="D411" s="4" t="s">
        <v>5835</v>
      </c>
    </row>
    <row r="412" customFormat="false" ht="23.85" hidden="false" customHeight="false" outlineLevel="0" collapsed="false">
      <c r="A412" s="4" t="s">
        <v>6540</v>
      </c>
      <c r="B412" s="4" t="s">
        <v>6541</v>
      </c>
      <c r="C412" s="4" t="n">
        <v>9.51</v>
      </c>
      <c r="D412" s="4" t="s">
        <v>6542</v>
      </c>
    </row>
    <row r="415" customFormat="false" ht="15" hidden="false" customHeight="false" outlineLevel="0" collapsed="false">
      <c r="A415" s="17" t="s">
        <v>6543</v>
      </c>
      <c r="B415" s="18"/>
      <c r="C415" s="18"/>
      <c r="D415" s="18"/>
    </row>
    <row r="416" customFormat="false" ht="15" hidden="false" customHeight="false" outlineLevel="0" collapsed="false">
      <c r="A416" s="19" t="s">
        <v>6544</v>
      </c>
    </row>
    <row r="417" customFormat="false" ht="15" hidden="false" customHeight="false" outlineLevel="0" collapsed="false">
      <c r="A417" s="26" t="s">
        <v>2179</v>
      </c>
    </row>
    <row r="418" customFormat="false" ht="15" hidden="false" customHeight="false" outlineLevel="0" collapsed="false">
      <c r="A418" s="21" t="s">
        <v>6545</v>
      </c>
    </row>
    <row r="419" customFormat="false" ht="15" hidden="false" customHeight="false" outlineLevel="0" collapsed="false">
      <c r="A419" s="21" t="s">
        <v>6546</v>
      </c>
    </row>
    <row r="420" customFormat="false" ht="15" hidden="false" customHeight="false" outlineLevel="0" collapsed="false">
      <c r="A420" s="22" t="s">
        <v>6440</v>
      </c>
      <c r="B420" s="22" t="s">
        <v>2953</v>
      </c>
      <c r="C420" s="22" t="s">
        <v>3157</v>
      </c>
      <c r="D420" s="22" t="s">
        <v>5210</v>
      </c>
    </row>
    <row r="421" customFormat="false" ht="15" hidden="false" customHeight="false" outlineLevel="0" collapsed="false">
      <c r="A421" s="4" t="s">
        <v>6547</v>
      </c>
      <c r="B421" s="4" t="s">
        <v>6548</v>
      </c>
      <c r="C421" s="4" t="s">
        <v>6549</v>
      </c>
      <c r="D421" s="4" t="s">
        <v>6550</v>
      </c>
    </row>
    <row r="422" customFormat="false" ht="15" hidden="false" customHeight="false" outlineLevel="0" collapsed="false">
      <c r="A422" s="4" t="s">
        <v>6441</v>
      </c>
      <c r="B422" s="4" t="s">
        <v>6551</v>
      </c>
      <c r="C422" s="4" t="s">
        <v>2203</v>
      </c>
      <c r="D422" s="4" t="s">
        <v>6552</v>
      </c>
    </row>
    <row r="423" customFormat="false" ht="15" hidden="false" customHeight="false" outlineLevel="0" collapsed="false">
      <c r="A423" s="4" t="s">
        <v>2185</v>
      </c>
      <c r="B423" s="4" t="s">
        <v>6553</v>
      </c>
      <c r="C423" s="4" t="s">
        <v>6554</v>
      </c>
      <c r="D423" s="4" t="s">
        <v>5835</v>
      </c>
    </row>
    <row r="424" customFormat="false" ht="15" hidden="false" customHeight="false" outlineLevel="0" collapsed="false">
      <c r="A424" s="4" t="s">
        <v>6502</v>
      </c>
      <c r="B424" s="4" t="s">
        <v>6555</v>
      </c>
      <c r="C424" s="4" t="n">
        <v>1.25</v>
      </c>
      <c r="D424" s="4" t="s">
        <v>5858</v>
      </c>
    </row>
    <row r="425" customFormat="false" ht="15" hidden="false" customHeight="false" outlineLevel="0" collapsed="false">
      <c r="A425" s="4" t="s">
        <v>4323</v>
      </c>
      <c r="B425" s="4" t="s">
        <v>6556</v>
      </c>
      <c r="C425" s="4" t="s">
        <v>6557</v>
      </c>
      <c r="D425" s="4" t="s">
        <v>5835</v>
      </c>
    </row>
    <row r="426" customFormat="false" ht="15" hidden="false" customHeight="false" outlineLevel="0" collapsed="false">
      <c r="A426" s="4" t="s">
        <v>2964</v>
      </c>
      <c r="B426" s="4" t="s">
        <v>6558</v>
      </c>
      <c r="C426" s="4" t="s">
        <v>6559</v>
      </c>
      <c r="D426" s="4" t="s">
        <v>6560</v>
      </c>
    </row>
    <row r="427" customFormat="false" ht="15" hidden="false" customHeight="false" outlineLevel="0" collapsed="false">
      <c r="A427" s="4" t="s">
        <v>6454</v>
      </c>
      <c r="B427" s="4" t="s">
        <v>6561</v>
      </c>
      <c r="C427" s="4" t="s">
        <v>6562</v>
      </c>
      <c r="D427" s="4" t="s">
        <v>5835</v>
      </c>
    </row>
    <row r="428" customFormat="false" ht="15" hidden="false" customHeight="false" outlineLevel="0" collapsed="false">
      <c r="A428" s="4" t="s">
        <v>6457</v>
      </c>
      <c r="B428" s="4" t="s">
        <v>6563</v>
      </c>
      <c r="C428" s="4" t="s">
        <v>6564</v>
      </c>
      <c r="D428" s="4" t="s">
        <v>5835</v>
      </c>
    </row>
    <row r="429" customFormat="false" ht="15" hidden="false" customHeight="false" outlineLevel="0" collapsed="false">
      <c r="A429" s="4" t="s">
        <v>6460</v>
      </c>
      <c r="B429" s="4" t="s">
        <v>1555</v>
      </c>
      <c r="C429" s="4" t="s">
        <v>6565</v>
      </c>
      <c r="D429" s="4" t="s">
        <v>5835</v>
      </c>
    </row>
    <row r="430" customFormat="false" ht="15" hidden="false" customHeight="false" outlineLevel="0" collapsed="false">
      <c r="A430" s="4" t="s">
        <v>6566</v>
      </c>
      <c r="B430" s="4" t="s">
        <v>6567</v>
      </c>
      <c r="C430" s="4" t="s">
        <v>6568</v>
      </c>
      <c r="D430" s="4" t="s">
        <v>5835</v>
      </c>
    </row>
    <row r="431" customFormat="false" ht="15" hidden="false" customHeight="false" outlineLevel="0" collapsed="false">
      <c r="A431" s="4" t="s">
        <v>6569</v>
      </c>
      <c r="B431" s="4" t="s">
        <v>6570</v>
      </c>
      <c r="C431" s="4" t="s">
        <v>6571</v>
      </c>
      <c r="D431" s="4" t="s">
        <v>5835</v>
      </c>
    </row>
    <row r="432" customFormat="false" ht="15" hidden="false" customHeight="false" outlineLevel="0" collapsed="false">
      <c r="A432" s="4" t="s">
        <v>6572</v>
      </c>
      <c r="B432" s="4" t="s">
        <v>6573</v>
      </c>
      <c r="C432" s="4" t="s">
        <v>6574</v>
      </c>
      <c r="D432" s="4" t="s">
        <v>5835</v>
      </c>
    </row>
    <row r="433" customFormat="false" ht="15" hidden="false" customHeight="false" outlineLevel="0" collapsed="false">
      <c r="A433" s="4" t="s">
        <v>2205</v>
      </c>
      <c r="B433" s="4" t="s">
        <v>6575</v>
      </c>
      <c r="C433" s="4" t="s">
        <v>6576</v>
      </c>
      <c r="D433" s="4" t="s">
        <v>5835</v>
      </c>
    </row>
    <row r="434" customFormat="false" ht="15" hidden="false" customHeight="false" outlineLevel="0" collapsed="false">
      <c r="A434" s="4" t="s">
        <v>6577</v>
      </c>
      <c r="B434" s="4" t="s">
        <v>6578</v>
      </c>
      <c r="C434" s="4" t="s">
        <v>6579</v>
      </c>
      <c r="D434" s="4" t="s">
        <v>6580</v>
      </c>
    </row>
    <row r="435" customFormat="false" ht="15" hidden="false" customHeight="false" outlineLevel="0" collapsed="false">
      <c r="A435" s="4" t="s">
        <v>6473</v>
      </c>
      <c r="B435" s="4" t="s">
        <v>6581</v>
      </c>
      <c r="C435" s="4" t="s">
        <v>6582</v>
      </c>
      <c r="D435" s="4" t="s">
        <v>5835</v>
      </c>
    </row>
    <row r="438" customFormat="false" ht="15" hidden="false" customHeight="false" outlineLevel="0" collapsed="false">
      <c r="A438" s="17" t="s">
        <v>6583</v>
      </c>
      <c r="B438" s="18"/>
      <c r="C438" s="18"/>
      <c r="D438" s="18"/>
    </row>
    <row r="439" customFormat="false" ht="15" hidden="false" customHeight="false" outlineLevel="0" collapsed="false">
      <c r="A439" s="19" t="s">
        <v>6544</v>
      </c>
    </row>
    <row r="440" customFormat="false" ht="15" hidden="false" customHeight="false" outlineLevel="0" collapsed="false">
      <c r="A440" s="19" t="s">
        <v>6584</v>
      </c>
    </row>
    <row r="441" customFormat="false" ht="15" hidden="false" customHeight="false" outlineLevel="0" collapsed="false">
      <c r="A441" s="26" t="s">
        <v>2179</v>
      </c>
    </row>
    <row r="442" customFormat="false" ht="15" hidden="false" customHeight="false" outlineLevel="0" collapsed="false">
      <c r="A442" s="21" t="s">
        <v>6585</v>
      </c>
    </row>
    <row r="443" customFormat="false" ht="15" hidden="false" customHeight="false" outlineLevel="0" collapsed="false">
      <c r="A443" s="21" t="s">
        <v>6479</v>
      </c>
    </row>
    <row r="444" customFormat="false" ht="15" hidden="false" customHeight="false" outlineLevel="0" collapsed="false">
      <c r="A444" s="22" t="s">
        <v>6296</v>
      </c>
      <c r="B444" s="22" t="s">
        <v>2953</v>
      </c>
      <c r="C444" s="22" t="s">
        <v>6480</v>
      </c>
      <c r="D444" s="22" t="s">
        <v>5210</v>
      </c>
    </row>
    <row r="445" customFormat="false" ht="15" hidden="false" customHeight="false" outlineLevel="0" collapsed="false">
      <c r="A445" s="4" t="s">
        <v>6586</v>
      </c>
      <c r="B445" s="4" t="s">
        <v>6587</v>
      </c>
      <c r="C445" s="4" t="s">
        <v>6588</v>
      </c>
      <c r="D445" s="4" t="s">
        <v>6589</v>
      </c>
    </row>
    <row r="446" customFormat="false" ht="23.85" hidden="false" customHeight="false" outlineLevel="0" collapsed="false">
      <c r="A446" s="4" t="s">
        <v>6590</v>
      </c>
      <c r="B446" s="4" t="s">
        <v>6591</v>
      </c>
      <c r="C446" s="4" t="s">
        <v>6592</v>
      </c>
      <c r="D446" s="4" t="s">
        <v>5835</v>
      </c>
    </row>
    <row r="447" customFormat="false" ht="23.85" hidden="false" customHeight="false" outlineLevel="0" collapsed="false">
      <c r="A447" s="4" t="s">
        <v>6593</v>
      </c>
      <c r="B447" s="4" t="s">
        <v>6594</v>
      </c>
      <c r="C447" s="4" t="s">
        <v>6595</v>
      </c>
      <c r="D447" s="4" t="s">
        <v>5835</v>
      </c>
    </row>
    <row r="450" customFormat="false" ht="15" hidden="false" customHeight="false" outlineLevel="0" collapsed="false">
      <c r="A450" s="17" t="s">
        <v>6596</v>
      </c>
      <c r="B450" s="18"/>
      <c r="C450" s="18"/>
      <c r="D450" s="18"/>
    </row>
    <row r="451" customFormat="false" ht="15" hidden="false" customHeight="false" outlineLevel="0" collapsed="false">
      <c r="A451" s="19" t="s">
        <v>6544</v>
      </c>
    </row>
    <row r="452" customFormat="false" ht="15" hidden="false" customHeight="false" outlineLevel="0" collapsed="false">
      <c r="A452" s="26" t="s">
        <v>2179</v>
      </c>
    </row>
    <row r="453" customFormat="false" ht="15" hidden="false" customHeight="false" outlineLevel="0" collapsed="false">
      <c r="A453" s="21" t="s">
        <v>6597</v>
      </c>
    </row>
    <row r="454" customFormat="false" ht="15" hidden="false" customHeight="false" outlineLevel="0" collapsed="false">
      <c r="A454" s="21" t="s">
        <v>6598</v>
      </c>
    </row>
    <row r="455" customFormat="false" ht="15" hidden="false" customHeight="false" outlineLevel="0" collapsed="false">
      <c r="A455" s="22" t="s">
        <v>1318</v>
      </c>
      <c r="B455" s="22" t="s">
        <v>6599</v>
      </c>
      <c r="C455" s="22" t="s">
        <v>6600</v>
      </c>
      <c r="D455" s="22" t="s">
        <v>6601</v>
      </c>
    </row>
    <row r="456" customFormat="false" ht="15" hidden="false" customHeight="false" outlineLevel="0" collapsed="false">
      <c r="A456" s="4" t="s">
        <v>6602</v>
      </c>
      <c r="B456" s="4" t="n">
        <v>245.3</v>
      </c>
      <c r="C456" s="4" t="n">
        <v>157.7</v>
      </c>
      <c r="D456" s="4" t="n">
        <v>19.7</v>
      </c>
    </row>
    <row r="457" customFormat="false" ht="15" hidden="false" customHeight="false" outlineLevel="0" collapsed="false">
      <c r="A457" s="4" t="s">
        <v>6603</v>
      </c>
      <c r="B457" s="4" t="n">
        <v>551.9</v>
      </c>
      <c r="C457" s="4" t="n">
        <v>1275.5</v>
      </c>
      <c r="D457" s="4" t="n">
        <v>1478.3</v>
      </c>
    </row>
    <row r="458" customFormat="false" ht="15" hidden="false" customHeight="false" outlineLevel="0" collapsed="false">
      <c r="A458" s="4" t="s">
        <v>6604</v>
      </c>
      <c r="B458" s="4" t="n">
        <v>797.2</v>
      </c>
      <c r="C458" s="4" t="n">
        <v>1433.1</v>
      </c>
      <c r="D458" s="4" t="n">
        <v>1498</v>
      </c>
    </row>
    <row r="459" customFormat="false" ht="15" hidden="false" customHeight="false" outlineLevel="0" collapsed="false">
      <c r="A459" s="4" t="s">
        <v>6605</v>
      </c>
      <c r="B459" s="4" t="n">
        <v>1.33</v>
      </c>
      <c r="C459" s="4" t="n">
        <v>0.35</v>
      </c>
      <c r="D459" s="4" t="n">
        <v>0.02</v>
      </c>
    </row>
    <row r="460" customFormat="false" ht="15" hidden="false" customHeight="false" outlineLevel="0" collapsed="false">
      <c r="A460" s="4" t="s">
        <v>6606</v>
      </c>
      <c r="B460" s="4" t="s">
        <v>6607</v>
      </c>
      <c r="C460" s="4" t="s">
        <v>6608</v>
      </c>
      <c r="D460" s="4" t="s">
        <v>6609</v>
      </c>
    </row>
    <row r="463" customFormat="false" ht="15" hidden="false" customHeight="false" outlineLevel="0" collapsed="false">
      <c r="A463" s="17" t="s">
        <v>6610</v>
      </c>
      <c r="B463" s="18"/>
      <c r="C463" s="18"/>
    </row>
    <row r="464" customFormat="false" ht="15" hidden="false" customHeight="false" outlineLevel="0" collapsed="false">
      <c r="A464" s="19" t="s">
        <v>6611</v>
      </c>
    </row>
    <row r="465" customFormat="false" ht="15" hidden="false" customHeight="false" outlineLevel="0" collapsed="false">
      <c r="A465" s="24" t="s">
        <v>1459</v>
      </c>
    </row>
    <row r="466" customFormat="false" ht="15" hidden="false" customHeight="false" outlineLevel="0" collapsed="false">
      <c r="A466" s="21" t="s">
        <v>6612</v>
      </c>
    </row>
    <row r="467" customFormat="false" ht="15" hidden="false" customHeight="false" outlineLevel="0" collapsed="false">
      <c r="A467" s="21" t="s">
        <v>6613</v>
      </c>
    </row>
    <row r="468" customFormat="false" ht="15" hidden="false" customHeight="false" outlineLevel="0" collapsed="false">
      <c r="A468" s="22" t="s">
        <v>6614</v>
      </c>
      <c r="B468" s="22" t="s">
        <v>6615</v>
      </c>
      <c r="C468" s="22" t="s">
        <v>4110</v>
      </c>
    </row>
    <row r="469" customFormat="false" ht="23.85" hidden="false" customHeight="false" outlineLevel="0" collapsed="false">
      <c r="A469" s="4" t="s">
        <v>6616</v>
      </c>
      <c r="B469" s="4" t="s">
        <v>6617</v>
      </c>
      <c r="C469" s="4" t="s">
        <v>6618</v>
      </c>
    </row>
    <row r="470" customFormat="false" ht="23.85" hidden="false" customHeight="false" outlineLevel="0" collapsed="false">
      <c r="A470" s="4" t="s">
        <v>6619</v>
      </c>
      <c r="B470" s="4" t="s">
        <v>6620</v>
      </c>
      <c r="C470" s="4" t="s">
        <v>6621</v>
      </c>
    </row>
    <row r="471" customFormat="false" ht="15" hidden="false" customHeight="false" outlineLevel="0" collapsed="false">
      <c r="A471" s="4" t="s">
        <v>6622</v>
      </c>
      <c r="B471" s="4" t="s">
        <v>6623</v>
      </c>
      <c r="C471" s="4" t="s">
        <v>6624</v>
      </c>
    </row>
    <row r="472" customFormat="false" ht="15" hidden="false" customHeight="false" outlineLevel="0" collapsed="false">
      <c r="A472" s="4" t="s">
        <v>6625</v>
      </c>
      <c r="B472" s="4" t="s">
        <v>6626</v>
      </c>
      <c r="C472" s="4" t="s">
        <v>6627</v>
      </c>
    </row>
    <row r="473" customFormat="false" ht="15" hidden="false" customHeight="false" outlineLevel="0" collapsed="false">
      <c r="A473" s="4" t="s">
        <v>6628</v>
      </c>
      <c r="B473" s="4" t="s">
        <v>6629</v>
      </c>
      <c r="C473" s="4" t="s">
        <v>6630</v>
      </c>
    </row>
    <row r="474" customFormat="false" ht="15" hidden="false" customHeight="false" outlineLevel="0" collapsed="false">
      <c r="A474" s="4" t="s">
        <v>6631</v>
      </c>
      <c r="B474" s="4" t="s">
        <v>6632</v>
      </c>
      <c r="C474" s="4" t="s">
        <v>6633</v>
      </c>
    </row>
    <row r="475" customFormat="false" ht="15" hidden="false" customHeight="false" outlineLevel="0" collapsed="false">
      <c r="A475" s="4" t="s">
        <v>6634</v>
      </c>
      <c r="B475" s="4" t="s">
        <v>6635</v>
      </c>
      <c r="C475" s="4" t="s">
        <v>6636</v>
      </c>
    </row>
    <row r="476" customFormat="false" ht="15" hidden="false" customHeight="false" outlineLevel="0" collapsed="false">
      <c r="A476" s="4" t="s">
        <v>6637</v>
      </c>
      <c r="B476" s="4" t="s">
        <v>6638</v>
      </c>
      <c r="C476" s="4" t="s">
        <v>6639</v>
      </c>
    </row>
    <row r="477" customFormat="false" ht="15" hidden="false" customHeight="false" outlineLevel="0" collapsed="false">
      <c r="A477" s="4" t="s">
        <v>6640</v>
      </c>
      <c r="B477" s="4" t="s">
        <v>6641</v>
      </c>
      <c r="C477" s="4" t="s">
        <v>6642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9" min="1" style="0" width="56"/>
    <col collapsed="false" customWidth="true" hidden="false" outlineLevel="0" max="10" min="10" style="0" width="19.1"/>
  </cols>
  <sheetData>
    <row r="1" customFormat="false" ht="17.35" hidden="false" customHeight="false" outlineLevel="0" collapsed="false">
      <c r="A1" s="1" t="s">
        <v>912</v>
      </c>
    </row>
    <row r="2" customFormat="false" ht="15" hidden="false" customHeight="false" outlineLevel="0" collapsed="false">
      <c r="A2" s="14" t="s">
        <v>6643</v>
      </c>
    </row>
    <row r="4" customFormat="false" ht="15" hidden="false" customHeight="false" outlineLevel="0" collapsed="false">
      <c r="A4" s="17" t="s">
        <v>6644</v>
      </c>
      <c r="B4" s="18"/>
      <c r="C4" s="18"/>
    </row>
    <row r="5" customFormat="false" ht="15" hidden="false" customHeight="false" outlineLevel="0" collapsed="false">
      <c r="A5" s="19" t="s">
        <v>6645</v>
      </c>
    </row>
    <row r="6" customFormat="false" ht="15" hidden="false" customHeight="false" outlineLevel="0" collapsed="false">
      <c r="A6" s="24" t="s">
        <v>1459</v>
      </c>
    </row>
    <row r="7" customFormat="false" ht="15" hidden="false" customHeight="false" outlineLevel="0" collapsed="false">
      <c r="A7" s="21" t="s">
        <v>6646</v>
      </c>
    </row>
    <row r="8" customFormat="false" ht="15" hidden="false" customHeight="false" outlineLevel="0" collapsed="false">
      <c r="A8" s="21" t="s">
        <v>6647</v>
      </c>
    </row>
    <row r="9" customFormat="false" ht="15" hidden="false" customHeight="false" outlineLevel="0" collapsed="false">
      <c r="A9" s="22" t="s">
        <v>6648</v>
      </c>
      <c r="B9" s="22" t="s">
        <v>6649</v>
      </c>
      <c r="C9" s="22" t="s">
        <v>6650</v>
      </c>
    </row>
    <row r="10" customFormat="false" ht="23.85" hidden="false" customHeight="false" outlineLevel="0" collapsed="false">
      <c r="A10" s="4" t="s">
        <v>6651</v>
      </c>
      <c r="B10" s="4" t="s">
        <v>6652</v>
      </c>
      <c r="C10" s="4" t="s">
        <v>6653</v>
      </c>
    </row>
    <row r="11" customFormat="false" ht="15" hidden="false" customHeight="false" outlineLevel="0" collapsed="false">
      <c r="A11" s="4" t="s">
        <v>1567</v>
      </c>
      <c r="B11" s="4" t="s">
        <v>6654</v>
      </c>
      <c r="C11" s="4" t="s">
        <v>6655</v>
      </c>
    </row>
    <row r="12" customFormat="false" ht="15" hidden="false" customHeight="false" outlineLevel="0" collapsed="false">
      <c r="A12" s="4" t="s">
        <v>6656</v>
      </c>
      <c r="B12" s="4" t="s">
        <v>6657</v>
      </c>
      <c r="C12" s="4" t="s">
        <v>6658</v>
      </c>
    </row>
    <row r="13" customFormat="false" ht="15" hidden="false" customHeight="false" outlineLevel="0" collapsed="false">
      <c r="A13" s="4" t="s">
        <v>1621</v>
      </c>
      <c r="B13" s="4" t="s">
        <v>6659</v>
      </c>
      <c r="C13" s="4" t="s">
        <v>6660</v>
      </c>
    </row>
    <row r="14" customFormat="false" ht="15" hidden="false" customHeight="false" outlineLevel="0" collapsed="false">
      <c r="A14" s="4" t="s">
        <v>1603</v>
      </c>
      <c r="B14" s="4" t="s">
        <v>6661</v>
      </c>
      <c r="C14" s="4" t="s">
        <v>6662</v>
      </c>
    </row>
    <row r="17" customFormat="false" ht="15" hidden="false" customHeight="false" outlineLevel="0" collapsed="false">
      <c r="A17" s="17" t="s">
        <v>6663</v>
      </c>
      <c r="B17" s="18"/>
      <c r="C17" s="18"/>
      <c r="D17" s="18"/>
      <c r="E17" s="18"/>
      <c r="F17" s="18"/>
      <c r="G17" s="18"/>
      <c r="H17" s="18"/>
    </row>
    <row r="18" customFormat="false" ht="15" hidden="false" customHeight="false" outlineLevel="0" collapsed="false">
      <c r="A18" s="19" t="s">
        <v>6664</v>
      </c>
    </row>
    <row r="19" customFormat="false" ht="15" hidden="false" customHeight="false" outlineLevel="0" collapsed="false">
      <c r="A19" s="20" t="s">
        <v>1193</v>
      </c>
    </row>
    <row r="20" customFormat="false" ht="15" hidden="false" customHeight="false" outlineLevel="0" collapsed="false">
      <c r="A20" s="21" t="s">
        <v>6646</v>
      </c>
    </row>
    <row r="21" customFormat="false" ht="15" hidden="false" customHeight="false" outlineLevel="0" collapsed="false">
      <c r="A21" s="21" t="s">
        <v>6647</v>
      </c>
    </row>
    <row r="22" customFormat="false" ht="15" hidden="false" customHeight="false" outlineLevel="0" collapsed="false">
      <c r="A22" s="22" t="s">
        <v>1196</v>
      </c>
      <c r="B22" s="22" t="s">
        <v>1677</v>
      </c>
      <c r="C22" s="22" t="s">
        <v>1197</v>
      </c>
      <c r="D22" s="22" t="s">
        <v>6665</v>
      </c>
      <c r="E22" s="22" t="s">
        <v>6666</v>
      </c>
      <c r="F22" s="22" t="s">
        <v>6667</v>
      </c>
      <c r="G22" s="22" t="s">
        <v>1202</v>
      </c>
      <c r="H22" s="22" t="s">
        <v>6668</v>
      </c>
    </row>
    <row r="23" customFormat="false" ht="23.85" hidden="false" customHeight="false" outlineLevel="0" collapsed="false">
      <c r="A23" s="4" t="s">
        <v>6669</v>
      </c>
      <c r="B23" s="4" t="s">
        <v>6670</v>
      </c>
      <c r="C23" s="4" t="s">
        <v>6671</v>
      </c>
      <c r="D23" s="4" t="s">
        <v>6672</v>
      </c>
      <c r="E23" s="4" t="s">
        <v>6673</v>
      </c>
      <c r="F23" s="4" t="s">
        <v>6674</v>
      </c>
      <c r="G23" s="4" t="s">
        <v>6675</v>
      </c>
      <c r="H23" s="4" t="s">
        <v>6676</v>
      </c>
    </row>
    <row r="24" customFormat="false" ht="23.85" hidden="false" customHeight="false" outlineLevel="0" collapsed="false">
      <c r="A24" s="4" t="s">
        <v>1210</v>
      </c>
      <c r="B24" s="4" t="s">
        <v>6677</v>
      </c>
      <c r="C24" s="4" t="s">
        <v>6678</v>
      </c>
      <c r="D24" s="4" t="s">
        <v>6679</v>
      </c>
      <c r="E24" s="4" t="s">
        <v>6680</v>
      </c>
      <c r="F24" s="4" t="s">
        <v>6681</v>
      </c>
      <c r="G24" s="4" t="s">
        <v>6682</v>
      </c>
      <c r="H24" s="4" t="s">
        <v>6683</v>
      </c>
    </row>
    <row r="25" customFormat="false" ht="23.85" hidden="false" customHeight="false" outlineLevel="0" collapsed="false">
      <c r="A25" s="4" t="s">
        <v>6684</v>
      </c>
      <c r="B25" s="4" t="s">
        <v>6685</v>
      </c>
      <c r="C25" s="4" t="s">
        <v>6686</v>
      </c>
      <c r="D25" s="4" t="s">
        <v>6687</v>
      </c>
      <c r="E25" s="4" t="s">
        <v>6688</v>
      </c>
      <c r="F25" s="4" t="s">
        <v>6689</v>
      </c>
      <c r="G25" s="4" t="s">
        <v>6690</v>
      </c>
      <c r="H25" s="4" t="s">
        <v>6691</v>
      </c>
    </row>
    <row r="26" customFormat="false" ht="23.85" hidden="false" customHeight="false" outlineLevel="0" collapsed="false">
      <c r="A26" s="4" t="s">
        <v>6692</v>
      </c>
      <c r="B26" s="4" t="s">
        <v>6693</v>
      </c>
      <c r="C26" s="4" t="s">
        <v>6694</v>
      </c>
      <c r="D26" s="4" t="s">
        <v>6695</v>
      </c>
      <c r="E26" s="4" t="s">
        <v>6696</v>
      </c>
      <c r="F26" s="4" t="s">
        <v>6697</v>
      </c>
      <c r="G26" s="4" t="s">
        <v>6698</v>
      </c>
      <c r="H26" s="4" t="s">
        <v>6699</v>
      </c>
    </row>
    <row r="27" customFormat="false" ht="23.85" hidden="false" customHeight="false" outlineLevel="0" collapsed="false">
      <c r="A27" s="4" t="s">
        <v>6700</v>
      </c>
      <c r="B27" s="4" t="s">
        <v>6701</v>
      </c>
      <c r="C27" s="4" t="s">
        <v>6702</v>
      </c>
      <c r="D27" s="4" t="s">
        <v>6703</v>
      </c>
      <c r="E27" s="4" t="s">
        <v>6704</v>
      </c>
      <c r="F27" s="4" t="s">
        <v>6705</v>
      </c>
      <c r="G27" s="4" t="s">
        <v>6706</v>
      </c>
      <c r="H27" s="4" t="s">
        <v>6707</v>
      </c>
    </row>
    <row r="28" customFormat="false" ht="23.85" hidden="false" customHeight="false" outlineLevel="0" collapsed="false">
      <c r="A28" s="4" t="s">
        <v>1238</v>
      </c>
      <c r="B28" s="4" t="s">
        <v>6708</v>
      </c>
      <c r="C28" s="4" t="s">
        <v>6709</v>
      </c>
      <c r="D28" s="4" t="s">
        <v>6710</v>
      </c>
      <c r="E28" s="4" t="s">
        <v>6711</v>
      </c>
      <c r="F28" s="4" t="s">
        <v>6712</v>
      </c>
      <c r="G28" s="4" t="s">
        <v>6713</v>
      </c>
      <c r="H28" s="4" t="s">
        <v>6714</v>
      </c>
    </row>
    <row r="31" customFormat="false" ht="15" hidden="false" customHeight="false" outlineLevel="0" collapsed="false">
      <c r="A31" s="17" t="s">
        <v>6715</v>
      </c>
      <c r="B31" s="18"/>
      <c r="C31" s="18"/>
      <c r="D31" s="18"/>
      <c r="E31" s="18"/>
    </row>
    <row r="32" customFormat="false" ht="15" hidden="false" customHeight="false" outlineLevel="0" collapsed="false">
      <c r="A32" s="19" t="s">
        <v>6716</v>
      </c>
    </row>
    <row r="33" customFormat="false" ht="15" hidden="false" customHeight="false" outlineLevel="0" collapsed="false">
      <c r="A33" s="23" t="s">
        <v>1246</v>
      </c>
    </row>
    <row r="34" customFormat="false" ht="15" hidden="false" customHeight="false" outlineLevel="0" collapsed="false">
      <c r="A34" s="21" t="s">
        <v>6646</v>
      </c>
    </row>
    <row r="35" customFormat="false" ht="15" hidden="false" customHeight="false" outlineLevel="0" collapsed="false">
      <c r="A35" s="21" t="s">
        <v>6647</v>
      </c>
    </row>
    <row r="36" customFormat="false" ht="15" hidden="false" customHeight="false" outlineLevel="0" collapsed="false">
      <c r="A36" s="22" t="s">
        <v>4726</v>
      </c>
      <c r="B36" s="22" t="s">
        <v>6717</v>
      </c>
      <c r="C36" s="22" t="s">
        <v>6718</v>
      </c>
      <c r="D36" s="22" t="s">
        <v>1250</v>
      </c>
      <c r="E36" s="22" t="s">
        <v>1255</v>
      </c>
    </row>
    <row r="37" customFormat="false" ht="15" hidden="false" customHeight="false" outlineLevel="0" collapsed="false">
      <c r="A37" s="4" t="s">
        <v>6719</v>
      </c>
      <c r="B37" s="4" t="s">
        <v>1259</v>
      </c>
      <c r="C37" s="4" t="s">
        <v>6720</v>
      </c>
      <c r="D37" s="4" t="s">
        <v>1257</v>
      </c>
      <c r="E37" s="4" t="s">
        <v>1261</v>
      </c>
    </row>
    <row r="38" customFormat="false" ht="15" hidden="false" customHeight="false" outlineLevel="0" collapsed="false">
      <c r="A38" s="4" t="s">
        <v>6721</v>
      </c>
      <c r="B38" s="4" t="s">
        <v>1264</v>
      </c>
      <c r="C38" s="4" t="s">
        <v>6722</v>
      </c>
      <c r="D38" s="4" t="s">
        <v>1263</v>
      </c>
      <c r="E38" s="4" t="s">
        <v>1266</v>
      </c>
    </row>
    <row r="39" customFormat="false" ht="15" hidden="false" customHeight="false" outlineLevel="0" collapsed="false">
      <c r="A39" s="4" t="s">
        <v>6723</v>
      </c>
      <c r="B39" s="4" t="s">
        <v>1270</v>
      </c>
      <c r="C39" s="4" t="s">
        <v>6724</v>
      </c>
      <c r="D39" s="4" t="s">
        <v>6725</v>
      </c>
      <c r="E39" s="4" t="s">
        <v>6726</v>
      </c>
    </row>
    <row r="40" customFormat="false" ht="15" hidden="false" customHeight="false" outlineLevel="0" collapsed="false">
      <c r="A40" s="4" t="s">
        <v>6727</v>
      </c>
      <c r="B40" s="4" t="s">
        <v>1275</v>
      </c>
      <c r="C40" s="4" t="s">
        <v>6728</v>
      </c>
      <c r="D40" s="4" t="s">
        <v>6729</v>
      </c>
      <c r="E40" s="4" t="s">
        <v>1277</v>
      </c>
    </row>
    <row r="43" customFormat="false" ht="15" hidden="false" customHeight="false" outlineLevel="0" collapsed="false">
      <c r="A43" s="17" t="s">
        <v>6730</v>
      </c>
      <c r="B43" s="18"/>
      <c r="C43" s="18"/>
      <c r="D43" s="18"/>
    </row>
    <row r="44" customFormat="false" ht="15" hidden="false" customHeight="false" outlineLevel="0" collapsed="false">
      <c r="A44" s="19" t="s">
        <v>6731</v>
      </c>
    </row>
    <row r="45" customFormat="false" ht="15" hidden="false" customHeight="false" outlineLevel="0" collapsed="false">
      <c r="A45" s="23" t="s">
        <v>1246</v>
      </c>
    </row>
    <row r="46" customFormat="false" ht="15" hidden="false" customHeight="false" outlineLevel="0" collapsed="false">
      <c r="A46" s="21" t="s">
        <v>6646</v>
      </c>
    </row>
    <row r="47" customFormat="false" ht="15" hidden="false" customHeight="false" outlineLevel="0" collapsed="false">
      <c r="A47" s="21" t="s">
        <v>6647</v>
      </c>
    </row>
    <row r="48" customFormat="false" ht="15" hidden="false" customHeight="false" outlineLevel="0" collapsed="false">
      <c r="A48" s="22" t="s">
        <v>1551</v>
      </c>
      <c r="B48" s="22" t="s">
        <v>6732</v>
      </c>
      <c r="C48" s="22" t="s">
        <v>6733</v>
      </c>
      <c r="D48" s="22" t="s">
        <v>6669</v>
      </c>
    </row>
    <row r="49" customFormat="false" ht="15" hidden="false" customHeight="false" outlineLevel="0" collapsed="false">
      <c r="A49" s="4" t="n">
        <v>2024</v>
      </c>
      <c r="B49" s="4" t="n">
        <v>41</v>
      </c>
      <c r="C49" s="4" t="n">
        <v>22</v>
      </c>
      <c r="D49" s="4" t="n">
        <v>37</v>
      </c>
    </row>
    <row r="50" customFormat="false" ht="15" hidden="false" customHeight="false" outlineLevel="0" collapsed="false">
      <c r="A50" s="4" t="n">
        <v>2025</v>
      </c>
      <c r="B50" s="4" t="n">
        <v>44</v>
      </c>
      <c r="C50" s="4" t="n">
        <v>22</v>
      </c>
      <c r="D50" s="4" t="n">
        <v>34</v>
      </c>
    </row>
    <row r="51" customFormat="false" ht="15" hidden="false" customHeight="false" outlineLevel="0" collapsed="false">
      <c r="A51" s="4" t="n">
        <v>2026</v>
      </c>
      <c r="B51" s="4" t="n">
        <v>48</v>
      </c>
      <c r="C51" s="4" t="n">
        <v>20</v>
      </c>
      <c r="D51" s="4" t="n">
        <v>32</v>
      </c>
    </row>
    <row r="52" customFormat="false" ht="15" hidden="false" customHeight="false" outlineLevel="0" collapsed="false">
      <c r="A52" s="4" t="s">
        <v>6734</v>
      </c>
      <c r="B52" s="4" t="n">
        <v>67</v>
      </c>
      <c r="C52" s="4" t="n">
        <v>14</v>
      </c>
      <c r="D52" s="4" t="n">
        <v>19</v>
      </c>
    </row>
    <row r="55" customFormat="false" ht="15" hidden="false" customHeight="false" outlineLevel="0" collapsed="false">
      <c r="A55" s="17" t="s">
        <v>6735</v>
      </c>
      <c r="B55" s="18"/>
      <c r="C55" s="18"/>
    </row>
    <row r="56" customFormat="false" ht="15" hidden="false" customHeight="false" outlineLevel="0" collapsed="false">
      <c r="A56" s="19" t="s">
        <v>6736</v>
      </c>
    </row>
    <row r="57" customFormat="false" ht="15" hidden="false" customHeight="false" outlineLevel="0" collapsed="false">
      <c r="A57" s="19" t="s">
        <v>6737</v>
      </c>
    </row>
    <row r="58" customFormat="false" ht="15" hidden="false" customHeight="false" outlineLevel="0" collapsed="false">
      <c r="A58" s="23" t="s">
        <v>1246</v>
      </c>
    </row>
    <row r="59" customFormat="false" ht="15" hidden="false" customHeight="false" outlineLevel="0" collapsed="false">
      <c r="A59" s="21" t="s">
        <v>6646</v>
      </c>
    </row>
    <row r="60" customFormat="false" ht="15" hidden="false" customHeight="false" outlineLevel="0" collapsed="false">
      <c r="A60" s="21" t="s">
        <v>6647</v>
      </c>
    </row>
    <row r="61" customFormat="false" ht="15" hidden="false" customHeight="false" outlineLevel="0" collapsed="false">
      <c r="A61" s="22" t="s">
        <v>2066</v>
      </c>
      <c r="B61" s="22" t="s">
        <v>1390</v>
      </c>
      <c r="C61" s="22" t="s">
        <v>6738</v>
      </c>
    </row>
    <row r="62" customFormat="false" ht="15" hidden="false" customHeight="false" outlineLevel="0" collapsed="false">
      <c r="A62" s="4" t="s">
        <v>3371</v>
      </c>
      <c r="B62" s="4" t="n">
        <v>890</v>
      </c>
      <c r="C62" s="4" t="n">
        <v>1726</v>
      </c>
    </row>
    <row r="63" customFormat="false" ht="15" hidden="false" customHeight="false" outlineLevel="0" collapsed="false">
      <c r="A63" s="4" t="s">
        <v>1406</v>
      </c>
      <c r="B63" s="4" t="n">
        <v>151</v>
      </c>
      <c r="C63" s="4" t="n">
        <v>710</v>
      </c>
    </row>
    <row r="64" customFormat="false" ht="15" hidden="false" customHeight="false" outlineLevel="0" collapsed="false">
      <c r="A64" s="4" t="s">
        <v>2132</v>
      </c>
      <c r="B64" s="4" t="n">
        <v>183</v>
      </c>
      <c r="C64" s="4" t="n">
        <v>387</v>
      </c>
    </row>
    <row r="65" customFormat="false" ht="15" hidden="false" customHeight="false" outlineLevel="0" collapsed="false">
      <c r="A65" s="4" t="s">
        <v>1397</v>
      </c>
      <c r="B65" s="4" t="n">
        <v>214</v>
      </c>
      <c r="C65" s="4" t="n">
        <v>368</v>
      </c>
    </row>
    <row r="66" customFormat="false" ht="15" hidden="false" customHeight="false" outlineLevel="0" collapsed="false">
      <c r="A66" s="4" t="s">
        <v>1409</v>
      </c>
      <c r="B66" s="4" t="n">
        <v>133</v>
      </c>
      <c r="C66" s="4" t="n">
        <v>258</v>
      </c>
    </row>
    <row r="67" customFormat="false" ht="15" hidden="false" customHeight="false" outlineLevel="0" collapsed="false">
      <c r="A67" s="4" t="s">
        <v>1403</v>
      </c>
      <c r="B67" s="4" t="n">
        <v>162</v>
      </c>
      <c r="C67" s="4" t="n">
        <v>100</v>
      </c>
    </row>
    <row r="68" customFormat="false" ht="15" hidden="false" customHeight="false" outlineLevel="0" collapsed="false">
      <c r="A68" s="4" t="s">
        <v>1412</v>
      </c>
      <c r="B68" s="4" t="n">
        <v>22</v>
      </c>
      <c r="C68" s="4" t="n">
        <v>84</v>
      </c>
    </row>
    <row r="69" customFormat="false" ht="15" hidden="false" customHeight="false" outlineLevel="0" collapsed="false">
      <c r="A69" s="4" t="s">
        <v>6739</v>
      </c>
      <c r="B69" s="4" t="n">
        <v>1789</v>
      </c>
      <c r="C69" s="4" t="n">
        <v>3860</v>
      </c>
    </row>
    <row r="72" customFormat="false" ht="15" hidden="false" customHeight="false" outlineLevel="0" collapsed="false">
      <c r="A72" s="17" t="s">
        <v>6740</v>
      </c>
      <c r="B72" s="18"/>
    </row>
    <row r="73" customFormat="false" ht="15" hidden="false" customHeight="false" outlineLevel="0" collapsed="false">
      <c r="A73" s="19" t="s">
        <v>6741</v>
      </c>
    </row>
    <row r="74" customFormat="false" ht="15" hidden="false" customHeight="false" outlineLevel="0" collapsed="false">
      <c r="A74" s="19" t="s">
        <v>6742</v>
      </c>
    </row>
    <row r="75" customFormat="false" ht="15" hidden="false" customHeight="false" outlineLevel="0" collapsed="false">
      <c r="A75" s="23" t="s">
        <v>1246</v>
      </c>
    </row>
    <row r="76" customFormat="false" ht="15" hidden="false" customHeight="false" outlineLevel="0" collapsed="false">
      <c r="A76" s="21" t="s">
        <v>6743</v>
      </c>
    </row>
    <row r="77" customFormat="false" ht="15" hidden="false" customHeight="false" outlineLevel="0" collapsed="false">
      <c r="A77" s="21" t="s">
        <v>6647</v>
      </c>
    </row>
    <row r="78" customFormat="false" ht="15" hidden="false" customHeight="false" outlineLevel="0" collapsed="false">
      <c r="A78" s="22" t="s">
        <v>1551</v>
      </c>
      <c r="B78" s="22" t="s">
        <v>6744</v>
      </c>
    </row>
    <row r="79" customFormat="false" ht="15" hidden="false" customHeight="false" outlineLevel="0" collapsed="false">
      <c r="A79" s="4" t="n">
        <v>2024</v>
      </c>
      <c r="B79" s="4" t="n">
        <v>415</v>
      </c>
    </row>
    <row r="80" customFormat="false" ht="15" hidden="false" customHeight="false" outlineLevel="0" collapsed="false">
      <c r="A80" s="4" t="n">
        <v>2030</v>
      </c>
      <c r="B80" s="4" t="n">
        <v>945</v>
      </c>
    </row>
    <row r="81" customFormat="false" ht="15" hidden="false" customHeight="false" outlineLevel="0" collapsed="false">
      <c r="A81" s="4" t="n">
        <v>2035</v>
      </c>
      <c r="B81" s="4" t="n">
        <v>1200</v>
      </c>
    </row>
    <row r="84" customFormat="false" ht="15" hidden="false" customHeight="false" outlineLevel="0" collapsed="false">
      <c r="A84" s="17" t="s">
        <v>6745</v>
      </c>
      <c r="B84" s="18"/>
      <c r="C84" s="18"/>
      <c r="D84" s="18"/>
      <c r="E84" s="18"/>
    </row>
    <row r="85" customFormat="false" ht="15" hidden="false" customHeight="false" outlineLevel="0" collapsed="false">
      <c r="A85" s="19" t="s">
        <v>6746</v>
      </c>
    </row>
    <row r="86" customFormat="false" ht="15" hidden="false" customHeight="false" outlineLevel="0" collapsed="false">
      <c r="A86" s="25" t="s">
        <v>2043</v>
      </c>
    </row>
    <row r="87" customFormat="false" ht="15" hidden="false" customHeight="false" outlineLevel="0" collapsed="false">
      <c r="A87" s="21" t="s">
        <v>6743</v>
      </c>
    </row>
    <row r="88" customFormat="false" ht="15" hidden="false" customHeight="false" outlineLevel="0" collapsed="false">
      <c r="A88" s="21" t="s">
        <v>6647</v>
      </c>
    </row>
    <row r="89" customFormat="false" ht="15" hidden="false" customHeight="false" outlineLevel="0" collapsed="false">
      <c r="A89" s="22" t="s">
        <v>6747</v>
      </c>
      <c r="B89" s="22" t="s">
        <v>6748</v>
      </c>
      <c r="C89" s="22" t="s">
        <v>1603</v>
      </c>
      <c r="D89" s="22" t="s">
        <v>6749</v>
      </c>
      <c r="E89" s="22" t="s">
        <v>6750</v>
      </c>
    </row>
    <row r="90" customFormat="false" ht="15" hidden="false" customHeight="false" outlineLevel="0" collapsed="false">
      <c r="A90" s="4" t="s">
        <v>6751</v>
      </c>
      <c r="B90" s="4" t="n">
        <v>52</v>
      </c>
      <c r="C90" s="4" t="n">
        <v>35</v>
      </c>
      <c r="D90" s="4" t="n">
        <v>10</v>
      </c>
      <c r="E90" s="4" t="n">
        <v>3</v>
      </c>
    </row>
    <row r="91" customFormat="false" ht="15" hidden="false" customHeight="false" outlineLevel="0" collapsed="false">
      <c r="A91" s="4" t="s">
        <v>6752</v>
      </c>
      <c r="B91" s="4" t="n">
        <v>64</v>
      </c>
      <c r="C91" s="4" t="n">
        <v>27</v>
      </c>
      <c r="D91" s="4" t="n">
        <v>7</v>
      </c>
      <c r="E91" s="4" t="n">
        <v>2</v>
      </c>
    </row>
    <row r="92" customFormat="false" ht="15" hidden="false" customHeight="false" outlineLevel="0" collapsed="false">
      <c r="A92" s="4" t="s">
        <v>6753</v>
      </c>
      <c r="B92" s="4" t="n">
        <v>88</v>
      </c>
      <c r="C92" s="4" t="n">
        <v>7.5</v>
      </c>
      <c r="D92" s="4" t="n">
        <v>3.5</v>
      </c>
      <c r="E92" s="4" t="n">
        <v>1</v>
      </c>
    </row>
    <row r="93" customFormat="false" ht="15" hidden="false" customHeight="false" outlineLevel="0" collapsed="false">
      <c r="A93" s="4" t="s">
        <v>6754</v>
      </c>
      <c r="B93" s="4" t="n">
        <v>84</v>
      </c>
      <c r="C93" s="4" t="n">
        <v>11</v>
      </c>
      <c r="D93" s="4" t="n">
        <v>4.5</v>
      </c>
      <c r="E93" s="4" t="n">
        <v>0.5</v>
      </c>
    </row>
    <row r="96" customFormat="false" ht="15" hidden="false" customHeight="false" outlineLevel="0" collapsed="false">
      <c r="A96" s="17" t="s">
        <v>6755</v>
      </c>
      <c r="B96" s="18"/>
    </row>
    <row r="97" customFormat="false" ht="15" hidden="false" customHeight="false" outlineLevel="0" collapsed="false">
      <c r="A97" s="19" t="s">
        <v>6756</v>
      </c>
    </row>
    <row r="98" customFormat="false" ht="15" hidden="false" customHeight="false" outlineLevel="0" collapsed="false">
      <c r="A98" s="25" t="s">
        <v>2043</v>
      </c>
    </row>
    <row r="99" customFormat="false" ht="15" hidden="false" customHeight="false" outlineLevel="0" collapsed="false">
      <c r="A99" s="21" t="s">
        <v>6743</v>
      </c>
    </row>
    <row r="100" customFormat="false" ht="15" hidden="false" customHeight="false" outlineLevel="0" collapsed="false">
      <c r="A100" s="21" t="s">
        <v>6647</v>
      </c>
    </row>
    <row r="101" customFormat="false" ht="15" hidden="false" customHeight="false" outlineLevel="0" collapsed="false">
      <c r="A101" s="22" t="s">
        <v>6757</v>
      </c>
      <c r="B101" s="22" t="s">
        <v>1818</v>
      </c>
    </row>
    <row r="102" customFormat="false" ht="15" hidden="false" customHeight="false" outlineLevel="0" collapsed="false">
      <c r="A102" s="4" t="s">
        <v>6758</v>
      </c>
      <c r="B102" s="4" t="n">
        <v>8</v>
      </c>
    </row>
    <row r="103" customFormat="false" ht="15" hidden="false" customHeight="false" outlineLevel="0" collapsed="false">
      <c r="A103" s="4" t="s">
        <v>6759</v>
      </c>
      <c r="B103" s="4" t="n">
        <v>20</v>
      </c>
    </row>
    <row r="104" customFormat="false" ht="15" hidden="false" customHeight="false" outlineLevel="0" collapsed="false">
      <c r="A104" s="4" t="s">
        <v>6760</v>
      </c>
      <c r="B104" s="4" t="n">
        <v>60</v>
      </c>
    </row>
    <row r="105" customFormat="false" ht="15" hidden="false" customHeight="false" outlineLevel="0" collapsed="false">
      <c r="A105" s="4" t="s">
        <v>6761</v>
      </c>
      <c r="B105" s="4" t="n">
        <v>132</v>
      </c>
    </row>
    <row r="106" customFormat="false" ht="15" hidden="false" customHeight="false" outlineLevel="0" collapsed="false">
      <c r="A106" s="4" t="s">
        <v>6762</v>
      </c>
      <c r="B106" s="4" t="n">
        <v>210</v>
      </c>
    </row>
    <row r="107" customFormat="false" ht="15" hidden="false" customHeight="false" outlineLevel="0" collapsed="false">
      <c r="A107" s="4" t="s">
        <v>6763</v>
      </c>
      <c r="B107" s="4" t="n">
        <v>600</v>
      </c>
    </row>
    <row r="110" customFormat="false" ht="15" hidden="false" customHeight="false" outlineLevel="0" collapsed="false">
      <c r="A110" s="17" t="s">
        <v>6764</v>
      </c>
      <c r="B110" s="18"/>
    </row>
    <row r="111" customFormat="false" ht="15" hidden="false" customHeight="false" outlineLevel="0" collapsed="false">
      <c r="A111" s="19" t="s">
        <v>6765</v>
      </c>
    </row>
    <row r="112" customFormat="false" ht="15" hidden="false" customHeight="false" outlineLevel="0" collapsed="false">
      <c r="A112" s="25" t="s">
        <v>2043</v>
      </c>
    </row>
    <row r="113" customFormat="false" ht="15" hidden="false" customHeight="false" outlineLevel="0" collapsed="false">
      <c r="A113" s="21" t="s">
        <v>6743</v>
      </c>
    </row>
    <row r="114" customFormat="false" ht="15" hidden="false" customHeight="false" outlineLevel="0" collapsed="false">
      <c r="A114" s="21" t="s">
        <v>6647</v>
      </c>
    </row>
    <row r="115" customFormat="false" ht="15" hidden="false" customHeight="false" outlineLevel="0" collapsed="false">
      <c r="A115" s="22" t="s">
        <v>5291</v>
      </c>
      <c r="B115" s="22" t="s">
        <v>6766</v>
      </c>
    </row>
    <row r="116" customFormat="false" ht="15" hidden="false" customHeight="false" outlineLevel="0" collapsed="false">
      <c r="A116" s="4" t="s">
        <v>6767</v>
      </c>
      <c r="B116" s="4" t="s">
        <v>6768</v>
      </c>
    </row>
    <row r="117" customFormat="false" ht="15" hidden="false" customHeight="false" outlineLevel="0" collapsed="false">
      <c r="A117" s="4" t="s">
        <v>6769</v>
      </c>
      <c r="B117" s="4" t="s">
        <v>6770</v>
      </c>
    </row>
    <row r="118" customFormat="false" ht="15" hidden="false" customHeight="false" outlineLevel="0" collapsed="false">
      <c r="A118" s="4" t="s">
        <v>6771</v>
      </c>
      <c r="B118" s="4" t="s">
        <v>1483</v>
      </c>
    </row>
    <row r="119" customFormat="false" ht="15" hidden="false" customHeight="false" outlineLevel="0" collapsed="false">
      <c r="A119" s="4" t="s">
        <v>6772</v>
      </c>
      <c r="B119" s="4" t="s">
        <v>6773</v>
      </c>
    </row>
    <row r="122" customFormat="false" ht="15" hidden="false" customHeight="false" outlineLevel="0" collapsed="false">
      <c r="A122" s="17" t="s">
        <v>6774</v>
      </c>
      <c r="B122" s="18"/>
      <c r="C122" s="18"/>
    </row>
    <row r="123" customFormat="false" ht="15" hidden="false" customHeight="false" outlineLevel="0" collapsed="false">
      <c r="A123" s="19" t="s">
        <v>6775</v>
      </c>
    </row>
    <row r="124" customFormat="false" ht="15" hidden="false" customHeight="false" outlineLevel="0" collapsed="false">
      <c r="A124" s="23" t="s">
        <v>1246</v>
      </c>
    </row>
    <row r="125" customFormat="false" ht="15" hidden="false" customHeight="false" outlineLevel="0" collapsed="false">
      <c r="A125" s="21" t="s">
        <v>6743</v>
      </c>
    </row>
    <row r="126" customFormat="false" ht="15" hidden="false" customHeight="false" outlineLevel="0" collapsed="false">
      <c r="A126" s="21" t="s">
        <v>6647</v>
      </c>
    </row>
    <row r="127" customFormat="false" ht="15" hidden="false" customHeight="false" outlineLevel="0" collapsed="false">
      <c r="A127" s="22" t="s">
        <v>1567</v>
      </c>
      <c r="B127" s="22" t="s">
        <v>1568</v>
      </c>
      <c r="C127" s="22" t="s">
        <v>8</v>
      </c>
    </row>
    <row r="128" customFormat="false" ht="15" hidden="false" customHeight="false" outlineLevel="0" collapsed="false">
      <c r="A128" s="4" t="s">
        <v>1570</v>
      </c>
      <c r="B128" s="4" t="s">
        <v>6776</v>
      </c>
      <c r="C128" s="4" t="s">
        <v>6777</v>
      </c>
    </row>
    <row r="129" customFormat="false" ht="15" hidden="false" customHeight="false" outlineLevel="0" collapsed="false">
      <c r="A129" s="4" t="s">
        <v>6778</v>
      </c>
      <c r="B129" s="4" t="s">
        <v>5937</v>
      </c>
      <c r="C129" s="4" t="s">
        <v>6779</v>
      </c>
    </row>
    <row r="130" customFormat="false" ht="15" hidden="false" customHeight="false" outlineLevel="0" collapsed="false">
      <c r="A130" s="4" t="s">
        <v>1576</v>
      </c>
      <c r="B130" s="4" t="s">
        <v>6780</v>
      </c>
      <c r="C130" s="4" t="s">
        <v>6781</v>
      </c>
    </row>
    <row r="131" customFormat="false" ht="15" hidden="false" customHeight="false" outlineLevel="0" collapsed="false">
      <c r="A131" s="4" t="s">
        <v>6782</v>
      </c>
      <c r="B131" s="4" t="s">
        <v>6776</v>
      </c>
      <c r="C131" s="4" t="s">
        <v>1583</v>
      </c>
    </row>
    <row r="132" customFormat="false" ht="15" hidden="false" customHeight="false" outlineLevel="0" collapsed="false">
      <c r="A132" s="4" t="s">
        <v>6783</v>
      </c>
      <c r="B132" s="4" t="s">
        <v>6784</v>
      </c>
      <c r="C132" s="4" t="s">
        <v>1583</v>
      </c>
    </row>
    <row r="133" customFormat="false" ht="15" hidden="false" customHeight="false" outlineLevel="0" collapsed="false">
      <c r="A133" s="4" t="s">
        <v>6785</v>
      </c>
      <c r="B133" s="4" t="s">
        <v>6786</v>
      </c>
      <c r="C133" s="4" t="s">
        <v>6787</v>
      </c>
    </row>
    <row r="134" customFormat="false" ht="15" hidden="false" customHeight="false" outlineLevel="0" collapsed="false">
      <c r="A134" s="4" t="s">
        <v>6788</v>
      </c>
      <c r="B134" s="4" t="s">
        <v>6789</v>
      </c>
      <c r="C134" s="4" t="s">
        <v>6790</v>
      </c>
    </row>
    <row r="137" customFormat="false" ht="15" hidden="false" customHeight="false" outlineLevel="0" collapsed="false">
      <c r="A137" s="17" t="s">
        <v>6791</v>
      </c>
      <c r="B137" s="18"/>
      <c r="C137" s="18"/>
    </row>
    <row r="138" customFormat="false" ht="15" hidden="false" customHeight="false" outlineLevel="0" collapsed="false">
      <c r="A138" s="19" t="s">
        <v>6775</v>
      </c>
    </row>
    <row r="139" customFormat="false" ht="15" hidden="false" customHeight="false" outlineLevel="0" collapsed="false">
      <c r="A139" s="23" t="s">
        <v>1246</v>
      </c>
    </row>
    <row r="140" customFormat="false" ht="15" hidden="false" customHeight="false" outlineLevel="0" collapsed="false">
      <c r="A140" s="21" t="s">
        <v>6743</v>
      </c>
    </row>
    <row r="141" customFormat="false" ht="15" hidden="false" customHeight="false" outlineLevel="0" collapsed="false">
      <c r="A141" s="21" t="s">
        <v>6647</v>
      </c>
    </row>
    <row r="142" customFormat="false" ht="15" hidden="false" customHeight="false" outlineLevel="0" collapsed="false">
      <c r="A142" s="22" t="s">
        <v>1591</v>
      </c>
      <c r="B142" s="22" t="s">
        <v>6792</v>
      </c>
      <c r="C142" s="22" t="s">
        <v>6793</v>
      </c>
    </row>
    <row r="143" customFormat="false" ht="23.85" hidden="false" customHeight="false" outlineLevel="0" collapsed="false">
      <c r="A143" s="4" t="s">
        <v>1600</v>
      </c>
      <c r="B143" s="4" t="s">
        <v>6794</v>
      </c>
      <c r="C143" s="4" t="s">
        <v>6795</v>
      </c>
    </row>
    <row r="144" customFormat="false" ht="15" hidden="false" customHeight="false" outlineLevel="0" collapsed="false">
      <c r="A144" s="4" t="s">
        <v>1603</v>
      </c>
      <c r="B144" s="4" t="s">
        <v>6796</v>
      </c>
      <c r="C144" s="4" t="s">
        <v>6797</v>
      </c>
    </row>
    <row r="145" customFormat="false" ht="23.85" hidden="false" customHeight="false" outlineLevel="0" collapsed="false">
      <c r="A145" s="4" t="s">
        <v>1643</v>
      </c>
      <c r="B145" s="4" t="s">
        <v>6798</v>
      </c>
      <c r="C145" s="4" t="s">
        <v>6799</v>
      </c>
    </row>
    <row r="146" customFormat="false" ht="15" hidden="false" customHeight="false" outlineLevel="0" collapsed="false">
      <c r="A146" s="4" t="s">
        <v>1609</v>
      </c>
      <c r="B146" s="4" t="s">
        <v>6800</v>
      </c>
      <c r="C146" s="4" t="s">
        <v>6801</v>
      </c>
    </row>
    <row r="147" customFormat="false" ht="23.85" hidden="false" customHeight="false" outlineLevel="0" collapsed="false">
      <c r="A147" s="4" t="s">
        <v>6802</v>
      </c>
      <c r="B147" s="4" t="s">
        <v>6803</v>
      </c>
      <c r="C147" s="4" t="s">
        <v>6804</v>
      </c>
    </row>
    <row r="148" customFormat="false" ht="15" hidden="false" customHeight="false" outlineLevel="0" collapsed="false">
      <c r="A148" s="4" t="s">
        <v>1615</v>
      </c>
      <c r="B148" s="4" t="s">
        <v>6805</v>
      </c>
      <c r="C148" s="4" t="s">
        <v>6806</v>
      </c>
    </row>
    <row r="149" customFormat="false" ht="15" hidden="false" customHeight="false" outlineLevel="0" collapsed="false">
      <c r="A149" s="4" t="s">
        <v>4258</v>
      </c>
      <c r="B149" s="4" t="s">
        <v>6807</v>
      </c>
      <c r="C149" s="4" t="s">
        <v>6808</v>
      </c>
    </row>
    <row r="150" customFormat="false" ht="15" hidden="false" customHeight="false" outlineLevel="0" collapsed="false">
      <c r="A150" s="4" t="s">
        <v>1621</v>
      </c>
      <c r="B150" s="4" t="s">
        <v>6809</v>
      </c>
      <c r="C150" s="4" t="s">
        <v>6810</v>
      </c>
    </row>
    <row r="151" customFormat="false" ht="15" hidden="false" customHeight="false" outlineLevel="0" collapsed="false">
      <c r="A151" s="4" t="s">
        <v>1633</v>
      </c>
      <c r="B151" s="4" t="s">
        <v>6811</v>
      </c>
      <c r="C151" s="4" t="s">
        <v>6812</v>
      </c>
    </row>
    <row r="154" customFormat="false" ht="15" hidden="false" customHeight="false" outlineLevel="0" collapsed="false">
      <c r="A154" s="17" t="s">
        <v>6813</v>
      </c>
      <c r="B154" s="18"/>
      <c r="C154" s="18"/>
    </row>
    <row r="155" customFormat="false" ht="15" hidden="false" customHeight="false" outlineLevel="0" collapsed="false">
      <c r="A155" s="19" t="s">
        <v>6775</v>
      </c>
    </row>
    <row r="156" customFormat="false" ht="15" hidden="false" customHeight="false" outlineLevel="0" collapsed="false">
      <c r="A156" s="24" t="s">
        <v>1459</v>
      </c>
    </row>
    <row r="157" customFormat="false" ht="15" hidden="false" customHeight="false" outlineLevel="0" collapsed="false">
      <c r="A157" s="21" t="s">
        <v>6743</v>
      </c>
    </row>
    <row r="158" customFormat="false" ht="15" hidden="false" customHeight="false" outlineLevel="0" collapsed="false">
      <c r="A158" s="21" t="s">
        <v>6647</v>
      </c>
    </row>
    <row r="159" customFormat="false" ht="15" hidden="false" customHeight="false" outlineLevel="0" collapsed="false">
      <c r="A159" s="22" t="s">
        <v>1591</v>
      </c>
      <c r="B159" s="22" t="s">
        <v>6814</v>
      </c>
      <c r="C159" s="22" t="s">
        <v>6815</v>
      </c>
    </row>
    <row r="160" customFormat="false" ht="15" hidden="false" customHeight="false" outlineLevel="0" collapsed="false">
      <c r="A160" s="4" t="s">
        <v>1674</v>
      </c>
      <c r="B160" s="4" t="s">
        <v>1675</v>
      </c>
      <c r="C160" s="4" t="s">
        <v>6816</v>
      </c>
    </row>
    <row r="161" customFormat="false" ht="15" hidden="false" customHeight="false" outlineLevel="0" collapsed="false">
      <c r="A161" s="4" t="s">
        <v>1677</v>
      </c>
      <c r="B161" s="4" t="s">
        <v>6817</v>
      </c>
      <c r="C161" s="4" t="s">
        <v>1679</v>
      </c>
    </row>
    <row r="162" customFormat="false" ht="15" hidden="false" customHeight="false" outlineLevel="0" collapsed="false">
      <c r="A162" s="4" t="s">
        <v>1680</v>
      </c>
      <c r="B162" s="4" t="s">
        <v>6818</v>
      </c>
      <c r="C162" s="4" t="s">
        <v>6819</v>
      </c>
    </row>
    <row r="163" customFormat="false" ht="15" hidden="false" customHeight="false" outlineLevel="0" collapsed="false">
      <c r="A163" s="4" t="s">
        <v>1250</v>
      </c>
      <c r="B163" s="4" t="s">
        <v>1683</v>
      </c>
      <c r="C163" s="4" t="s">
        <v>6820</v>
      </c>
    </row>
    <row r="164" customFormat="false" ht="15" hidden="false" customHeight="false" outlineLevel="0" collapsed="false">
      <c r="A164" s="4" t="s">
        <v>1688</v>
      </c>
      <c r="B164" s="4" t="s">
        <v>1689</v>
      </c>
      <c r="C164" s="4" t="s">
        <v>6821</v>
      </c>
    </row>
    <row r="167" customFormat="false" ht="15" hidden="false" customHeight="false" outlineLevel="0" collapsed="false">
      <c r="A167" s="17" t="s">
        <v>6822</v>
      </c>
      <c r="B167" s="18"/>
    </row>
    <row r="168" customFormat="false" ht="15" hidden="false" customHeight="false" outlineLevel="0" collapsed="false">
      <c r="A168" s="19" t="s">
        <v>6823</v>
      </c>
    </row>
    <row r="169" customFormat="false" ht="15" hidden="false" customHeight="false" outlineLevel="0" collapsed="false">
      <c r="A169" s="23" t="s">
        <v>1246</v>
      </c>
    </row>
    <row r="170" customFormat="false" ht="15" hidden="false" customHeight="false" outlineLevel="0" collapsed="false">
      <c r="A170" s="21" t="s">
        <v>6824</v>
      </c>
    </row>
    <row r="171" customFormat="false" ht="15" hidden="false" customHeight="false" outlineLevel="0" collapsed="false">
      <c r="A171" s="21" t="s">
        <v>6647</v>
      </c>
    </row>
    <row r="172" customFormat="false" ht="15" hidden="false" customHeight="false" outlineLevel="0" collapsed="false">
      <c r="A172" s="22" t="s">
        <v>1724</v>
      </c>
      <c r="B172" s="22" t="s">
        <v>6825</v>
      </c>
    </row>
    <row r="173" customFormat="false" ht="15" hidden="false" customHeight="false" outlineLevel="0" collapsed="false">
      <c r="A173" s="4" t="s">
        <v>1729</v>
      </c>
      <c r="B173" s="4" t="n">
        <v>1.2</v>
      </c>
    </row>
    <row r="174" customFormat="false" ht="15" hidden="false" customHeight="false" outlineLevel="0" collapsed="false">
      <c r="A174" s="4" t="s">
        <v>6826</v>
      </c>
      <c r="B174" s="4" t="n">
        <v>1750</v>
      </c>
    </row>
    <row r="175" customFormat="false" ht="15" hidden="false" customHeight="false" outlineLevel="0" collapsed="false">
      <c r="A175" s="4" t="s">
        <v>6827</v>
      </c>
      <c r="B175" s="4" t="n">
        <v>1850</v>
      </c>
    </row>
    <row r="176" customFormat="false" ht="15" hidden="false" customHeight="false" outlineLevel="0" collapsed="false">
      <c r="A176" s="4" t="s">
        <v>6828</v>
      </c>
      <c r="B176" s="4" t="n">
        <v>4000</v>
      </c>
    </row>
    <row r="177" customFormat="false" ht="15" hidden="false" customHeight="false" outlineLevel="0" collapsed="false">
      <c r="A177" s="4" t="s">
        <v>1630</v>
      </c>
      <c r="B177" s="4" t="n">
        <v>4180</v>
      </c>
    </row>
    <row r="180" customFormat="false" ht="15" hidden="false" customHeight="false" outlineLevel="0" collapsed="false">
      <c r="A180" s="17" t="s">
        <v>6829</v>
      </c>
      <c r="B180" s="18"/>
      <c r="C180" s="18"/>
      <c r="D180" s="18"/>
    </row>
    <row r="181" customFormat="false" ht="15" hidden="false" customHeight="false" outlineLevel="0" collapsed="false">
      <c r="A181" s="19" t="s">
        <v>6830</v>
      </c>
    </row>
    <row r="182" customFormat="false" ht="15" hidden="false" customHeight="false" outlineLevel="0" collapsed="false">
      <c r="A182" s="23" t="s">
        <v>1246</v>
      </c>
    </row>
    <row r="183" customFormat="false" ht="15" hidden="false" customHeight="false" outlineLevel="0" collapsed="false">
      <c r="A183" s="21" t="s">
        <v>6824</v>
      </c>
    </row>
    <row r="184" customFormat="false" ht="15" hidden="false" customHeight="false" outlineLevel="0" collapsed="false">
      <c r="A184" s="21" t="s">
        <v>6647</v>
      </c>
    </row>
    <row r="185" customFormat="false" ht="15" hidden="false" customHeight="false" outlineLevel="0" collapsed="false">
      <c r="A185" s="22" t="s">
        <v>6831</v>
      </c>
      <c r="B185" s="22" t="s">
        <v>6832</v>
      </c>
      <c r="C185" s="22" t="s">
        <v>1568</v>
      </c>
      <c r="D185" s="22" t="s">
        <v>6833</v>
      </c>
    </row>
    <row r="186" customFormat="false" ht="15" hidden="false" customHeight="false" outlineLevel="0" collapsed="false">
      <c r="A186" s="4" t="s">
        <v>2013</v>
      </c>
      <c r="B186" s="4" t="s">
        <v>6834</v>
      </c>
      <c r="C186" s="4" t="s">
        <v>6835</v>
      </c>
      <c r="D186" s="4" t="s">
        <v>6836</v>
      </c>
    </row>
    <row r="187" customFormat="false" ht="15" hidden="false" customHeight="false" outlineLevel="0" collapsed="false">
      <c r="A187" s="4" t="s">
        <v>2021</v>
      </c>
      <c r="B187" s="4" t="s">
        <v>6837</v>
      </c>
      <c r="C187" s="4" t="s">
        <v>1296</v>
      </c>
      <c r="D187" s="4" t="s">
        <v>6838</v>
      </c>
    </row>
    <row r="188" customFormat="false" ht="15" hidden="false" customHeight="false" outlineLevel="0" collapsed="false">
      <c r="A188" s="4" t="s">
        <v>2025</v>
      </c>
      <c r="B188" s="4" t="s">
        <v>6839</v>
      </c>
      <c r="C188" s="4" t="s">
        <v>6840</v>
      </c>
      <c r="D188" s="4" t="s">
        <v>6841</v>
      </c>
    </row>
    <row r="189" customFormat="false" ht="15" hidden="false" customHeight="false" outlineLevel="0" collapsed="false">
      <c r="A189" s="4" t="s">
        <v>2029</v>
      </c>
      <c r="B189" s="4" t="s">
        <v>2030</v>
      </c>
      <c r="C189" s="4" t="s">
        <v>6842</v>
      </c>
      <c r="D189" s="4" t="s">
        <v>6843</v>
      </c>
    </row>
    <row r="190" customFormat="false" ht="15" hidden="false" customHeight="false" outlineLevel="0" collapsed="false">
      <c r="A190" s="4" t="s">
        <v>2033</v>
      </c>
      <c r="B190" s="4" t="s">
        <v>6844</v>
      </c>
      <c r="C190" s="4" t="s">
        <v>6845</v>
      </c>
      <c r="D190" s="4" t="s">
        <v>6846</v>
      </c>
    </row>
    <row r="191" customFormat="false" ht="15" hidden="false" customHeight="false" outlineLevel="0" collapsed="false">
      <c r="A191" s="4" t="s">
        <v>6847</v>
      </c>
      <c r="B191" s="4" t="s">
        <v>6848</v>
      </c>
      <c r="C191" s="4" t="s">
        <v>6849</v>
      </c>
      <c r="D191" s="4" t="s">
        <v>6850</v>
      </c>
    </row>
    <row r="194" customFormat="false" ht="15" hidden="false" customHeight="false" outlineLevel="0" collapsed="false">
      <c r="A194" s="17" t="s">
        <v>6851</v>
      </c>
      <c r="B194" s="18"/>
      <c r="C194" s="18"/>
      <c r="D194" s="18"/>
      <c r="E194" s="18"/>
    </row>
    <row r="195" customFormat="false" ht="15" hidden="false" customHeight="false" outlineLevel="0" collapsed="false">
      <c r="A195" s="19" t="s">
        <v>6852</v>
      </c>
    </row>
    <row r="196" customFormat="false" ht="15" hidden="false" customHeight="false" outlineLevel="0" collapsed="false">
      <c r="A196" s="23" t="s">
        <v>1246</v>
      </c>
    </row>
    <row r="197" customFormat="false" ht="15" hidden="false" customHeight="false" outlineLevel="0" collapsed="false">
      <c r="A197" s="21" t="s">
        <v>6824</v>
      </c>
    </row>
    <row r="198" customFormat="false" ht="15" hidden="false" customHeight="false" outlineLevel="0" collapsed="false">
      <c r="A198" s="21" t="s">
        <v>6647</v>
      </c>
    </row>
    <row r="199" customFormat="false" ht="15" hidden="false" customHeight="false" outlineLevel="0" collapsed="false">
      <c r="A199" s="22" t="s">
        <v>1591</v>
      </c>
      <c r="B199" s="22" t="s">
        <v>6853</v>
      </c>
      <c r="C199" s="22" t="s">
        <v>6854</v>
      </c>
      <c r="D199" s="22" t="s">
        <v>6855</v>
      </c>
      <c r="E199" s="22" t="s">
        <v>6856</v>
      </c>
    </row>
    <row r="200" customFormat="false" ht="15" hidden="false" customHeight="false" outlineLevel="0" collapsed="false">
      <c r="A200" s="4" t="s">
        <v>1600</v>
      </c>
      <c r="B200" s="4" t="s">
        <v>6857</v>
      </c>
      <c r="C200" s="4" t="s">
        <v>1876</v>
      </c>
      <c r="D200" s="4" t="s">
        <v>6858</v>
      </c>
      <c r="E200" s="4" t="s">
        <v>6859</v>
      </c>
    </row>
    <row r="201" customFormat="false" ht="15" hidden="false" customHeight="false" outlineLevel="0" collapsed="false">
      <c r="A201" s="4" t="s">
        <v>1880</v>
      </c>
      <c r="B201" s="4" t="s">
        <v>1881</v>
      </c>
      <c r="C201" s="4" t="s">
        <v>1882</v>
      </c>
      <c r="D201" s="4" t="s">
        <v>1883</v>
      </c>
      <c r="E201" s="4" t="s">
        <v>1883</v>
      </c>
    </row>
    <row r="202" customFormat="false" ht="15" hidden="false" customHeight="false" outlineLevel="0" collapsed="false">
      <c r="A202" s="4" t="s">
        <v>6860</v>
      </c>
      <c r="B202" s="4" t="s">
        <v>1889</v>
      </c>
      <c r="C202" s="4" t="s">
        <v>1890</v>
      </c>
      <c r="D202" s="4" t="s">
        <v>1891</v>
      </c>
      <c r="E202" s="4" t="s">
        <v>1892</v>
      </c>
    </row>
    <row r="203" customFormat="false" ht="15" hidden="false" customHeight="false" outlineLevel="0" collapsed="false">
      <c r="A203" s="4" t="s">
        <v>1724</v>
      </c>
      <c r="B203" s="4" t="s">
        <v>6861</v>
      </c>
      <c r="C203" s="4" t="s">
        <v>6862</v>
      </c>
      <c r="D203" s="4" t="s">
        <v>6863</v>
      </c>
      <c r="E203" s="4" t="s">
        <v>6864</v>
      </c>
    </row>
    <row r="204" customFormat="false" ht="15" hidden="false" customHeight="false" outlineLevel="0" collapsed="false">
      <c r="A204" s="4" t="s">
        <v>6865</v>
      </c>
      <c r="B204" s="4" t="s">
        <v>6866</v>
      </c>
      <c r="C204" s="4" t="s">
        <v>6867</v>
      </c>
      <c r="D204" s="4" t="s">
        <v>6868</v>
      </c>
      <c r="E204" s="4" t="s">
        <v>6869</v>
      </c>
    </row>
    <row r="207" customFormat="false" ht="15" hidden="false" customHeight="false" outlineLevel="0" collapsed="false">
      <c r="A207" s="17" t="s">
        <v>6870</v>
      </c>
      <c r="B207" s="18"/>
    </row>
    <row r="208" customFormat="false" ht="15" hidden="false" customHeight="false" outlineLevel="0" collapsed="false">
      <c r="A208" s="19" t="s">
        <v>6871</v>
      </c>
    </row>
    <row r="209" customFormat="false" ht="15" hidden="false" customHeight="false" outlineLevel="0" collapsed="false">
      <c r="A209" s="19" t="s">
        <v>6872</v>
      </c>
    </row>
    <row r="210" customFormat="false" ht="15" hidden="false" customHeight="false" outlineLevel="0" collapsed="false">
      <c r="A210" s="23" t="s">
        <v>1246</v>
      </c>
    </row>
    <row r="211" customFormat="false" ht="15" hidden="false" customHeight="false" outlineLevel="0" collapsed="false">
      <c r="A211" s="21" t="s">
        <v>6824</v>
      </c>
    </row>
    <row r="212" customFormat="false" ht="15" hidden="false" customHeight="false" outlineLevel="0" collapsed="false">
      <c r="A212" s="21" t="s">
        <v>6647</v>
      </c>
    </row>
    <row r="213" customFormat="false" ht="15" hidden="false" customHeight="false" outlineLevel="0" collapsed="false">
      <c r="A213" s="22" t="s">
        <v>1551</v>
      </c>
      <c r="B213" s="22" t="s">
        <v>6873</v>
      </c>
    </row>
    <row r="214" customFormat="false" ht="15" hidden="false" customHeight="false" outlineLevel="0" collapsed="false">
      <c r="A214" s="4" t="n">
        <v>2024</v>
      </c>
      <c r="B214" s="4" t="n">
        <v>1.5</v>
      </c>
    </row>
    <row r="215" customFormat="false" ht="15" hidden="false" customHeight="false" outlineLevel="0" collapsed="false">
      <c r="A215" s="4" t="n">
        <v>2025</v>
      </c>
      <c r="B215" s="4" t="n">
        <v>3</v>
      </c>
    </row>
    <row r="216" customFormat="false" ht="15" hidden="false" customHeight="false" outlineLevel="0" collapsed="false">
      <c r="A216" s="4" t="s">
        <v>6874</v>
      </c>
      <c r="B216" s="4" t="n">
        <v>7</v>
      </c>
    </row>
    <row r="219" customFormat="false" ht="15" hidden="false" customHeight="false" outlineLevel="0" collapsed="false">
      <c r="A219" s="17" t="s">
        <v>6875</v>
      </c>
      <c r="B219" s="18"/>
    </row>
    <row r="220" customFormat="false" ht="15" hidden="false" customHeight="false" outlineLevel="0" collapsed="false">
      <c r="A220" s="19" t="s">
        <v>6876</v>
      </c>
    </row>
    <row r="221" customFormat="false" ht="15" hidden="false" customHeight="false" outlineLevel="0" collapsed="false">
      <c r="A221" s="23" t="s">
        <v>1246</v>
      </c>
    </row>
    <row r="222" customFormat="false" ht="15" hidden="false" customHeight="false" outlineLevel="0" collapsed="false">
      <c r="A222" s="21" t="s">
        <v>6824</v>
      </c>
    </row>
    <row r="223" customFormat="false" ht="15" hidden="false" customHeight="false" outlineLevel="0" collapsed="false">
      <c r="A223" s="21" t="s">
        <v>6647</v>
      </c>
    </row>
    <row r="224" customFormat="false" ht="15" hidden="false" customHeight="false" outlineLevel="0" collapsed="false">
      <c r="A224" s="22" t="s">
        <v>6877</v>
      </c>
      <c r="B224" s="22" t="s">
        <v>1319</v>
      </c>
    </row>
    <row r="225" customFormat="false" ht="15" hidden="false" customHeight="false" outlineLevel="0" collapsed="false">
      <c r="A225" s="4" t="s">
        <v>6878</v>
      </c>
      <c r="B225" s="4" t="s">
        <v>6879</v>
      </c>
    </row>
    <row r="226" customFormat="false" ht="15" hidden="false" customHeight="false" outlineLevel="0" collapsed="false">
      <c r="A226" s="4" t="s">
        <v>6880</v>
      </c>
      <c r="B226" s="4" t="s">
        <v>6881</v>
      </c>
    </row>
    <row r="227" customFormat="false" ht="15" hidden="false" customHeight="false" outlineLevel="0" collapsed="false">
      <c r="A227" s="4" t="s">
        <v>6882</v>
      </c>
      <c r="B227" s="4" t="s">
        <v>6883</v>
      </c>
    </row>
    <row r="228" customFormat="false" ht="15" hidden="false" customHeight="false" outlineLevel="0" collapsed="false">
      <c r="A228" s="4" t="s">
        <v>6884</v>
      </c>
      <c r="B228" s="4" t="s">
        <v>6885</v>
      </c>
    </row>
    <row r="229" customFormat="false" ht="15" hidden="false" customHeight="false" outlineLevel="0" collapsed="false">
      <c r="A229" s="4" t="s">
        <v>6886</v>
      </c>
      <c r="B229" s="4" t="s">
        <v>6887</v>
      </c>
    </row>
    <row r="232" customFormat="false" ht="15" hidden="false" customHeight="false" outlineLevel="0" collapsed="false">
      <c r="A232" s="17" t="s">
        <v>6888</v>
      </c>
      <c r="B232" s="18"/>
    </row>
    <row r="233" customFormat="false" ht="15" hidden="false" customHeight="false" outlineLevel="0" collapsed="false">
      <c r="A233" s="19" t="s">
        <v>6889</v>
      </c>
    </row>
    <row r="234" customFormat="false" ht="15" hidden="false" customHeight="false" outlineLevel="0" collapsed="false">
      <c r="A234" s="23" t="s">
        <v>1246</v>
      </c>
    </row>
    <row r="235" customFormat="false" ht="15" hidden="false" customHeight="false" outlineLevel="0" collapsed="false">
      <c r="A235" s="21" t="s">
        <v>6824</v>
      </c>
    </row>
    <row r="236" customFormat="false" ht="15" hidden="false" customHeight="false" outlineLevel="0" collapsed="false">
      <c r="A236" s="21" t="s">
        <v>6647</v>
      </c>
    </row>
    <row r="237" customFormat="false" ht="15" hidden="false" customHeight="false" outlineLevel="0" collapsed="false">
      <c r="A237" s="22" t="s">
        <v>6890</v>
      </c>
      <c r="B237" s="22" t="s">
        <v>6891</v>
      </c>
    </row>
    <row r="238" customFormat="false" ht="15" hidden="false" customHeight="false" outlineLevel="0" collapsed="false">
      <c r="A238" s="4" t="s">
        <v>6892</v>
      </c>
      <c r="B238" s="4" t="s">
        <v>6893</v>
      </c>
    </row>
    <row r="239" customFormat="false" ht="15" hidden="false" customHeight="false" outlineLevel="0" collapsed="false">
      <c r="A239" s="4" t="s">
        <v>6894</v>
      </c>
      <c r="B239" s="4" t="s">
        <v>6895</v>
      </c>
    </row>
    <row r="240" customFormat="false" ht="15" hidden="false" customHeight="false" outlineLevel="0" collapsed="false">
      <c r="A240" s="4" t="s">
        <v>6896</v>
      </c>
      <c r="B240" s="4" t="n">
        <v>2032</v>
      </c>
    </row>
    <row r="241" customFormat="false" ht="15" hidden="false" customHeight="false" outlineLevel="0" collapsed="false">
      <c r="A241" s="4" t="s">
        <v>6897</v>
      </c>
      <c r="B241" s="4" t="n">
        <v>2037</v>
      </c>
    </row>
    <row r="242" customFormat="false" ht="15" hidden="false" customHeight="false" outlineLevel="0" collapsed="false">
      <c r="A242" s="4" t="s">
        <v>6898</v>
      </c>
      <c r="B242" s="4" t="n">
        <v>2042</v>
      </c>
    </row>
    <row r="243" customFormat="false" ht="15" hidden="false" customHeight="false" outlineLevel="0" collapsed="false">
      <c r="A243" s="4" t="s">
        <v>6899</v>
      </c>
      <c r="B243" s="4" t="n">
        <v>2047</v>
      </c>
    </row>
    <row r="246" customFormat="false" ht="15" hidden="false" customHeight="false" outlineLevel="0" collapsed="false">
      <c r="A246" s="17" t="s">
        <v>6900</v>
      </c>
      <c r="B246" s="18"/>
      <c r="C246" s="18"/>
    </row>
    <row r="247" customFormat="false" ht="15" hidden="false" customHeight="false" outlineLevel="0" collapsed="false">
      <c r="A247" s="19" t="s">
        <v>6901</v>
      </c>
    </row>
    <row r="248" customFormat="false" ht="15" hidden="false" customHeight="false" outlineLevel="0" collapsed="false">
      <c r="A248" s="25" t="s">
        <v>2043</v>
      </c>
    </row>
    <row r="249" customFormat="false" ht="15" hidden="false" customHeight="false" outlineLevel="0" collapsed="false">
      <c r="A249" s="21" t="s">
        <v>6824</v>
      </c>
    </row>
    <row r="250" customFormat="false" ht="15" hidden="false" customHeight="false" outlineLevel="0" collapsed="false">
      <c r="A250" s="21" t="s">
        <v>6647</v>
      </c>
    </row>
    <row r="251" customFormat="false" ht="15" hidden="false" customHeight="false" outlineLevel="0" collapsed="false">
      <c r="A251" s="22" t="s">
        <v>2066</v>
      </c>
      <c r="B251" s="22" t="s">
        <v>6902</v>
      </c>
      <c r="C251" s="22" t="s">
        <v>6903</v>
      </c>
    </row>
    <row r="252" customFormat="false" ht="15" hidden="false" customHeight="false" outlineLevel="0" collapsed="false">
      <c r="A252" s="4" t="s">
        <v>1403</v>
      </c>
      <c r="B252" s="4" t="n">
        <v>35</v>
      </c>
      <c r="C252" s="4" t="n">
        <v>23</v>
      </c>
    </row>
    <row r="253" customFormat="false" ht="15" hidden="false" customHeight="false" outlineLevel="0" collapsed="false">
      <c r="A253" s="4" t="s">
        <v>1406</v>
      </c>
      <c r="B253" s="4" t="n">
        <v>41</v>
      </c>
      <c r="C253" s="4" t="n">
        <v>26</v>
      </c>
    </row>
    <row r="254" customFormat="false" ht="15" hidden="false" customHeight="false" outlineLevel="0" collapsed="false">
      <c r="A254" s="4" t="s">
        <v>1409</v>
      </c>
      <c r="B254" s="4" t="n">
        <v>39</v>
      </c>
      <c r="C254" s="4" t="n">
        <v>25</v>
      </c>
    </row>
    <row r="255" customFormat="false" ht="15" hidden="false" customHeight="false" outlineLevel="0" collapsed="false">
      <c r="A255" s="4" t="s">
        <v>3371</v>
      </c>
      <c r="B255" s="4" t="n">
        <v>35</v>
      </c>
      <c r="C255" s="4" t="n">
        <v>28</v>
      </c>
    </row>
    <row r="256" customFormat="false" ht="15" hidden="false" customHeight="false" outlineLevel="0" collapsed="false">
      <c r="A256" s="4" t="s">
        <v>1397</v>
      </c>
      <c r="B256" s="4" t="n">
        <v>38</v>
      </c>
      <c r="C256" s="4" t="n">
        <v>29</v>
      </c>
    </row>
    <row r="257" customFormat="false" ht="15" hidden="false" customHeight="false" outlineLevel="0" collapsed="false">
      <c r="A257" s="4" t="s">
        <v>2085</v>
      </c>
      <c r="B257" s="4" t="n">
        <v>36</v>
      </c>
      <c r="C257" s="4" t="n">
        <v>28</v>
      </c>
    </row>
    <row r="258" customFormat="false" ht="15" hidden="false" customHeight="false" outlineLevel="0" collapsed="false">
      <c r="A258" s="4" t="s">
        <v>2132</v>
      </c>
      <c r="B258" s="4" t="n">
        <v>45</v>
      </c>
      <c r="C258" s="4" t="n">
        <v>29</v>
      </c>
    </row>
    <row r="261" customFormat="false" ht="15" hidden="false" customHeight="false" outlineLevel="0" collapsed="false">
      <c r="A261" s="17" t="s">
        <v>6904</v>
      </c>
      <c r="B261" s="18"/>
      <c r="C261" s="18"/>
      <c r="D261" s="18"/>
    </row>
    <row r="262" customFormat="false" ht="15" hidden="false" customHeight="false" outlineLevel="0" collapsed="false">
      <c r="A262" s="19" t="s">
        <v>6830</v>
      </c>
    </row>
    <row r="263" customFormat="false" ht="15" hidden="false" customHeight="false" outlineLevel="0" collapsed="false">
      <c r="A263" s="24" t="s">
        <v>1459</v>
      </c>
    </row>
    <row r="264" customFormat="false" ht="15" hidden="false" customHeight="false" outlineLevel="0" collapsed="false">
      <c r="A264" s="21" t="s">
        <v>6824</v>
      </c>
    </row>
    <row r="265" customFormat="false" ht="15" hidden="false" customHeight="false" outlineLevel="0" collapsed="false">
      <c r="A265" s="21" t="s">
        <v>6647</v>
      </c>
    </row>
    <row r="266" customFormat="false" ht="15" hidden="false" customHeight="false" outlineLevel="0" collapsed="false">
      <c r="A266" s="22" t="s">
        <v>6905</v>
      </c>
      <c r="B266" s="22" t="s">
        <v>6906</v>
      </c>
      <c r="C266" s="22" t="s">
        <v>6831</v>
      </c>
      <c r="D266" s="22" t="s">
        <v>4490</v>
      </c>
    </row>
    <row r="267" customFormat="false" ht="15" hidden="false" customHeight="false" outlineLevel="0" collapsed="false">
      <c r="A267" s="4" t="s">
        <v>6907</v>
      </c>
      <c r="B267" s="4" t="s">
        <v>6908</v>
      </c>
      <c r="C267" s="4" t="s">
        <v>6909</v>
      </c>
      <c r="D267" s="4" t="s">
        <v>6910</v>
      </c>
    </row>
    <row r="268" customFormat="false" ht="15" hidden="false" customHeight="false" outlineLevel="0" collapsed="false">
      <c r="A268" s="4" t="s">
        <v>6911</v>
      </c>
      <c r="B268" s="4" t="s">
        <v>6912</v>
      </c>
      <c r="C268" s="4" t="s">
        <v>6913</v>
      </c>
      <c r="D268" s="4" t="s">
        <v>6914</v>
      </c>
    </row>
    <row r="269" customFormat="false" ht="15" hidden="false" customHeight="false" outlineLevel="0" collapsed="false">
      <c r="A269" s="4" t="s">
        <v>6915</v>
      </c>
      <c r="B269" s="4" t="s">
        <v>6916</v>
      </c>
      <c r="C269" s="4" t="s">
        <v>6917</v>
      </c>
      <c r="D269" s="4" t="s">
        <v>6918</v>
      </c>
    </row>
    <row r="270" customFormat="false" ht="15" hidden="false" customHeight="false" outlineLevel="0" collapsed="false">
      <c r="A270" s="4" t="s">
        <v>6919</v>
      </c>
      <c r="B270" s="4" t="s">
        <v>6920</v>
      </c>
      <c r="C270" s="4" t="s">
        <v>6921</v>
      </c>
      <c r="D270" s="4" t="s">
        <v>2131</v>
      </c>
    </row>
    <row r="271" customFormat="false" ht="15" hidden="false" customHeight="false" outlineLevel="0" collapsed="false">
      <c r="A271" s="4" t="s">
        <v>6922</v>
      </c>
      <c r="B271" s="4" t="s">
        <v>6923</v>
      </c>
      <c r="C271" s="4" t="s">
        <v>2138</v>
      </c>
      <c r="D271" s="4" t="s">
        <v>1555</v>
      </c>
    </row>
    <row r="274" customFormat="false" ht="15" hidden="false" customHeight="false" outlineLevel="0" collapsed="false">
      <c r="A274" s="17" t="s">
        <v>6924</v>
      </c>
      <c r="B274" s="18"/>
    </row>
    <row r="275" customFormat="false" ht="15" hidden="false" customHeight="false" outlineLevel="0" collapsed="false">
      <c r="A275" s="19" t="s">
        <v>6925</v>
      </c>
    </row>
    <row r="276" customFormat="false" ht="15" hidden="false" customHeight="false" outlineLevel="0" collapsed="false">
      <c r="A276" s="25" t="s">
        <v>2043</v>
      </c>
    </row>
    <row r="277" customFormat="false" ht="15" hidden="false" customHeight="false" outlineLevel="0" collapsed="false">
      <c r="A277" s="21" t="s">
        <v>6824</v>
      </c>
    </row>
    <row r="278" customFormat="false" ht="15" hidden="false" customHeight="false" outlineLevel="0" collapsed="false">
      <c r="A278" s="21" t="s">
        <v>6647</v>
      </c>
    </row>
    <row r="279" customFormat="false" ht="15" hidden="false" customHeight="false" outlineLevel="0" collapsed="false">
      <c r="A279" s="22" t="s">
        <v>6926</v>
      </c>
      <c r="B279" s="22" t="s">
        <v>1818</v>
      </c>
    </row>
    <row r="280" customFormat="false" ht="15" hidden="false" customHeight="false" outlineLevel="0" collapsed="false">
      <c r="A280" s="4" t="s">
        <v>6927</v>
      </c>
      <c r="B280" s="4" t="n">
        <v>15</v>
      </c>
    </row>
    <row r="281" customFormat="false" ht="15" hidden="false" customHeight="false" outlineLevel="0" collapsed="false">
      <c r="A281" s="4" t="s">
        <v>3772</v>
      </c>
      <c r="B281" s="4" t="n">
        <v>30</v>
      </c>
    </row>
    <row r="282" customFormat="false" ht="15" hidden="false" customHeight="false" outlineLevel="0" collapsed="false">
      <c r="A282" s="4" t="s">
        <v>6928</v>
      </c>
      <c r="B282" s="4" t="n">
        <v>70</v>
      </c>
    </row>
    <row r="283" customFormat="false" ht="15" hidden="false" customHeight="false" outlineLevel="0" collapsed="false">
      <c r="A283" s="4" t="s">
        <v>6929</v>
      </c>
      <c r="B283" s="4" t="n">
        <v>250</v>
      </c>
    </row>
    <row r="284" customFormat="false" ht="15" hidden="false" customHeight="false" outlineLevel="0" collapsed="false">
      <c r="A284" s="4" t="s">
        <v>6930</v>
      </c>
      <c r="B284" s="4" t="n">
        <v>250</v>
      </c>
    </row>
    <row r="287" customFormat="false" ht="15" hidden="false" customHeight="false" outlineLevel="0" collapsed="false">
      <c r="A287" s="17" t="s">
        <v>6931</v>
      </c>
      <c r="B287" s="18"/>
    </row>
    <row r="288" customFormat="false" ht="15" hidden="false" customHeight="false" outlineLevel="0" collapsed="false">
      <c r="A288" s="19" t="s">
        <v>6932</v>
      </c>
    </row>
    <row r="289" customFormat="false" ht="15" hidden="false" customHeight="false" outlineLevel="0" collapsed="false">
      <c r="A289" s="23" t="s">
        <v>1246</v>
      </c>
    </row>
    <row r="290" customFormat="false" ht="15" hidden="false" customHeight="false" outlineLevel="0" collapsed="false">
      <c r="A290" s="21" t="s">
        <v>6933</v>
      </c>
    </row>
    <row r="291" customFormat="false" ht="15" hidden="false" customHeight="false" outlineLevel="0" collapsed="false">
      <c r="A291" s="21" t="s">
        <v>6647</v>
      </c>
    </row>
    <row r="292" customFormat="false" ht="15" hidden="false" customHeight="false" outlineLevel="0" collapsed="false">
      <c r="A292" s="22" t="s">
        <v>8</v>
      </c>
      <c r="B292" s="22" t="s">
        <v>1285</v>
      </c>
    </row>
    <row r="293" customFormat="false" ht="23.85" hidden="false" customHeight="false" outlineLevel="0" collapsed="false">
      <c r="A293" s="4" t="s">
        <v>6934</v>
      </c>
      <c r="B293" s="4" t="s">
        <v>6935</v>
      </c>
    </row>
    <row r="294" customFormat="false" ht="23.85" hidden="false" customHeight="false" outlineLevel="0" collapsed="false">
      <c r="A294" s="4" t="s">
        <v>6936</v>
      </c>
      <c r="B294" s="4" t="s">
        <v>6937</v>
      </c>
    </row>
    <row r="295" customFormat="false" ht="15" hidden="false" customHeight="false" outlineLevel="0" collapsed="false">
      <c r="A295" s="4" t="s">
        <v>6938</v>
      </c>
      <c r="B295" s="4" t="s">
        <v>6939</v>
      </c>
    </row>
    <row r="296" customFormat="false" ht="23.85" hidden="false" customHeight="false" outlineLevel="0" collapsed="false">
      <c r="A296" s="4" t="s">
        <v>6940</v>
      </c>
      <c r="B296" s="4" t="s">
        <v>6941</v>
      </c>
    </row>
    <row r="299" customFormat="false" ht="15" hidden="false" customHeight="false" outlineLevel="0" collapsed="false">
      <c r="A299" s="17" t="s">
        <v>6942</v>
      </c>
      <c r="B299" s="18"/>
      <c r="C299" s="18"/>
    </row>
    <row r="300" customFormat="false" ht="15" hidden="false" customHeight="false" outlineLevel="0" collapsed="false">
      <c r="A300" s="19" t="s">
        <v>6943</v>
      </c>
    </row>
    <row r="301" customFormat="false" ht="15" hidden="false" customHeight="false" outlineLevel="0" collapsed="false">
      <c r="A301" s="23" t="s">
        <v>1246</v>
      </c>
    </row>
    <row r="302" customFormat="false" ht="15" hidden="false" customHeight="false" outlineLevel="0" collapsed="false">
      <c r="A302" s="21" t="s">
        <v>6933</v>
      </c>
    </row>
    <row r="303" customFormat="false" ht="15" hidden="false" customHeight="false" outlineLevel="0" collapsed="false">
      <c r="A303" s="21" t="s">
        <v>6647</v>
      </c>
    </row>
    <row r="304" customFormat="false" ht="15" hidden="false" customHeight="false" outlineLevel="0" collapsed="false">
      <c r="A304" s="22" t="s">
        <v>6944</v>
      </c>
      <c r="B304" s="22" t="s">
        <v>6945</v>
      </c>
      <c r="C304" s="22" t="s">
        <v>6946</v>
      </c>
    </row>
    <row r="305" customFormat="false" ht="15" hidden="false" customHeight="false" outlineLevel="0" collapsed="false">
      <c r="A305" s="4" t="s">
        <v>6947</v>
      </c>
      <c r="B305" s="4" t="s">
        <v>6948</v>
      </c>
      <c r="C305" s="4" t="s">
        <v>6949</v>
      </c>
    </row>
    <row r="306" customFormat="false" ht="15" hidden="false" customHeight="false" outlineLevel="0" collapsed="false">
      <c r="A306" s="4" t="s">
        <v>6950</v>
      </c>
      <c r="B306" s="4" t="s">
        <v>2210</v>
      </c>
      <c r="C306" s="4" t="s">
        <v>6951</v>
      </c>
    </row>
    <row r="307" customFormat="false" ht="15" hidden="false" customHeight="false" outlineLevel="0" collapsed="false">
      <c r="A307" s="4" t="s">
        <v>6952</v>
      </c>
      <c r="B307" s="4" t="s">
        <v>6953</v>
      </c>
      <c r="C307" s="4" t="s">
        <v>6954</v>
      </c>
    </row>
    <row r="308" customFormat="false" ht="15" hidden="false" customHeight="false" outlineLevel="0" collapsed="false">
      <c r="A308" s="4" t="s">
        <v>6955</v>
      </c>
      <c r="B308" s="4" t="s">
        <v>6956</v>
      </c>
      <c r="C308" s="4" t="s">
        <v>6957</v>
      </c>
    </row>
    <row r="311" customFormat="false" ht="15" hidden="false" customHeight="false" outlineLevel="0" collapsed="false">
      <c r="A311" s="17" t="s">
        <v>6958</v>
      </c>
      <c r="B311" s="18"/>
    </row>
    <row r="312" customFormat="false" ht="15" hidden="false" customHeight="false" outlineLevel="0" collapsed="false">
      <c r="A312" s="19" t="s">
        <v>6959</v>
      </c>
    </row>
    <row r="313" customFormat="false" ht="15" hidden="false" customHeight="false" outlineLevel="0" collapsed="false">
      <c r="A313" s="23" t="s">
        <v>1246</v>
      </c>
    </row>
    <row r="314" customFormat="false" ht="15" hidden="false" customHeight="false" outlineLevel="0" collapsed="false">
      <c r="A314" s="21" t="s">
        <v>6933</v>
      </c>
    </row>
    <row r="315" customFormat="false" ht="15" hidden="false" customHeight="false" outlineLevel="0" collapsed="false">
      <c r="A315" s="21" t="s">
        <v>6647</v>
      </c>
    </row>
    <row r="316" customFormat="false" ht="15" hidden="false" customHeight="false" outlineLevel="0" collapsed="false">
      <c r="A316" s="22" t="s">
        <v>6960</v>
      </c>
      <c r="B316" s="22" t="s">
        <v>6961</v>
      </c>
    </row>
    <row r="317" customFormat="false" ht="15" hidden="false" customHeight="false" outlineLevel="0" collapsed="false">
      <c r="A317" s="4" t="s">
        <v>6962</v>
      </c>
      <c r="B317" s="4" t="n">
        <v>330</v>
      </c>
    </row>
    <row r="318" customFormat="false" ht="15" hidden="false" customHeight="false" outlineLevel="0" collapsed="false">
      <c r="A318" s="4" t="s">
        <v>2376</v>
      </c>
      <c r="B318" s="4" t="s">
        <v>6963</v>
      </c>
    </row>
    <row r="319" customFormat="false" ht="15" hidden="false" customHeight="false" outlineLevel="0" collapsed="false">
      <c r="A319" s="4" t="s">
        <v>6964</v>
      </c>
      <c r="B319" s="4" t="s">
        <v>6965</v>
      </c>
    </row>
    <row r="320" customFormat="false" ht="15" hidden="false" customHeight="false" outlineLevel="0" collapsed="false">
      <c r="A320" s="4" t="s">
        <v>6966</v>
      </c>
      <c r="B320" s="4" t="n">
        <v>4.7</v>
      </c>
    </row>
    <row r="321" customFormat="false" ht="15" hidden="false" customHeight="false" outlineLevel="0" collapsed="false">
      <c r="A321" s="4" t="s">
        <v>6967</v>
      </c>
      <c r="B321" s="4" t="n">
        <v>1.7</v>
      </c>
    </row>
    <row r="322" customFormat="false" ht="15" hidden="false" customHeight="false" outlineLevel="0" collapsed="false">
      <c r="A322" s="4" t="s">
        <v>6968</v>
      </c>
      <c r="B322" s="4" t="n">
        <v>1.47</v>
      </c>
    </row>
    <row r="323" customFormat="false" ht="15" hidden="false" customHeight="false" outlineLevel="0" collapsed="false">
      <c r="A323" s="4" t="s">
        <v>6969</v>
      </c>
      <c r="B323" s="4" t="n">
        <v>0.62</v>
      </c>
    </row>
    <row r="324" customFormat="false" ht="15" hidden="false" customHeight="false" outlineLevel="0" collapsed="false">
      <c r="A324" s="4" t="s">
        <v>6970</v>
      </c>
      <c r="B324" s="4" t="n">
        <v>0.61</v>
      </c>
    </row>
    <row r="325" customFormat="false" ht="15" hidden="false" customHeight="false" outlineLevel="0" collapsed="false">
      <c r="A325" s="4" t="s">
        <v>2329</v>
      </c>
      <c r="B325" s="4" t="n">
        <v>0.23</v>
      </c>
    </row>
    <row r="326" customFormat="false" ht="15" hidden="false" customHeight="false" outlineLevel="0" collapsed="false">
      <c r="A326" s="4" t="s">
        <v>6971</v>
      </c>
      <c r="B326" s="4" t="n">
        <v>0.13</v>
      </c>
    </row>
    <row r="329" customFormat="false" ht="15" hidden="false" customHeight="false" outlineLevel="0" collapsed="false">
      <c r="A329" s="17" t="s">
        <v>6972</v>
      </c>
      <c r="B329" s="18"/>
    </row>
    <row r="330" customFormat="false" ht="15" hidden="false" customHeight="false" outlineLevel="0" collapsed="false">
      <c r="A330" s="19" t="s">
        <v>6973</v>
      </c>
    </row>
    <row r="331" customFormat="false" ht="15" hidden="false" customHeight="false" outlineLevel="0" collapsed="false">
      <c r="A331" s="26" t="s">
        <v>2179</v>
      </c>
    </row>
    <row r="332" customFormat="false" ht="15" hidden="false" customHeight="false" outlineLevel="0" collapsed="false">
      <c r="A332" s="21" t="s">
        <v>6933</v>
      </c>
    </row>
    <row r="333" customFormat="false" ht="15" hidden="false" customHeight="false" outlineLevel="0" collapsed="false">
      <c r="A333" s="21" t="s">
        <v>6647</v>
      </c>
    </row>
    <row r="334" customFormat="false" ht="15" hidden="false" customHeight="false" outlineLevel="0" collapsed="false">
      <c r="A334" s="22" t="s">
        <v>1531</v>
      </c>
      <c r="B334" s="22" t="s">
        <v>6961</v>
      </c>
    </row>
    <row r="335" customFormat="false" ht="15" hidden="false" customHeight="false" outlineLevel="0" collapsed="false">
      <c r="A335" s="4" t="s">
        <v>6974</v>
      </c>
      <c r="B335" s="4" t="s">
        <v>6975</v>
      </c>
    </row>
    <row r="336" customFormat="false" ht="15" hidden="false" customHeight="false" outlineLevel="0" collapsed="false">
      <c r="A336" s="4" t="s">
        <v>6976</v>
      </c>
      <c r="B336" s="4" t="s">
        <v>6977</v>
      </c>
    </row>
    <row r="337" customFormat="false" ht="15" hidden="false" customHeight="false" outlineLevel="0" collapsed="false">
      <c r="A337" s="4" t="s">
        <v>6978</v>
      </c>
      <c r="B337" s="4" t="s">
        <v>2679</v>
      </c>
    </row>
    <row r="338" customFormat="false" ht="15" hidden="false" customHeight="false" outlineLevel="0" collapsed="false">
      <c r="A338" s="4" t="s">
        <v>6979</v>
      </c>
      <c r="B338" s="4" t="s">
        <v>6980</v>
      </c>
    </row>
    <row r="339" customFormat="false" ht="15" hidden="false" customHeight="false" outlineLevel="0" collapsed="false">
      <c r="A339" s="4" t="s">
        <v>3023</v>
      </c>
      <c r="B339" s="4" t="s">
        <v>6981</v>
      </c>
    </row>
    <row r="342" customFormat="false" ht="15" hidden="false" customHeight="false" outlineLevel="0" collapsed="false">
      <c r="A342" s="17" t="s">
        <v>6982</v>
      </c>
      <c r="B342" s="18"/>
      <c r="C342" s="18"/>
      <c r="D342" s="18"/>
      <c r="E342" s="18"/>
    </row>
    <row r="343" customFormat="false" ht="15" hidden="false" customHeight="false" outlineLevel="0" collapsed="false">
      <c r="A343" s="19" t="s">
        <v>6983</v>
      </c>
    </row>
    <row r="344" customFormat="false" ht="15" hidden="false" customHeight="false" outlineLevel="0" collapsed="false">
      <c r="A344" s="26" t="s">
        <v>2179</v>
      </c>
    </row>
    <row r="345" customFormat="false" ht="15" hidden="false" customHeight="false" outlineLevel="0" collapsed="false">
      <c r="A345" s="21" t="s">
        <v>6933</v>
      </c>
    </row>
    <row r="346" customFormat="false" ht="15" hidden="false" customHeight="false" outlineLevel="0" collapsed="false">
      <c r="A346" s="21" t="s">
        <v>6647</v>
      </c>
    </row>
    <row r="347" customFormat="false" ht="15" hidden="false" customHeight="false" outlineLevel="0" collapsed="false">
      <c r="A347" s="22" t="s">
        <v>6984</v>
      </c>
      <c r="B347" s="22" t="s">
        <v>6985</v>
      </c>
      <c r="C347" s="22" t="s">
        <v>6986</v>
      </c>
      <c r="D347" s="22" t="s">
        <v>2894</v>
      </c>
      <c r="E347" s="22" t="s">
        <v>6987</v>
      </c>
    </row>
    <row r="348" customFormat="false" ht="15" hidden="false" customHeight="false" outlineLevel="0" collapsed="false">
      <c r="A348" s="4" t="s">
        <v>6988</v>
      </c>
      <c r="B348" s="4" t="n">
        <v>3.2</v>
      </c>
      <c r="C348" s="4" t="n">
        <v>0.7</v>
      </c>
      <c r="D348" s="4" t="n">
        <v>0.09</v>
      </c>
      <c r="E348" s="4" t="n">
        <v>3.5</v>
      </c>
    </row>
    <row r="349" customFormat="false" ht="15" hidden="false" customHeight="false" outlineLevel="0" collapsed="false">
      <c r="A349" s="4" t="s">
        <v>6989</v>
      </c>
      <c r="B349" s="4" t="n">
        <v>16.2</v>
      </c>
      <c r="C349" s="4" t="n">
        <v>3.6</v>
      </c>
      <c r="D349" s="4" t="n">
        <v>0.45</v>
      </c>
      <c r="E349" s="4" t="n">
        <v>17.6</v>
      </c>
    </row>
    <row r="350" customFormat="false" ht="15" hidden="false" customHeight="false" outlineLevel="0" collapsed="false">
      <c r="A350" s="4" t="s">
        <v>6990</v>
      </c>
      <c r="B350" s="4" t="n">
        <v>32.4</v>
      </c>
      <c r="C350" s="4" t="n">
        <v>7.2</v>
      </c>
      <c r="D350" s="4" t="n">
        <v>0.9</v>
      </c>
      <c r="E350" s="4" t="n">
        <v>35.1</v>
      </c>
    </row>
    <row r="353" customFormat="false" ht="15" hidden="false" customHeight="false" outlineLevel="0" collapsed="false">
      <c r="A353" s="17" t="s">
        <v>6991</v>
      </c>
      <c r="B353" s="18"/>
      <c r="C353" s="18"/>
      <c r="D353" s="18"/>
      <c r="E353" s="18"/>
      <c r="F353" s="18"/>
      <c r="G353" s="18"/>
      <c r="H353" s="18"/>
    </row>
    <row r="354" customFormat="false" ht="15" hidden="false" customHeight="false" outlineLevel="0" collapsed="false">
      <c r="A354" s="19" t="s">
        <v>6992</v>
      </c>
    </row>
    <row r="355" customFormat="false" ht="15" hidden="false" customHeight="false" outlineLevel="0" collapsed="false">
      <c r="A355" s="19" t="s">
        <v>6993</v>
      </c>
    </row>
    <row r="356" customFormat="false" ht="15" hidden="false" customHeight="false" outlineLevel="0" collapsed="false">
      <c r="A356" s="26" t="s">
        <v>2179</v>
      </c>
    </row>
    <row r="357" customFormat="false" ht="15" hidden="false" customHeight="false" outlineLevel="0" collapsed="false">
      <c r="A357" s="21" t="s">
        <v>6933</v>
      </c>
    </row>
    <row r="358" customFormat="false" ht="15" hidden="false" customHeight="false" outlineLevel="0" collapsed="false">
      <c r="A358" s="21" t="s">
        <v>6647</v>
      </c>
    </row>
    <row r="359" customFormat="false" ht="15" hidden="false" customHeight="false" outlineLevel="0" collapsed="false">
      <c r="A359" s="22" t="s">
        <v>3014</v>
      </c>
      <c r="B359" s="22" t="s">
        <v>6994</v>
      </c>
      <c r="C359" s="22" t="s">
        <v>3873</v>
      </c>
      <c r="D359" s="22" t="s">
        <v>1627</v>
      </c>
      <c r="E359" s="22" t="s">
        <v>6995</v>
      </c>
      <c r="F359" s="22" t="s">
        <v>6996</v>
      </c>
      <c r="G359" s="22" t="s">
        <v>2205</v>
      </c>
      <c r="H359" s="22" t="s">
        <v>6997</v>
      </c>
    </row>
    <row r="360" customFormat="false" ht="15" hidden="false" customHeight="false" outlineLevel="0" collapsed="false">
      <c r="A360" s="4" t="s">
        <v>6998</v>
      </c>
      <c r="B360" s="4" t="n">
        <v>20</v>
      </c>
      <c r="C360" s="4" t="s">
        <v>5537</v>
      </c>
      <c r="D360" s="4" t="n">
        <v>1.45</v>
      </c>
      <c r="E360" s="4" t="n">
        <v>1.8</v>
      </c>
      <c r="F360" s="4" t="n">
        <v>177.8</v>
      </c>
      <c r="G360" s="4" t="s">
        <v>6999</v>
      </c>
      <c r="H360" s="4" t="n">
        <v>0.6</v>
      </c>
    </row>
    <row r="361" customFormat="false" ht="15" hidden="false" customHeight="false" outlineLevel="0" collapsed="false">
      <c r="A361" s="4" t="s">
        <v>7000</v>
      </c>
      <c r="B361" s="4" t="n">
        <v>50</v>
      </c>
      <c r="C361" s="4" t="s">
        <v>1555</v>
      </c>
      <c r="D361" s="4" t="s">
        <v>1555</v>
      </c>
      <c r="E361" s="4" t="s">
        <v>1555</v>
      </c>
      <c r="F361" s="4" t="s">
        <v>1555</v>
      </c>
      <c r="G361" s="4" t="s">
        <v>7001</v>
      </c>
      <c r="H361" s="4" t="n">
        <v>1.47</v>
      </c>
    </row>
    <row r="362" customFormat="false" ht="15" hidden="false" customHeight="false" outlineLevel="0" collapsed="false">
      <c r="A362" s="4" t="s">
        <v>7002</v>
      </c>
      <c r="B362" s="4" t="n">
        <v>100</v>
      </c>
      <c r="C362" s="4" t="s">
        <v>1555</v>
      </c>
      <c r="D362" s="4" t="s">
        <v>1555</v>
      </c>
      <c r="E362" s="4" t="s">
        <v>1555</v>
      </c>
      <c r="F362" s="4" t="s">
        <v>7003</v>
      </c>
      <c r="G362" s="4" t="s">
        <v>7004</v>
      </c>
      <c r="H362" s="4" t="n">
        <v>0.13</v>
      </c>
    </row>
    <row r="365" customFormat="false" ht="15" hidden="false" customHeight="false" outlineLevel="0" collapsed="false">
      <c r="A365" s="17" t="s">
        <v>7005</v>
      </c>
      <c r="B365" s="18"/>
      <c r="C365" s="18"/>
    </row>
    <row r="366" customFormat="false" ht="15" hidden="false" customHeight="false" outlineLevel="0" collapsed="false">
      <c r="A366" s="19" t="s">
        <v>6959</v>
      </c>
    </row>
    <row r="367" customFormat="false" ht="15" hidden="false" customHeight="false" outlineLevel="0" collapsed="false">
      <c r="A367" s="24" t="s">
        <v>1459</v>
      </c>
    </row>
    <row r="368" customFormat="false" ht="15" hidden="false" customHeight="false" outlineLevel="0" collapsed="false">
      <c r="A368" s="21" t="s">
        <v>6933</v>
      </c>
    </row>
    <row r="369" customFormat="false" ht="15" hidden="false" customHeight="false" outlineLevel="0" collapsed="false">
      <c r="A369" s="21" t="s">
        <v>6647</v>
      </c>
    </row>
    <row r="370" customFormat="false" ht="15" hidden="false" customHeight="false" outlineLevel="0" collapsed="false">
      <c r="A370" s="22" t="s">
        <v>2440</v>
      </c>
      <c r="B370" s="22" t="s">
        <v>7006</v>
      </c>
      <c r="C370" s="22" t="s">
        <v>2442</v>
      </c>
    </row>
    <row r="371" customFormat="false" ht="35.05" hidden="false" customHeight="false" outlineLevel="0" collapsed="false">
      <c r="A371" s="4" t="n">
        <v>1</v>
      </c>
      <c r="B371" s="4" t="s">
        <v>2443</v>
      </c>
      <c r="C371" s="4" t="s">
        <v>7007</v>
      </c>
    </row>
    <row r="372" customFormat="false" ht="35.05" hidden="false" customHeight="false" outlineLevel="0" collapsed="false">
      <c r="A372" s="4" t="n">
        <v>2</v>
      </c>
      <c r="B372" s="4" t="s">
        <v>2445</v>
      </c>
      <c r="C372" s="4" t="s">
        <v>7008</v>
      </c>
    </row>
    <row r="373" customFormat="false" ht="23.85" hidden="false" customHeight="false" outlineLevel="0" collapsed="false">
      <c r="A373" s="4" t="n">
        <v>3</v>
      </c>
      <c r="B373" s="4" t="s">
        <v>2447</v>
      </c>
      <c r="C373" s="4" t="s">
        <v>7009</v>
      </c>
    </row>
    <row r="376" customFormat="false" ht="15" hidden="false" customHeight="false" outlineLevel="0" collapsed="false">
      <c r="A376" s="17" t="s">
        <v>7010</v>
      </c>
      <c r="B376" s="18"/>
    </row>
    <row r="377" customFormat="false" ht="15" hidden="false" customHeight="false" outlineLevel="0" collapsed="false">
      <c r="A377" s="19" t="s">
        <v>7011</v>
      </c>
    </row>
    <row r="378" customFormat="false" ht="15" hidden="false" customHeight="false" outlineLevel="0" collapsed="false">
      <c r="A378" s="26" t="s">
        <v>2179</v>
      </c>
    </row>
    <row r="379" customFormat="false" ht="15" hidden="false" customHeight="false" outlineLevel="0" collapsed="false">
      <c r="A379" s="21" t="s">
        <v>7012</v>
      </c>
    </row>
    <row r="380" customFormat="false" ht="15" hidden="false" customHeight="false" outlineLevel="0" collapsed="false">
      <c r="A380" s="21" t="s">
        <v>6647</v>
      </c>
    </row>
    <row r="381" customFormat="false" ht="15" hidden="false" customHeight="false" outlineLevel="0" collapsed="false">
      <c r="A381" s="22" t="s">
        <v>7013</v>
      </c>
      <c r="B381" s="22" t="s">
        <v>7014</v>
      </c>
    </row>
    <row r="382" customFormat="false" ht="15" hidden="false" customHeight="false" outlineLevel="0" collapsed="false">
      <c r="A382" s="4" t="s">
        <v>7015</v>
      </c>
      <c r="B382" s="4" t="n">
        <v>0.77</v>
      </c>
    </row>
    <row r="383" customFormat="false" ht="15" hidden="false" customHeight="false" outlineLevel="0" collapsed="false">
      <c r="A383" s="4" t="s">
        <v>7016</v>
      </c>
      <c r="B383" s="4" t="n">
        <v>0.54</v>
      </c>
    </row>
    <row r="384" customFormat="false" ht="15" hidden="false" customHeight="false" outlineLevel="0" collapsed="false">
      <c r="A384" s="4" t="s">
        <v>7017</v>
      </c>
      <c r="B384" s="4" t="n">
        <v>1.09</v>
      </c>
    </row>
    <row r="385" customFormat="false" ht="15" hidden="false" customHeight="false" outlineLevel="0" collapsed="false">
      <c r="A385" s="4" t="s">
        <v>7018</v>
      </c>
      <c r="B385" s="4" t="n">
        <v>0.11</v>
      </c>
    </row>
    <row r="386" customFormat="false" ht="15" hidden="false" customHeight="false" outlineLevel="0" collapsed="false">
      <c r="A386" s="4" t="s">
        <v>7019</v>
      </c>
      <c r="B386" s="4" t="n">
        <v>0.045</v>
      </c>
    </row>
    <row r="387" customFormat="false" ht="15" hidden="false" customHeight="false" outlineLevel="0" collapsed="false">
      <c r="A387" s="4" t="s">
        <v>7020</v>
      </c>
      <c r="B387" s="4" t="n">
        <v>0.025</v>
      </c>
    </row>
    <row r="388" customFormat="false" ht="15" hidden="false" customHeight="false" outlineLevel="0" collapsed="false">
      <c r="A388" s="4" t="s">
        <v>7021</v>
      </c>
      <c r="B388" s="4" t="n">
        <v>0.009</v>
      </c>
    </row>
    <row r="389" customFormat="false" ht="15" hidden="false" customHeight="false" outlineLevel="0" collapsed="false">
      <c r="A389" s="4" t="s">
        <v>2466</v>
      </c>
      <c r="B389" s="4" t="n">
        <v>0.49</v>
      </c>
    </row>
    <row r="392" customFormat="false" ht="15" hidden="false" customHeight="false" outlineLevel="0" collapsed="false">
      <c r="A392" s="17" t="s">
        <v>7022</v>
      </c>
      <c r="B392" s="18"/>
      <c r="C392" s="18"/>
    </row>
    <row r="393" customFormat="false" ht="15" hidden="false" customHeight="false" outlineLevel="0" collapsed="false">
      <c r="A393" s="19" t="s">
        <v>7023</v>
      </c>
    </row>
    <row r="394" customFormat="false" ht="15" hidden="false" customHeight="false" outlineLevel="0" collapsed="false">
      <c r="A394" s="26" t="s">
        <v>2179</v>
      </c>
    </row>
    <row r="395" customFormat="false" ht="15" hidden="false" customHeight="false" outlineLevel="0" collapsed="false">
      <c r="A395" s="21" t="s">
        <v>7012</v>
      </c>
    </row>
    <row r="396" customFormat="false" ht="15" hidden="false" customHeight="false" outlineLevel="0" collapsed="false">
      <c r="A396" s="21" t="s">
        <v>6647</v>
      </c>
    </row>
    <row r="397" customFormat="false" ht="15" hidden="false" customHeight="false" outlineLevel="0" collapsed="false">
      <c r="A397" s="22" t="s">
        <v>6227</v>
      </c>
      <c r="B397" s="22" t="s">
        <v>7024</v>
      </c>
      <c r="C397" s="22" t="s">
        <v>7025</v>
      </c>
    </row>
    <row r="398" customFormat="false" ht="15" hidden="false" customHeight="false" outlineLevel="0" collapsed="false">
      <c r="A398" s="4" t="n">
        <v>0</v>
      </c>
      <c r="B398" s="4" t="n">
        <v>580</v>
      </c>
      <c r="C398" s="4" t="n">
        <v>980</v>
      </c>
    </row>
    <row r="399" customFormat="false" ht="15" hidden="false" customHeight="false" outlineLevel="0" collapsed="false">
      <c r="A399" s="4" t="n">
        <v>1</v>
      </c>
      <c r="B399" s="4" t="n">
        <v>580</v>
      </c>
      <c r="C399" s="4" t="n">
        <v>980</v>
      </c>
    </row>
    <row r="400" customFormat="false" ht="15" hidden="false" customHeight="false" outlineLevel="0" collapsed="false">
      <c r="A400" s="4" t="n">
        <v>2</v>
      </c>
      <c r="B400" s="4" t="n">
        <v>575</v>
      </c>
      <c r="C400" s="4" t="n">
        <v>980</v>
      </c>
    </row>
    <row r="401" customFormat="false" ht="15" hidden="false" customHeight="false" outlineLevel="0" collapsed="false">
      <c r="A401" s="4" t="n">
        <v>3</v>
      </c>
      <c r="B401" s="4" t="n">
        <v>575</v>
      </c>
      <c r="C401" s="4" t="n">
        <v>980</v>
      </c>
    </row>
    <row r="402" customFormat="false" ht="15" hidden="false" customHeight="false" outlineLevel="0" collapsed="false">
      <c r="A402" s="4" t="n">
        <v>4</v>
      </c>
      <c r="B402" s="4" t="n">
        <v>570</v>
      </c>
      <c r="C402" s="4" t="n">
        <v>980</v>
      </c>
    </row>
    <row r="403" customFormat="false" ht="15" hidden="false" customHeight="false" outlineLevel="0" collapsed="false">
      <c r="A403" s="4" t="n">
        <v>5</v>
      </c>
      <c r="B403" s="4" t="n">
        <v>565</v>
      </c>
      <c r="C403" s="4" t="n">
        <v>980</v>
      </c>
    </row>
    <row r="404" customFormat="false" ht="15" hidden="false" customHeight="false" outlineLevel="0" collapsed="false">
      <c r="A404" s="4" t="n">
        <v>6</v>
      </c>
      <c r="B404" s="4" t="n">
        <v>560</v>
      </c>
      <c r="C404" s="4" t="n">
        <v>980</v>
      </c>
    </row>
    <row r="405" customFormat="false" ht="15" hidden="false" customHeight="false" outlineLevel="0" collapsed="false">
      <c r="A405" s="4" t="n">
        <v>7</v>
      </c>
      <c r="B405" s="4" t="n">
        <v>500</v>
      </c>
      <c r="C405" s="4" t="n">
        <v>980</v>
      </c>
    </row>
    <row r="406" customFormat="false" ht="15" hidden="false" customHeight="false" outlineLevel="0" collapsed="false">
      <c r="A406" s="4" t="n">
        <v>8</v>
      </c>
      <c r="B406" s="4" t="n">
        <v>420</v>
      </c>
      <c r="C406" s="4" t="n">
        <v>980</v>
      </c>
    </row>
    <row r="407" customFormat="false" ht="15" hidden="false" customHeight="false" outlineLevel="0" collapsed="false">
      <c r="A407" s="4" t="n">
        <v>9</v>
      </c>
      <c r="B407" s="4" t="n">
        <v>330</v>
      </c>
      <c r="C407" s="4" t="n">
        <v>980</v>
      </c>
    </row>
    <row r="408" customFormat="false" ht="15" hidden="false" customHeight="false" outlineLevel="0" collapsed="false">
      <c r="A408" s="4" t="n">
        <v>10</v>
      </c>
      <c r="B408" s="4" t="n">
        <v>270</v>
      </c>
      <c r="C408" s="4" t="n">
        <v>980</v>
      </c>
    </row>
    <row r="409" customFormat="false" ht="15" hidden="false" customHeight="false" outlineLevel="0" collapsed="false">
      <c r="A409" s="4" t="n">
        <v>11</v>
      </c>
      <c r="B409" s="4" t="n">
        <v>240</v>
      </c>
      <c r="C409" s="4" t="n">
        <v>980</v>
      </c>
    </row>
    <row r="410" customFormat="false" ht="15" hidden="false" customHeight="false" outlineLevel="0" collapsed="false">
      <c r="A410" s="4" t="n">
        <v>12</v>
      </c>
      <c r="B410" s="4" t="n">
        <v>220</v>
      </c>
      <c r="C410" s="4" t="n">
        <v>980</v>
      </c>
    </row>
    <row r="411" customFormat="false" ht="15" hidden="false" customHeight="false" outlineLevel="0" collapsed="false">
      <c r="A411" s="4" t="n">
        <v>13</v>
      </c>
      <c r="B411" s="4" t="n">
        <v>215</v>
      </c>
      <c r="C411" s="4" t="n">
        <v>980</v>
      </c>
    </row>
    <row r="412" customFormat="false" ht="15" hidden="false" customHeight="false" outlineLevel="0" collapsed="false">
      <c r="A412" s="4" t="n">
        <v>14</v>
      </c>
      <c r="B412" s="4" t="n">
        <v>225</v>
      </c>
      <c r="C412" s="4" t="n">
        <v>980</v>
      </c>
    </row>
    <row r="413" customFormat="false" ht="15" hidden="false" customHeight="false" outlineLevel="0" collapsed="false">
      <c r="A413" s="4" t="n">
        <v>15</v>
      </c>
      <c r="B413" s="4" t="n">
        <v>260</v>
      </c>
      <c r="C413" s="4" t="n">
        <v>980</v>
      </c>
    </row>
    <row r="414" customFormat="false" ht="15" hidden="false" customHeight="false" outlineLevel="0" collapsed="false">
      <c r="A414" s="4" t="n">
        <v>16</v>
      </c>
      <c r="B414" s="4" t="n">
        <v>330</v>
      </c>
      <c r="C414" s="4" t="n">
        <v>980</v>
      </c>
    </row>
    <row r="415" customFormat="false" ht="15" hidden="false" customHeight="false" outlineLevel="0" collapsed="false">
      <c r="A415" s="4" t="n">
        <v>17</v>
      </c>
      <c r="B415" s="4" t="n">
        <v>430</v>
      </c>
      <c r="C415" s="4" t="n">
        <v>980</v>
      </c>
    </row>
    <row r="416" customFormat="false" ht="15" hidden="false" customHeight="false" outlineLevel="0" collapsed="false">
      <c r="A416" s="4" t="n">
        <v>18</v>
      </c>
      <c r="B416" s="4" t="n">
        <v>540</v>
      </c>
      <c r="C416" s="4" t="n">
        <v>1080</v>
      </c>
    </row>
    <row r="417" customFormat="false" ht="15" hidden="false" customHeight="false" outlineLevel="0" collapsed="false">
      <c r="A417" s="4" t="n">
        <v>19</v>
      </c>
      <c r="B417" s="4" t="n">
        <v>600</v>
      </c>
      <c r="C417" s="4" t="n">
        <v>1080</v>
      </c>
    </row>
    <row r="418" customFormat="false" ht="15" hidden="false" customHeight="false" outlineLevel="0" collapsed="false">
      <c r="A418" s="4" t="n">
        <v>20</v>
      </c>
      <c r="B418" s="4" t="n">
        <v>610</v>
      </c>
      <c r="C418" s="4" t="n">
        <v>1080</v>
      </c>
    </row>
    <row r="419" customFormat="false" ht="15" hidden="false" customHeight="false" outlineLevel="0" collapsed="false">
      <c r="A419" s="4" t="n">
        <v>21</v>
      </c>
      <c r="B419" s="4" t="n">
        <v>600</v>
      </c>
      <c r="C419" s="4" t="n">
        <v>1080</v>
      </c>
    </row>
    <row r="420" customFormat="false" ht="15" hidden="false" customHeight="false" outlineLevel="0" collapsed="false">
      <c r="A420" s="4" t="n">
        <v>22</v>
      </c>
      <c r="B420" s="4" t="n">
        <v>590</v>
      </c>
      <c r="C420" s="4" t="n">
        <v>1080</v>
      </c>
    </row>
    <row r="421" customFormat="false" ht="15" hidden="false" customHeight="false" outlineLevel="0" collapsed="false">
      <c r="A421" s="4" t="n">
        <v>23</v>
      </c>
      <c r="B421" s="4" t="n">
        <v>585</v>
      </c>
      <c r="C421" s="4" t="n">
        <v>980</v>
      </c>
    </row>
    <row r="424" customFormat="false" ht="15" hidden="false" customHeight="false" outlineLevel="0" collapsed="false">
      <c r="A424" s="17" t="s">
        <v>7026</v>
      </c>
      <c r="B424" s="18"/>
    </row>
    <row r="425" customFormat="false" ht="15" hidden="false" customHeight="false" outlineLevel="0" collapsed="false">
      <c r="A425" s="19" t="s">
        <v>7027</v>
      </c>
    </row>
    <row r="426" customFormat="false" ht="15" hidden="false" customHeight="false" outlineLevel="0" collapsed="false">
      <c r="A426" s="19" t="s">
        <v>7028</v>
      </c>
    </row>
    <row r="427" customFormat="false" ht="15" hidden="false" customHeight="false" outlineLevel="0" collapsed="false">
      <c r="A427" s="23" t="s">
        <v>1246</v>
      </c>
    </row>
    <row r="428" customFormat="false" ht="15" hidden="false" customHeight="false" outlineLevel="0" collapsed="false">
      <c r="A428" s="21" t="s">
        <v>7012</v>
      </c>
    </row>
    <row r="429" customFormat="false" ht="15" hidden="false" customHeight="false" outlineLevel="0" collapsed="false">
      <c r="A429" s="21" t="s">
        <v>6647</v>
      </c>
    </row>
    <row r="430" customFormat="false" ht="15" hidden="false" customHeight="false" outlineLevel="0" collapsed="false">
      <c r="A430" s="22" t="s">
        <v>8</v>
      </c>
      <c r="B430" s="22" t="s">
        <v>7029</v>
      </c>
    </row>
    <row r="431" customFormat="false" ht="15" hidden="false" customHeight="false" outlineLevel="0" collapsed="false">
      <c r="A431" s="4" t="s">
        <v>7030</v>
      </c>
      <c r="B431" s="4" t="n">
        <v>820</v>
      </c>
    </row>
    <row r="432" customFormat="false" ht="15" hidden="false" customHeight="false" outlineLevel="0" collapsed="false">
      <c r="A432" s="4" t="s">
        <v>2466</v>
      </c>
      <c r="B432" s="4" t="n">
        <v>490</v>
      </c>
    </row>
    <row r="433" customFormat="false" ht="15" hidden="false" customHeight="false" outlineLevel="0" collapsed="false">
      <c r="A433" s="4" t="s">
        <v>2534</v>
      </c>
      <c r="B433" s="4" t="n">
        <v>48</v>
      </c>
    </row>
    <row r="434" customFormat="false" ht="15" hidden="false" customHeight="false" outlineLevel="0" collapsed="false">
      <c r="A434" s="4" t="s">
        <v>7031</v>
      </c>
      <c r="B434" s="4" t="n">
        <v>24</v>
      </c>
    </row>
    <row r="435" customFormat="false" ht="15" hidden="false" customHeight="false" outlineLevel="0" collapsed="false">
      <c r="A435" s="4" t="s">
        <v>2496</v>
      </c>
      <c r="B435" s="4" t="n">
        <v>12</v>
      </c>
    </row>
    <row r="436" customFormat="false" ht="15" hidden="false" customHeight="false" outlineLevel="0" collapsed="false">
      <c r="A436" s="4" t="s">
        <v>2537</v>
      </c>
      <c r="B436" s="4" t="n">
        <v>11</v>
      </c>
    </row>
    <row r="439" customFormat="false" ht="15" hidden="false" customHeight="false" outlineLevel="0" collapsed="false">
      <c r="A439" s="17" t="s">
        <v>7032</v>
      </c>
      <c r="B439" s="18"/>
    </row>
    <row r="440" customFormat="false" ht="15" hidden="false" customHeight="false" outlineLevel="0" collapsed="false">
      <c r="A440" s="19" t="s">
        <v>7033</v>
      </c>
    </row>
    <row r="441" customFormat="false" ht="15" hidden="false" customHeight="false" outlineLevel="0" collapsed="false">
      <c r="A441" s="23" t="s">
        <v>1246</v>
      </c>
    </row>
    <row r="442" customFormat="false" ht="15" hidden="false" customHeight="false" outlineLevel="0" collapsed="false">
      <c r="A442" s="21" t="s">
        <v>7012</v>
      </c>
    </row>
    <row r="443" customFormat="false" ht="15" hidden="false" customHeight="false" outlineLevel="0" collapsed="false">
      <c r="A443" s="21" t="s">
        <v>6647</v>
      </c>
    </row>
    <row r="444" customFormat="false" ht="15" hidden="false" customHeight="false" outlineLevel="0" collapsed="false">
      <c r="A444" s="22" t="s">
        <v>8</v>
      </c>
      <c r="B444" s="22" t="s">
        <v>7034</v>
      </c>
    </row>
    <row r="445" customFormat="false" ht="15" hidden="false" customHeight="false" outlineLevel="0" collapsed="false">
      <c r="A445" s="4" t="s">
        <v>7035</v>
      </c>
      <c r="B445" s="4" t="s">
        <v>7036</v>
      </c>
    </row>
    <row r="446" customFormat="false" ht="15" hidden="false" customHeight="false" outlineLevel="0" collapsed="false">
      <c r="A446" s="4" t="s">
        <v>7037</v>
      </c>
      <c r="B446" s="4" t="s">
        <v>7038</v>
      </c>
    </row>
    <row r="447" customFormat="false" ht="15" hidden="false" customHeight="false" outlineLevel="0" collapsed="false">
      <c r="A447" s="4" t="s">
        <v>7039</v>
      </c>
      <c r="B447" s="4" t="s">
        <v>7040</v>
      </c>
    </row>
    <row r="448" customFormat="false" ht="15" hidden="false" customHeight="false" outlineLevel="0" collapsed="false">
      <c r="A448" s="4" t="s">
        <v>7041</v>
      </c>
      <c r="B448" s="4" t="s">
        <v>7042</v>
      </c>
    </row>
    <row r="449" customFormat="false" ht="15" hidden="false" customHeight="false" outlineLevel="0" collapsed="false">
      <c r="A449" s="4" t="s">
        <v>5990</v>
      </c>
      <c r="B449" s="4" t="s">
        <v>7043</v>
      </c>
    </row>
    <row r="450" customFormat="false" ht="15" hidden="false" customHeight="false" outlineLevel="0" collapsed="false">
      <c r="A450" s="4" t="s">
        <v>2537</v>
      </c>
      <c r="B450" s="4" t="s">
        <v>2030</v>
      </c>
    </row>
    <row r="453" customFormat="false" ht="15" hidden="false" customHeight="false" outlineLevel="0" collapsed="false">
      <c r="A453" s="17" t="s">
        <v>7044</v>
      </c>
      <c r="B453" s="18"/>
      <c r="C453" s="18"/>
    </row>
    <row r="454" customFormat="false" ht="15" hidden="false" customHeight="false" outlineLevel="0" collapsed="false">
      <c r="A454" s="19" t="s">
        <v>7045</v>
      </c>
    </row>
    <row r="455" customFormat="false" ht="15" hidden="false" customHeight="false" outlineLevel="0" collapsed="false">
      <c r="A455" s="23" t="s">
        <v>1246</v>
      </c>
    </row>
    <row r="456" customFormat="false" ht="15" hidden="false" customHeight="false" outlineLevel="0" collapsed="false">
      <c r="A456" s="21" t="s">
        <v>7012</v>
      </c>
    </row>
    <row r="457" customFormat="false" ht="15" hidden="false" customHeight="false" outlineLevel="0" collapsed="false">
      <c r="A457" s="21" t="s">
        <v>6647</v>
      </c>
    </row>
    <row r="458" customFormat="false" ht="15" hidden="false" customHeight="false" outlineLevel="0" collapsed="false">
      <c r="A458" s="22" t="s">
        <v>1551</v>
      </c>
      <c r="B458" s="22" t="s">
        <v>2610</v>
      </c>
      <c r="C458" s="22" t="s">
        <v>2611</v>
      </c>
    </row>
    <row r="459" customFormat="false" ht="15" hidden="false" customHeight="false" outlineLevel="0" collapsed="false">
      <c r="A459" s="4" t="s">
        <v>7046</v>
      </c>
      <c r="B459" s="4" t="n">
        <v>4.33</v>
      </c>
      <c r="C459" s="4" t="n">
        <v>0.456</v>
      </c>
    </row>
    <row r="460" customFormat="false" ht="15" hidden="false" customHeight="false" outlineLevel="0" collapsed="false">
      <c r="A460" s="4" t="s">
        <v>5436</v>
      </c>
      <c r="B460" s="4" t="n">
        <v>9.96</v>
      </c>
      <c r="C460" s="4" t="n">
        <v>0.259</v>
      </c>
    </row>
    <row r="463" customFormat="false" ht="15" hidden="false" customHeight="false" outlineLevel="0" collapsed="false">
      <c r="A463" s="17" t="s">
        <v>7047</v>
      </c>
      <c r="B463" s="18"/>
    </row>
    <row r="464" customFormat="false" ht="15" hidden="false" customHeight="false" outlineLevel="0" collapsed="false">
      <c r="A464" s="19" t="s">
        <v>7048</v>
      </c>
    </row>
    <row r="465" customFormat="false" ht="15" hidden="false" customHeight="false" outlineLevel="0" collapsed="false">
      <c r="A465" s="26" t="s">
        <v>2179</v>
      </c>
    </row>
    <row r="466" customFormat="false" ht="15" hidden="false" customHeight="false" outlineLevel="0" collapsed="false">
      <c r="A466" s="21" t="s">
        <v>7012</v>
      </c>
    </row>
    <row r="467" customFormat="false" ht="15" hidden="false" customHeight="false" outlineLevel="0" collapsed="false">
      <c r="A467" s="21" t="s">
        <v>6647</v>
      </c>
    </row>
    <row r="468" customFormat="false" ht="15" hidden="false" customHeight="false" outlineLevel="0" collapsed="false">
      <c r="A468" s="22" t="s">
        <v>3014</v>
      </c>
      <c r="B468" s="22" t="s">
        <v>7049</v>
      </c>
    </row>
    <row r="469" customFormat="false" ht="15" hidden="false" customHeight="false" outlineLevel="0" collapsed="false">
      <c r="A469" s="4" t="s">
        <v>7050</v>
      </c>
      <c r="B469" s="4" t="n">
        <v>1.16</v>
      </c>
    </row>
    <row r="470" customFormat="false" ht="15" hidden="false" customHeight="false" outlineLevel="0" collapsed="false">
      <c r="A470" s="4" t="s">
        <v>7051</v>
      </c>
      <c r="B470" s="4" t="n">
        <v>0.75</v>
      </c>
    </row>
    <row r="471" customFormat="false" ht="15" hidden="false" customHeight="false" outlineLevel="0" collapsed="false">
      <c r="A471" s="4" t="s">
        <v>7052</v>
      </c>
      <c r="B471" s="4" t="n">
        <v>0.17</v>
      </c>
    </row>
    <row r="472" customFormat="false" ht="15" hidden="false" customHeight="false" outlineLevel="0" collapsed="false">
      <c r="A472" s="4" t="s">
        <v>7053</v>
      </c>
      <c r="B472" s="4" t="s">
        <v>7054</v>
      </c>
    </row>
    <row r="475" customFormat="false" ht="15" hidden="false" customHeight="false" outlineLevel="0" collapsed="false">
      <c r="A475" s="17" t="s">
        <v>7055</v>
      </c>
      <c r="B475" s="18"/>
    </row>
    <row r="476" customFormat="false" ht="15" hidden="false" customHeight="false" outlineLevel="0" collapsed="false">
      <c r="A476" s="19" t="s">
        <v>7056</v>
      </c>
    </row>
    <row r="477" customFormat="false" ht="15" hidden="false" customHeight="false" outlineLevel="0" collapsed="false">
      <c r="A477" s="24" t="s">
        <v>1459</v>
      </c>
    </row>
    <row r="478" customFormat="false" ht="15" hidden="false" customHeight="false" outlineLevel="0" collapsed="false">
      <c r="A478" s="21" t="s">
        <v>7012</v>
      </c>
    </row>
    <row r="479" customFormat="false" ht="15" hidden="false" customHeight="false" outlineLevel="0" collapsed="false">
      <c r="A479" s="21" t="s">
        <v>6647</v>
      </c>
    </row>
    <row r="480" customFormat="false" ht="15" hidden="false" customHeight="false" outlineLevel="0" collapsed="false">
      <c r="A480" s="22" t="s">
        <v>2742</v>
      </c>
      <c r="B480" s="22" t="s">
        <v>7057</v>
      </c>
    </row>
    <row r="481" customFormat="false" ht="15" hidden="false" customHeight="false" outlineLevel="0" collapsed="false">
      <c r="A481" s="4" t="s">
        <v>7058</v>
      </c>
      <c r="B481" s="4" t="s">
        <v>5531</v>
      </c>
    </row>
    <row r="482" customFormat="false" ht="15" hidden="false" customHeight="false" outlineLevel="0" collapsed="false">
      <c r="A482" s="4" t="s">
        <v>1630</v>
      </c>
      <c r="B482" s="4" t="s">
        <v>7059</v>
      </c>
    </row>
    <row r="483" customFormat="false" ht="15" hidden="false" customHeight="false" outlineLevel="0" collapsed="false">
      <c r="A483" s="4" t="s">
        <v>8</v>
      </c>
      <c r="B483" s="4" t="s">
        <v>5760</v>
      </c>
    </row>
    <row r="484" customFormat="false" ht="15" hidden="false" customHeight="false" outlineLevel="0" collapsed="false">
      <c r="A484" s="4" t="s">
        <v>2441</v>
      </c>
      <c r="B484" s="4" t="s">
        <v>7060</v>
      </c>
    </row>
    <row r="485" customFormat="false" ht="15" hidden="false" customHeight="false" outlineLevel="0" collapsed="false">
      <c r="A485" s="4" t="s">
        <v>1674</v>
      </c>
      <c r="B485" s="4" t="s">
        <v>5759</v>
      </c>
    </row>
    <row r="488" customFormat="false" ht="15" hidden="false" customHeight="false" outlineLevel="0" collapsed="false">
      <c r="A488" s="17" t="s">
        <v>7061</v>
      </c>
      <c r="B488" s="18"/>
    </row>
    <row r="489" customFormat="false" ht="15" hidden="false" customHeight="false" outlineLevel="0" collapsed="false">
      <c r="A489" s="19" t="s">
        <v>7062</v>
      </c>
    </row>
    <row r="490" customFormat="false" ht="15" hidden="false" customHeight="false" outlineLevel="0" collapsed="false">
      <c r="A490" s="26" t="s">
        <v>2179</v>
      </c>
    </row>
    <row r="491" customFormat="false" ht="15" hidden="false" customHeight="false" outlineLevel="0" collapsed="false">
      <c r="A491" s="21" t="s">
        <v>7063</v>
      </c>
    </row>
    <row r="492" customFormat="false" ht="15" hidden="false" customHeight="false" outlineLevel="0" collapsed="false">
      <c r="A492" s="21" t="s">
        <v>6647</v>
      </c>
    </row>
    <row r="493" customFormat="false" ht="15" hidden="false" customHeight="false" outlineLevel="0" collapsed="false">
      <c r="A493" s="22" t="s">
        <v>7064</v>
      </c>
      <c r="B493" s="22" t="s">
        <v>7065</v>
      </c>
    </row>
    <row r="494" customFormat="false" ht="15" hidden="false" customHeight="false" outlineLevel="0" collapsed="false">
      <c r="A494" s="4" t="s">
        <v>7066</v>
      </c>
      <c r="B494" s="4" t="n">
        <v>1.5</v>
      </c>
    </row>
    <row r="495" customFormat="false" ht="15" hidden="false" customHeight="false" outlineLevel="0" collapsed="false">
      <c r="A495" s="4" t="s">
        <v>7067</v>
      </c>
      <c r="B495" s="4" t="n">
        <v>1.68</v>
      </c>
    </row>
    <row r="496" customFormat="false" ht="15" hidden="false" customHeight="false" outlineLevel="0" collapsed="false">
      <c r="A496" s="4" t="s">
        <v>7068</v>
      </c>
      <c r="B496" s="4" t="n">
        <v>2.04</v>
      </c>
    </row>
    <row r="497" customFormat="false" ht="15" hidden="false" customHeight="false" outlineLevel="0" collapsed="false">
      <c r="A497" s="4" t="s">
        <v>7069</v>
      </c>
      <c r="B497" s="4" t="n">
        <v>2.3</v>
      </c>
    </row>
    <row r="498" customFormat="false" ht="15" hidden="false" customHeight="false" outlineLevel="0" collapsed="false">
      <c r="A498" s="4" t="s">
        <v>7070</v>
      </c>
      <c r="B498" s="4" t="n">
        <v>2.3</v>
      </c>
    </row>
    <row r="499" customFormat="false" ht="15" hidden="false" customHeight="false" outlineLevel="0" collapsed="false">
      <c r="A499" s="4" t="s">
        <v>7071</v>
      </c>
      <c r="B499" s="4" t="n">
        <v>1.77</v>
      </c>
    </row>
    <row r="500" customFormat="false" ht="15" hidden="false" customHeight="false" outlineLevel="0" collapsed="false">
      <c r="A500" s="4" t="s">
        <v>7072</v>
      </c>
      <c r="B500" s="4" t="n">
        <v>1.59</v>
      </c>
    </row>
    <row r="501" customFormat="false" ht="15" hidden="false" customHeight="false" outlineLevel="0" collapsed="false">
      <c r="A501" s="4" t="s">
        <v>7073</v>
      </c>
      <c r="B501" s="4" t="n">
        <v>1.59</v>
      </c>
    </row>
    <row r="502" customFormat="false" ht="15" hidden="false" customHeight="false" outlineLevel="0" collapsed="false">
      <c r="A502" s="4" t="s">
        <v>7074</v>
      </c>
      <c r="B502" s="4" t="n">
        <v>1.68</v>
      </c>
    </row>
    <row r="503" customFormat="false" ht="15" hidden="false" customHeight="false" outlineLevel="0" collapsed="false">
      <c r="A503" s="4" t="s">
        <v>7075</v>
      </c>
      <c r="B503" s="4" t="n">
        <v>1.68</v>
      </c>
    </row>
    <row r="504" customFormat="false" ht="15" hidden="false" customHeight="false" outlineLevel="0" collapsed="false">
      <c r="A504" s="4" t="s">
        <v>7076</v>
      </c>
      <c r="B504" s="4" t="n">
        <v>1.5</v>
      </c>
    </row>
    <row r="505" customFormat="false" ht="15" hidden="false" customHeight="false" outlineLevel="0" collapsed="false">
      <c r="A505" s="4" t="s">
        <v>7077</v>
      </c>
      <c r="B505" s="4" t="n">
        <v>1.5</v>
      </c>
    </row>
    <row r="508" customFormat="false" ht="15" hidden="false" customHeight="false" outlineLevel="0" collapsed="false">
      <c r="A508" s="17" t="s">
        <v>7078</v>
      </c>
      <c r="B508" s="18"/>
      <c r="C508" s="18"/>
    </row>
    <row r="509" customFormat="false" ht="15" hidden="false" customHeight="false" outlineLevel="0" collapsed="false">
      <c r="A509" s="19" t="s">
        <v>7079</v>
      </c>
    </row>
    <row r="510" customFormat="false" ht="15" hidden="false" customHeight="false" outlineLevel="0" collapsed="false">
      <c r="A510" s="26" t="s">
        <v>2179</v>
      </c>
    </row>
    <row r="511" customFormat="false" ht="15" hidden="false" customHeight="false" outlineLevel="0" collapsed="false">
      <c r="A511" s="21" t="s">
        <v>7063</v>
      </c>
    </row>
    <row r="512" customFormat="false" ht="15" hidden="false" customHeight="false" outlineLevel="0" collapsed="false">
      <c r="A512" s="21" t="s">
        <v>6647</v>
      </c>
    </row>
    <row r="513" customFormat="false" ht="15" hidden="false" customHeight="false" outlineLevel="0" collapsed="false">
      <c r="A513" s="22" t="s">
        <v>2655</v>
      </c>
      <c r="B513" s="22" t="s">
        <v>7080</v>
      </c>
      <c r="C513" s="22" t="s">
        <v>7081</v>
      </c>
    </row>
    <row r="514" customFormat="false" ht="15" hidden="false" customHeight="false" outlineLevel="0" collapsed="false">
      <c r="A514" s="4" t="s">
        <v>7082</v>
      </c>
      <c r="B514" s="4" t="n">
        <v>50.9</v>
      </c>
      <c r="C514" s="4" t="n">
        <v>34.2</v>
      </c>
    </row>
    <row r="515" customFormat="false" ht="15" hidden="false" customHeight="false" outlineLevel="0" collapsed="false">
      <c r="A515" s="4" t="s">
        <v>7083</v>
      </c>
      <c r="B515" s="4" t="n">
        <v>30.5</v>
      </c>
      <c r="C515" s="4" t="n">
        <v>34.2</v>
      </c>
    </row>
    <row r="516" customFormat="false" ht="15" hidden="false" customHeight="false" outlineLevel="0" collapsed="false">
      <c r="A516" s="4" t="s">
        <v>7084</v>
      </c>
      <c r="B516" s="4" t="n">
        <v>15.3</v>
      </c>
      <c r="C516" s="4" t="n">
        <v>34.2</v>
      </c>
    </row>
    <row r="517" customFormat="false" ht="15" hidden="false" customHeight="false" outlineLevel="0" collapsed="false">
      <c r="A517" s="4" t="s">
        <v>7085</v>
      </c>
      <c r="B517" s="4" t="n">
        <v>1.1</v>
      </c>
      <c r="C517" s="4" t="n">
        <v>38.1</v>
      </c>
    </row>
    <row r="518" customFormat="false" ht="15" hidden="false" customHeight="false" outlineLevel="0" collapsed="false">
      <c r="A518" s="4" t="s">
        <v>7086</v>
      </c>
      <c r="B518" s="4" t="n">
        <v>1.1</v>
      </c>
      <c r="C518" s="4" t="n">
        <v>2.5</v>
      </c>
    </row>
    <row r="521" customFormat="false" ht="15" hidden="false" customHeight="false" outlineLevel="0" collapsed="false">
      <c r="A521" s="17" t="s">
        <v>7087</v>
      </c>
      <c r="B521" s="18"/>
    </row>
    <row r="522" customFormat="false" ht="15" hidden="false" customHeight="false" outlineLevel="0" collapsed="false">
      <c r="A522" s="19" t="s">
        <v>7088</v>
      </c>
    </row>
    <row r="523" customFormat="false" ht="15" hidden="false" customHeight="false" outlineLevel="0" collapsed="false">
      <c r="A523" s="26" t="s">
        <v>2179</v>
      </c>
    </row>
    <row r="524" customFormat="false" ht="15" hidden="false" customHeight="false" outlineLevel="0" collapsed="false">
      <c r="A524" s="21" t="s">
        <v>7063</v>
      </c>
    </row>
    <row r="525" customFormat="false" ht="15" hidden="false" customHeight="false" outlineLevel="0" collapsed="false">
      <c r="A525" s="21" t="s">
        <v>6647</v>
      </c>
    </row>
    <row r="526" customFormat="false" ht="15" hidden="false" customHeight="false" outlineLevel="0" collapsed="false">
      <c r="A526" s="22" t="s">
        <v>3014</v>
      </c>
      <c r="B526" s="22" t="s">
        <v>7089</v>
      </c>
    </row>
    <row r="527" customFormat="false" ht="15" hidden="false" customHeight="false" outlineLevel="0" collapsed="false">
      <c r="A527" s="4" t="s">
        <v>7090</v>
      </c>
      <c r="B527" s="4" t="n">
        <v>0.03</v>
      </c>
    </row>
    <row r="528" customFormat="false" ht="15" hidden="false" customHeight="false" outlineLevel="0" collapsed="false">
      <c r="A528" s="4" t="s">
        <v>7091</v>
      </c>
      <c r="B528" s="4" t="n">
        <v>0.26</v>
      </c>
    </row>
    <row r="529" customFormat="false" ht="15" hidden="false" customHeight="false" outlineLevel="0" collapsed="false">
      <c r="A529" s="4" t="s">
        <v>7092</v>
      </c>
      <c r="B529" s="4" t="s">
        <v>7093</v>
      </c>
    </row>
    <row r="530" customFormat="false" ht="15" hidden="false" customHeight="false" outlineLevel="0" collapsed="false">
      <c r="A530" s="4" t="s">
        <v>7094</v>
      </c>
      <c r="B530" s="4" t="s">
        <v>7095</v>
      </c>
    </row>
    <row r="531" customFormat="false" ht="15" hidden="false" customHeight="false" outlineLevel="0" collapsed="false">
      <c r="A531" s="4" t="s">
        <v>7096</v>
      </c>
      <c r="B531" s="4" t="n">
        <v>19.7</v>
      </c>
    </row>
    <row r="532" customFormat="false" ht="15" hidden="false" customHeight="false" outlineLevel="0" collapsed="false">
      <c r="A532" s="4" t="s">
        <v>7097</v>
      </c>
      <c r="B532" s="4" t="n">
        <v>45</v>
      </c>
    </row>
    <row r="535" customFormat="false" ht="15" hidden="false" customHeight="false" outlineLevel="0" collapsed="false">
      <c r="A535" s="17" t="s">
        <v>7098</v>
      </c>
      <c r="B535" s="18"/>
      <c r="C535" s="18"/>
    </row>
    <row r="536" customFormat="false" ht="15" hidden="false" customHeight="false" outlineLevel="0" collapsed="false">
      <c r="A536" s="19" t="s">
        <v>7099</v>
      </c>
    </row>
    <row r="537" customFormat="false" ht="15" hidden="false" customHeight="false" outlineLevel="0" collapsed="false">
      <c r="A537" s="24" t="s">
        <v>1459</v>
      </c>
    </row>
    <row r="538" customFormat="false" ht="15" hidden="false" customHeight="false" outlineLevel="0" collapsed="false">
      <c r="A538" s="21" t="s">
        <v>7063</v>
      </c>
    </row>
    <row r="539" customFormat="false" ht="15" hidden="false" customHeight="false" outlineLevel="0" collapsed="false">
      <c r="A539" s="21" t="s">
        <v>6647</v>
      </c>
    </row>
    <row r="540" customFormat="false" ht="15" hidden="false" customHeight="false" outlineLevel="0" collapsed="false">
      <c r="A540" s="22" t="s">
        <v>2655</v>
      </c>
      <c r="B540" s="22" t="s">
        <v>4665</v>
      </c>
      <c r="C540" s="22" t="s">
        <v>7100</v>
      </c>
    </row>
    <row r="541" customFormat="false" ht="15" hidden="false" customHeight="false" outlineLevel="0" collapsed="false">
      <c r="A541" s="4" t="s">
        <v>7101</v>
      </c>
      <c r="B541" s="4" t="n">
        <v>4.6</v>
      </c>
      <c r="C541" s="4" t="s">
        <v>3264</v>
      </c>
    </row>
    <row r="542" customFormat="false" ht="15" hidden="false" customHeight="false" outlineLevel="0" collapsed="false">
      <c r="A542" s="4" t="s">
        <v>7102</v>
      </c>
      <c r="B542" s="4" t="n">
        <v>4</v>
      </c>
      <c r="C542" s="4" t="s">
        <v>3265</v>
      </c>
    </row>
    <row r="543" customFormat="false" ht="15" hidden="false" customHeight="false" outlineLevel="0" collapsed="false">
      <c r="A543" s="4" t="s">
        <v>7103</v>
      </c>
      <c r="B543" s="4" t="n">
        <v>3.8</v>
      </c>
      <c r="C543" s="4" t="s">
        <v>3266</v>
      </c>
    </row>
    <row r="544" customFormat="false" ht="15" hidden="false" customHeight="false" outlineLevel="0" collapsed="false">
      <c r="A544" s="4" t="s">
        <v>7104</v>
      </c>
      <c r="B544" s="4" t="n">
        <v>3.3</v>
      </c>
      <c r="C544" s="4" t="s">
        <v>3266</v>
      </c>
    </row>
    <row r="545" customFormat="false" ht="15" hidden="false" customHeight="false" outlineLevel="0" collapsed="false">
      <c r="A545" s="4" t="s">
        <v>7105</v>
      </c>
      <c r="B545" s="4" t="n">
        <v>2.6</v>
      </c>
      <c r="C545" s="4" t="s">
        <v>3267</v>
      </c>
    </row>
    <row r="546" customFormat="false" ht="15" hidden="false" customHeight="false" outlineLevel="0" collapsed="false">
      <c r="A546" s="4" t="s">
        <v>7086</v>
      </c>
      <c r="B546" s="4" t="n">
        <v>1.9</v>
      </c>
      <c r="C546" s="4" t="s">
        <v>3269</v>
      </c>
    </row>
    <row r="549" customFormat="false" ht="15" hidden="false" customHeight="false" outlineLevel="0" collapsed="false">
      <c r="A549" s="17" t="s">
        <v>7106</v>
      </c>
      <c r="B549" s="18"/>
      <c r="C549" s="18"/>
      <c r="D549" s="18"/>
      <c r="E549" s="18"/>
    </row>
    <row r="550" customFormat="false" ht="15" hidden="false" customHeight="false" outlineLevel="0" collapsed="false">
      <c r="A550" s="19" t="s">
        <v>7107</v>
      </c>
    </row>
    <row r="551" customFormat="false" ht="15" hidden="false" customHeight="false" outlineLevel="0" collapsed="false">
      <c r="A551" s="26" t="s">
        <v>2179</v>
      </c>
    </row>
    <row r="552" customFormat="false" ht="15" hidden="false" customHeight="false" outlineLevel="0" collapsed="false">
      <c r="A552" s="21" t="s">
        <v>7063</v>
      </c>
    </row>
    <row r="553" customFormat="false" ht="15" hidden="false" customHeight="false" outlineLevel="0" collapsed="false">
      <c r="A553" s="21" t="s">
        <v>6647</v>
      </c>
    </row>
    <row r="554" customFormat="false" ht="15" hidden="false" customHeight="false" outlineLevel="0" collapsed="false">
      <c r="A554" s="22" t="s">
        <v>7108</v>
      </c>
      <c r="B554" s="22" t="s">
        <v>7109</v>
      </c>
      <c r="C554" s="22" t="s">
        <v>7110</v>
      </c>
      <c r="D554" s="22" t="s">
        <v>7111</v>
      </c>
      <c r="E554" s="22" t="s">
        <v>7112</v>
      </c>
    </row>
    <row r="555" customFormat="false" ht="15" hidden="false" customHeight="false" outlineLevel="0" collapsed="false">
      <c r="A555" s="4" t="s">
        <v>7113</v>
      </c>
      <c r="B555" s="4" t="n">
        <v>1.8</v>
      </c>
      <c r="C555" s="4" t="n">
        <v>3.9</v>
      </c>
      <c r="D555" s="4" t="s">
        <v>3123</v>
      </c>
      <c r="E555" s="4" t="s">
        <v>3128</v>
      </c>
    </row>
    <row r="556" customFormat="false" ht="15" hidden="false" customHeight="false" outlineLevel="0" collapsed="false">
      <c r="A556" s="4" t="s">
        <v>7114</v>
      </c>
      <c r="B556" s="4" t="n">
        <v>1.85</v>
      </c>
      <c r="C556" s="4" t="n">
        <v>3.8</v>
      </c>
      <c r="D556" s="4" t="s">
        <v>3124</v>
      </c>
      <c r="E556" s="4" t="s">
        <v>3129</v>
      </c>
    </row>
    <row r="557" customFormat="false" ht="15" hidden="false" customHeight="false" outlineLevel="0" collapsed="false">
      <c r="A557" s="4" t="s">
        <v>7115</v>
      </c>
      <c r="B557" s="4" t="n">
        <v>0.05</v>
      </c>
      <c r="C557" s="4" t="n">
        <v>2.23</v>
      </c>
      <c r="D557" s="4" t="s">
        <v>3125</v>
      </c>
      <c r="E557" s="4" t="s">
        <v>3130</v>
      </c>
    </row>
    <row r="558" customFormat="false" ht="15" hidden="false" customHeight="false" outlineLevel="0" collapsed="false">
      <c r="A558" s="4" t="s">
        <v>7116</v>
      </c>
      <c r="B558" s="4" t="n">
        <v>0.13</v>
      </c>
      <c r="C558" s="4" t="n">
        <v>1.86</v>
      </c>
      <c r="D558" s="4" t="s">
        <v>3126</v>
      </c>
      <c r="E558" s="4" t="s">
        <v>3131</v>
      </c>
    </row>
    <row r="561" customFormat="false" ht="15" hidden="false" customHeight="false" outlineLevel="0" collapsed="false">
      <c r="A561" s="17" t="s">
        <v>7117</v>
      </c>
      <c r="B561" s="18"/>
      <c r="C561" s="18"/>
      <c r="D561" s="18"/>
    </row>
    <row r="562" customFormat="false" ht="15" hidden="false" customHeight="false" outlineLevel="0" collapsed="false">
      <c r="A562" s="19" t="s">
        <v>7118</v>
      </c>
    </row>
    <row r="563" customFormat="false" ht="15" hidden="false" customHeight="false" outlineLevel="0" collapsed="false">
      <c r="A563" s="24" t="s">
        <v>1459</v>
      </c>
    </row>
    <row r="564" customFormat="false" ht="15" hidden="false" customHeight="false" outlineLevel="0" collapsed="false">
      <c r="A564" s="21" t="s">
        <v>7063</v>
      </c>
    </row>
    <row r="565" customFormat="false" ht="15" hidden="false" customHeight="false" outlineLevel="0" collapsed="false">
      <c r="A565" s="21" t="s">
        <v>6647</v>
      </c>
    </row>
    <row r="566" customFormat="false" ht="15" hidden="false" customHeight="false" outlineLevel="0" collapsed="false">
      <c r="A566" s="22" t="s">
        <v>3320</v>
      </c>
      <c r="B566" s="22" t="s">
        <v>3321</v>
      </c>
      <c r="C566" s="22" t="s">
        <v>3322</v>
      </c>
      <c r="D566" s="22" t="s">
        <v>3323</v>
      </c>
    </row>
    <row r="567" customFormat="false" ht="15" hidden="false" customHeight="false" outlineLevel="0" collapsed="false">
      <c r="A567" s="4" t="s">
        <v>3324</v>
      </c>
      <c r="B567" s="4" t="s">
        <v>3325</v>
      </c>
      <c r="C567" s="4" t="s">
        <v>3326</v>
      </c>
      <c r="D567" s="4" t="s">
        <v>3327</v>
      </c>
    </row>
    <row r="568" customFormat="false" ht="15" hidden="false" customHeight="false" outlineLevel="0" collapsed="false">
      <c r="A568" s="4" t="s">
        <v>7119</v>
      </c>
      <c r="B568" s="4" t="s">
        <v>3329</v>
      </c>
      <c r="C568" s="4" t="s">
        <v>1555</v>
      </c>
      <c r="D568" s="4" t="s">
        <v>3330</v>
      </c>
    </row>
    <row r="569" customFormat="false" ht="15" hidden="false" customHeight="false" outlineLevel="0" collapsed="false">
      <c r="A569" s="4" t="s">
        <v>3331</v>
      </c>
      <c r="B569" s="4" t="s">
        <v>3332</v>
      </c>
      <c r="C569" s="4" t="s">
        <v>3333</v>
      </c>
      <c r="D569" s="4" t="s">
        <v>3211</v>
      </c>
    </row>
    <row r="570" customFormat="false" ht="15" hidden="false" customHeight="false" outlineLevel="0" collapsed="false">
      <c r="A570" s="4" t="s">
        <v>3334</v>
      </c>
      <c r="B570" s="4" t="s">
        <v>3335</v>
      </c>
      <c r="C570" s="4" t="s">
        <v>3336</v>
      </c>
      <c r="D570" s="4" t="s">
        <v>3337</v>
      </c>
    </row>
    <row r="571" customFormat="false" ht="15" hidden="false" customHeight="false" outlineLevel="0" collapsed="false">
      <c r="A571" s="4" t="s">
        <v>3338</v>
      </c>
      <c r="B571" s="4" t="s">
        <v>3339</v>
      </c>
      <c r="C571" s="4" t="s">
        <v>3340</v>
      </c>
      <c r="D571" s="4" t="s">
        <v>3341</v>
      </c>
    </row>
    <row r="574" customFormat="false" ht="15" hidden="false" customHeight="false" outlineLevel="0" collapsed="false">
      <c r="A574" s="17" t="s">
        <v>7120</v>
      </c>
      <c r="B574" s="18"/>
    </row>
    <row r="575" customFormat="false" ht="15" hidden="false" customHeight="false" outlineLevel="0" collapsed="false">
      <c r="A575" s="19" t="s">
        <v>7062</v>
      </c>
    </row>
    <row r="576" customFormat="false" ht="15" hidden="false" customHeight="false" outlineLevel="0" collapsed="false">
      <c r="A576" s="26" t="s">
        <v>2179</v>
      </c>
    </row>
    <row r="577" customFormat="false" ht="15" hidden="false" customHeight="false" outlineLevel="0" collapsed="false">
      <c r="A577" s="21" t="s">
        <v>7063</v>
      </c>
    </row>
    <row r="578" customFormat="false" ht="15" hidden="false" customHeight="false" outlineLevel="0" collapsed="false">
      <c r="A578" s="21" t="s">
        <v>6647</v>
      </c>
    </row>
    <row r="579" customFormat="false" ht="15" hidden="false" customHeight="false" outlineLevel="0" collapsed="false">
      <c r="A579" s="22" t="s">
        <v>2952</v>
      </c>
      <c r="B579" s="22" t="s">
        <v>1319</v>
      </c>
    </row>
    <row r="580" customFormat="false" ht="15" hidden="false" customHeight="false" outlineLevel="0" collapsed="false">
      <c r="A580" s="4" t="s">
        <v>2185</v>
      </c>
      <c r="B580" s="4" t="s">
        <v>7121</v>
      </c>
    </row>
    <row r="581" customFormat="false" ht="15" hidden="false" customHeight="false" outlineLevel="0" collapsed="false">
      <c r="A581" s="4" t="s">
        <v>2924</v>
      </c>
      <c r="B581" s="4" t="s">
        <v>7122</v>
      </c>
    </row>
    <row r="582" customFormat="false" ht="15" hidden="false" customHeight="false" outlineLevel="0" collapsed="false">
      <c r="A582" s="4" t="s">
        <v>2926</v>
      </c>
      <c r="B582" s="4" t="s">
        <v>7123</v>
      </c>
    </row>
    <row r="583" customFormat="false" ht="15" hidden="false" customHeight="false" outlineLevel="0" collapsed="false">
      <c r="A583" s="4" t="s">
        <v>7124</v>
      </c>
      <c r="B583" s="4" t="s">
        <v>7125</v>
      </c>
    </row>
    <row r="584" customFormat="false" ht="15" hidden="false" customHeight="false" outlineLevel="0" collapsed="false">
      <c r="A584" s="4" t="s">
        <v>2785</v>
      </c>
      <c r="B584" s="4" t="s">
        <v>7126</v>
      </c>
    </row>
    <row r="585" customFormat="false" ht="15" hidden="false" customHeight="false" outlineLevel="0" collapsed="false">
      <c r="A585" s="4" t="s">
        <v>2786</v>
      </c>
      <c r="B585" s="4" t="s">
        <v>7127</v>
      </c>
    </row>
    <row r="586" customFormat="false" ht="15" hidden="false" customHeight="false" outlineLevel="0" collapsed="false">
      <c r="A586" s="4" t="s">
        <v>7128</v>
      </c>
      <c r="B586" s="4" t="s">
        <v>7129</v>
      </c>
    </row>
    <row r="587" customFormat="false" ht="15" hidden="false" customHeight="false" outlineLevel="0" collapsed="false">
      <c r="A587" s="4" t="s">
        <v>7130</v>
      </c>
      <c r="B587" s="4" t="s">
        <v>7131</v>
      </c>
    </row>
    <row r="588" customFormat="false" ht="15" hidden="false" customHeight="false" outlineLevel="0" collapsed="false">
      <c r="A588" s="4" t="s">
        <v>7132</v>
      </c>
      <c r="B588" s="4" t="s">
        <v>6435</v>
      </c>
    </row>
    <row r="591" customFormat="false" ht="15" hidden="false" customHeight="false" outlineLevel="0" collapsed="false">
      <c r="A591" s="17" t="s">
        <v>7133</v>
      </c>
      <c r="B591" s="18"/>
    </row>
    <row r="592" customFormat="false" ht="15" hidden="false" customHeight="false" outlineLevel="0" collapsed="false">
      <c r="A592" s="19" t="s">
        <v>7134</v>
      </c>
    </row>
    <row r="593" customFormat="false" ht="15" hidden="false" customHeight="false" outlineLevel="0" collapsed="false">
      <c r="A593" s="23" t="s">
        <v>1246</v>
      </c>
    </row>
    <row r="594" customFormat="false" ht="15" hidden="false" customHeight="false" outlineLevel="0" collapsed="false">
      <c r="A594" s="21" t="s">
        <v>7135</v>
      </c>
    </row>
    <row r="595" customFormat="false" ht="15" hidden="false" customHeight="false" outlineLevel="0" collapsed="false">
      <c r="A595" s="21" t="s">
        <v>6647</v>
      </c>
    </row>
    <row r="596" customFormat="false" ht="15" hidden="false" customHeight="false" outlineLevel="0" collapsed="false">
      <c r="A596" s="22" t="s">
        <v>3352</v>
      </c>
      <c r="B596" s="22" t="s">
        <v>3353</v>
      </c>
    </row>
    <row r="597" customFormat="false" ht="15" hidden="false" customHeight="false" outlineLevel="0" collapsed="false">
      <c r="A597" s="4" t="s">
        <v>3355</v>
      </c>
      <c r="B597" s="4" t="n">
        <v>15.2</v>
      </c>
    </row>
    <row r="598" customFormat="false" ht="15" hidden="false" customHeight="false" outlineLevel="0" collapsed="false">
      <c r="A598" s="4" t="s">
        <v>3357</v>
      </c>
      <c r="B598" s="4" t="n">
        <v>14.5</v>
      </c>
    </row>
    <row r="599" customFormat="false" ht="15" hidden="false" customHeight="false" outlineLevel="0" collapsed="false">
      <c r="A599" s="4" t="s">
        <v>3359</v>
      </c>
      <c r="B599" s="4" t="n">
        <v>14.2</v>
      </c>
    </row>
    <row r="600" customFormat="false" ht="15" hidden="false" customHeight="false" outlineLevel="0" collapsed="false">
      <c r="A600" s="4" t="s">
        <v>3361</v>
      </c>
      <c r="B600" s="4" t="n">
        <v>13.3</v>
      </c>
    </row>
    <row r="601" customFormat="false" ht="15" hidden="false" customHeight="false" outlineLevel="0" collapsed="false">
      <c r="A601" s="4" t="s">
        <v>3363</v>
      </c>
      <c r="B601" s="4" t="n">
        <v>12.9</v>
      </c>
    </row>
    <row r="602" customFormat="false" ht="15" hidden="false" customHeight="false" outlineLevel="0" collapsed="false">
      <c r="A602" s="4" t="s">
        <v>3364</v>
      </c>
      <c r="B602" s="4" t="n">
        <v>12.4</v>
      </c>
    </row>
    <row r="603" customFormat="false" ht="15" hidden="false" customHeight="false" outlineLevel="0" collapsed="false">
      <c r="A603" s="4" t="s">
        <v>3366</v>
      </c>
      <c r="B603" s="4" t="n">
        <v>12</v>
      </c>
    </row>
    <row r="604" customFormat="false" ht="15" hidden="false" customHeight="false" outlineLevel="0" collapsed="false">
      <c r="A604" s="4" t="s">
        <v>3367</v>
      </c>
      <c r="B604" s="4" t="n">
        <v>11.6</v>
      </c>
    </row>
    <row r="605" customFormat="false" ht="15" hidden="false" customHeight="false" outlineLevel="0" collapsed="false">
      <c r="A605" s="4" t="s">
        <v>3368</v>
      </c>
      <c r="B605" s="4" t="n">
        <v>9.9</v>
      </c>
    </row>
    <row r="606" customFormat="false" ht="15" hidden="false" customHeight="false" outlineLevel="0" collapsed="false">
      <c r="A606" s="4" t="s">
        <v>7136</v>
      </c>
      <c r="B606" s="4" t="n">
        <v>9.8</v>
      </c>
    </row>
    <row r="607" customFormat="false" ht="15" hidden="false" customHeight="false" outlineLevel="0" collapsed="false">
      <c r="A607" s="4" t="s">
        <v>3370</v>
      </c>
      <c r="B607" s="4" t="n">
        <v>9.5</v>
      </c>
    </row>
    <row r="608" customFormat="false" ht="15" hidden="false" customHeight="false" outlineLevel="0" collapsed="false">
      <c r="A608" s="4" t="s">
        <v>3371</v>
      </c>
      <c r="B608" s="4" t="n">
        <v>6.64</v>
      </c>
    </row>
    <row r="611" customFormat="false" ht="15" hidden="false" customHeight="false" outlineLevel="0" collapsed="false">
      <c r="A611" s="17" t="s">
        <v>7137</v>
      </c>
      <c r="B611" s="18"/>
      <c r="C611" s="18"/>
      <c r="D611" s="18"/>
      <c r="E611" s="18"/>
      <c r="F611" s="18"/>
      <c r="G611" s="18"/>
      <c r="H611" s="18"/>
    </row>
    <row r="612" customFormat="false" ht="15" hidden="false" customHeight="false" outlineLevel="0" collapsed="false">
      <c r="A612" s="19" t="s">
        <v>7138</v>
      </c>
    </row>
    <row r="613" customFormat="false" ht="15" hidden="false" customHeight="false" outlineLevel="0" collapsed="false">
      <c r="A613" s="26" t="s">
        <v>2179</v>
      </c>
    </row>
    <row r="614" customFormat="false" ht="15" hidden="false" customHeight="false" outlineLevel="0" collapsed="false">
      <c r="A614" s="21" t="s">
        <v>7135</v>
      </c>
    </row>
    <row r="615" customFormat="false" ht="15" hidden="false" customHeight="false" outlineLevel="0" collapsed="false">
      <c r="A615" s="21" t="s">
        <v>6647</v>
      </c>
    </row>
    <row r="616" customFormat="false" ht="15" hidden="false" customHeight="false" outlineLevel="0" collapsed="false">
      <c r="A616" s="22" t="s">
        <v>3014</v>
      </c>
      <c r="B616" s="22" t="s">
        <v>4587</v>
      </c>
      <c r="C616" s="22" t="s">
        <v>7139</v>
      </c>
      <c r="D616" s="22" t="s">
        <v>7140</v>
      </c>
      <c r="E616" s="22" t="s">
        <v>1603</v>
      </c>
      <c r="F616" s="22" t="s">
        <v>4413</v>
      </c>
      <c r="G616" s="22" t="s">
        <v>7141</v>
      </c>
      <c r="H616" s="22" t="s">
        <v>7142</v>
      </c>
    </row>
    <row r="617" customFormat="false" ht="15" hidden="false" customHeight="false" outlineLevel="0" collapsed="false">
      <c r="A617" s="4" t="s">
        <v>7143</v>
      </c>
      <c r="B617" s="4" t="n">
        <v>5</v>
      </c>
      <c r="C617" s="4" t="n">
        <v>8.5</v>
      </c>
      <c r="D617" s="4" t="n">
        <v>22</v>
      </c>
      <c r="E617" s="4" t="n">
        <v>10</v>
      </c>
      <c r="F617" s="4" t="n">
        <v>4.2</v>
      </c>
      <c r="G617" s="4" t="n">
        <v>3</v>
      </c>
      <c r="H617" s="4" t="n">
        <v>8.4</v>
      </c>
    </row>
    <row r="618" customFormat="false" ht="15" hidden="false" customHeight="false" outlineLevel="0" collapsed="false">
      <c r="A618" s="4" t="s">
        <v>7144</v>
      </c>
      <c r="B618" s="4" t="n">
        <v>3.2</v>
      </c>
      <c r="C618" s="4" t="n">
        <v>5.5</v>
      </c>
      <c r="D618" s="4" t="n">
        <v>15.5</v>
      </c>
      <c r="E618" s="4" t="n">
        <v>7.5</v>
      </c>
      <c r="F618" s="4" t="n">
        <v>3.3</v>
      </c>
      <c r="G618" s="4" t="n">
        <v>1.7</v>
      </c>
      <c r="H618" s="4" t="n">
        <v>5.7</v>
      </c>
    </row>
    <row r="619" customFormat="false" ht="15" hidden="false" customHeight="false" outlineLevel="0" collapsed="false">
      <c r="A619" s="4" t="s">
        <v>7145</v>
      </c>
      <c r="B619" s="4" t="n">
        <v>1.5</v>
      </c>
      <c r="C619" s="4" t="n">
        <v>7</v>
      </c>
      <c r="D619" s="4" t="n">
        <v>28</v>
      </c>
      <c r="E619" s="4" t="n">
        <v>17</v>
      </c>
      <c r="F619" s="4" t="n">
        <v>6</v>
      </c>
      <c r="G619" s="4" t="n">
        <v>3</v>
      </c>
      <c r="H619" s="4" t="n">
        <v>11.5</v>
      </c>
    </row>
    <row r="622" customFormat="false" ht="15" hidden="false" customHeight="false" outlineLevel="0" collapsed="false">
      <c r="A622" s="17" t="s">
        <v>7146</v>
      </c>
      <c r="B622" s="18"/>
      <c r="C622" s="18"/>
      <c r="D622" s="18"/>
    </row>
    <row r="623" customFormat="false" ht="15" hidden="false" customHeight="false" outlineLevel="0" collapsed="false">
      <c r="A623" s="19" t="s">
        <v>7138</v>
      </c>
    </row>
    <row r="624" customFormat="false" ht="15" hidden="false" customHeight="false" outlineLevel="0" collapsed="false">
      <c r="A624" s="19" t="s">
        <v>7147</v>
      </c>
    </row>
    <row r="625" customFormat="false" ht="15" hidden="false" customHeight="false" outlineLevel="0" collapsed="false">
      <c r="A625" s="26" t="s">
        <v>2179</v>
      </c>
    </row>
    <row r="626" customFormat="false" ht="15" hidden="false" customHeight="false" outlineLevel="0" collapsed="false">
      <c r="A626" s="21" t="s">
        <v>7135</v>
      </c>
    </row>
    <row r="627" customFormat="false" ht="15" hidden="false" customHeight="false" outlineLevel="0" collapsed="false">
      <c r="A627" s="21" t="s">
        <v>6647</v>
      </c>
    </row>
    <row r="628" customFormat="false" ht="15" hidden="false" customHeight="false" outlineLevel="0" collapsed="false">
      <c r="A628" s="22" t="s">
        <v>2952</v>
      </c>
      <c r="B628" s="22" t="s">
        <v>7148</v>
      </c>
      <c r="C628" s="22" t="s">
        <v>7149</v>
      </c>
      <c r="D628" s="22" t="s">
        <v>3511</v>
      </c>
    </row>
    <row r="629" customFormat="false" ht="15" hidden="false" customHeight="false" outlineLevel="0" collapsed="false">
      <c r="A629" s="4" t="s">
        <v>7150</v>
      </c>
      <c r="B629" s="4" t="n">
        <v>5</v>
      </c>
      <c r="C629" s="4" t="n">
        <v>100</v>
      </c>
      <c r="D629" s="4" t="s">
        <v>1555</v>
      </c>
    </row>
    <row r="630" customFormat="false" ht="15" hidden="false" customHeight="false" outlineLevel="0" collapsed="false">
      <c r="A630" s="4" t="s">
        <v>7151</v>
      </c>
      <c r="B630" s="4" t="n">
        <v>8.5</v>
      </c>
      <c r="C630" s="4" t="n">
        <v>170</v>
      </c>
      <c r="D630" s="4" t="s">
        <v>3459</v>
      </c>
    </row>
    <row r="631" customFormat="false" ht="23.85" hidden="false" customHeight="false" outlineLevel="0" collapsed="false">
      <c r="A631" s="4" t="s">
        <v>7152</v>
      </c>
      <c r="B631" s="4" t="n">
        <v>22</v>
      </c>
      <c r="C631" s="4" t="n">
        <v>440</v>
      </c>
      <c r="D631" s="4" t="s">
        <v>3461</v>
      </c>
    </row>
    <row r="632" customFormat="false" ht="15" hidden="false" customHeight="false" outlineLevel="0" collapsed="false">
      <c r="A632" s="4" t="s">
        <v>3462</v>
      </c>
      <c r="B632" s="4" t="n">
        <v>10</v>
      </c>
      <c r="C632" s="4" t="n">
        <v>200</v>
      </c>
      <c r="D632" s="4" t="s">
        <v>3463</v>
      </c>
    </row>
    <row r="633" customFormat="false" ht="15" hidden="false" customHeight="false" outlineLevel="0" collapsed="false">
      <c r="A633" s="4" t="s">
        <v>3464</v>
      </c>
      <c r="B633" s="4" t="n">
        <v>4.2</v>
      </c>
      <c r="C633" s="4" t="n">
        <v>84</v>
      </c>
      <c r="D633" s="4" t="s">
        <v>3465</v>
      </c>
    </row>
    <row r="634" customFormat="false" ht="15" hidden="false" customHeight="false" outlineLevel="0" collapsed="false">
      <c r="A634" s="4" t="s">
        <v>7153</v>
      </c>
      <c r="B634" s="4" t="n">
        <v>2</v>
      </c>
      <c r="C634" s="4" t="n">
        <v>40</v>
      </c>
      <c r="D634" s="4" t="s">
        <v>3467</v>
      </c>
    </row>
    <row r="635" customFormat="false" ht="15" hidden="false" customHeight="false" outlineLevel="0" collapsed="false">
      <c r="A635" s="4" t="s">
        <v>7154</v>
      </c>
      <c r="B635" s="4" t="n">
        <v>1</v>
      </c>
      <c r="C635" s="4" t="n">
        <v>20</v>
      </c>
      <c r="D635" s="4" t="s">
        <v>3469</v>
      </c>
    </row>
    <row r="636" customFormat="false" ht="15" hidden="false" customHeight="false" outlineLevel="0" collapsed="false">
      <c r="A636" s="4" t="s">
        <v>7155</v>
      </c>
      <c r="B636" s="4" t="n">
        <v>3</v>
      </c>
      <c r="C636" s="4" t="n">
        <v>60</v>
      </c>
      <c r="D636" s="4" t="s">
        <v>3473</v>
      </c>
    </row>
    <row r="637" customFormat="false" ht="15" hidden="false" customHeight="false" outlineLevel="0" collapsed="false">
      <c r="A637" s="4" t="s">
        <v>3444</v>
      </c>
      <c r="B637" s="4" t="n">
        <v>2.5</v>
      </c>
      <c r="C637" s="4" t="n">
        <v>50</v>
      </c>
      <c r="D637" s="4" t="s">
        <v>3475</v>
      </c>
    </row>
    <row r="638" customFormat="false" ht="15" hidden="false" customHeight="false" outlineLevel="0" collapsed="false">
      <c r="A638" s="4" t="s">
        <v>3476</v>
      </c>
      <c r="B638" s="4" t="n">
        <v>2.9</v>
      </c>
      <c r="C638" s="4" t="n">
        <v>58</v>
      </c>
      <c r="D638" s="4" t="s">
        <v>2231</v>
      </c>
    </row>
    <row r="639" customFormat="false" ht="15" hidden="false" customHeight="false" outlineLevel="0" collapsed="false">
      <c r="A639" s="4" t="s">
        <v>3477</v>
      </c>
      <c r="B639" s="4" t="n">
        <v>56.1</v>
      </c>
      <c r="C639" s="4" t="n">
        <v>1122</v>
      </c>
      <c r="D639" s="4"/>
    </row>
    <row r="640" customFormat="false" ht="15" hidden="false" customHeight="false" outlineLevel="0" collapsed="false">
      <c r="A640" s="4" t="s">
        <v>3479</v>
      </c>
      <c r="B640" s="4" t="n">
        <v>61.1</v>
      </c>
      <c r="C640" s="4" t="n">
        <v>1222</v>
      </c>
      <c r="D640" s="4"/>
    </row>
    <row r="643" customFormat="false" ht="15" hidden="false" customHeight="false" outlineLevel="0" collapsed="false">
      <c r="A643" s="17" t="s">
        <v>7156</v>
      </c>
      <c r="B643" s="18"/>
      <c r="C643" s="18"/>
      <c r="D643" s="18"/>
    </row>
    <row r="644" customFormat="false" ht="15" hidden="false" customHeight="false" outlineLevel="0" collapsed="false">
      <c r="A644" s="19" t="s">
        <v>7138</v>
      </c>
    </row>
    <row r="645" customFormat="false" ht="15" hidden="false" customHeight="false" outlineLevel="0" collapsed="false">
      <c r="A645" s="19" t="s">
        <v>7157</v>
      </c>
    </row>
    <row r="646" customFormat="false" ht="15" hidden="false" customHeight="false" outlineLevel="0" collapsed="false">
      <c r="A646" s="26" t="s">
        <v>2179</v>
      </c>
    </row>
    <row r="647" customFormat="false" ht="15" hidden="false" customHeight="false" outlineLevel="0" collapsed="false">
      <c r="A647" s="21" t="s">
        <v>7135</v>
      </c>
    </row>
    <row r="648" customFormat="false" ht="15" hidden="false" customHeight="false" outlineLevel="0" collapsed="false">
      <c r="A648" s="21" t="s">
        <v>6647</v>
      </c>
    </row>
    <row r="649" customFormat="false" ht="15" hidden="false" customHeight="false" outlineLevel="0" collapsed="false">
      <c r="A649" s="22" t="s">
        <v>2952</v>
      </c>
      <c r="B649" s="22" t="s">
        <v>7148</v>
      </c>
      <c r="C649" s="22" t="s">
        <v>7149</v>
      </c>
      <c r="D649" s="22" t="s">
        <v>3511</v>
      </c>
    </row>
    <row r="650" customFormat="false" ht="15" hidden="false" customHeight="false" outlineLevel="0" collapsed="false">
      <c r="A650" s="4" t="s">
        <v>7158</v>
      </c>
      <c r="B650" s="4" t="n">
        <v>3.2</v>
      </c>
      <c r="C650" s="4" t="n">
        <v>160</v>
      </c>
      <c r="D650" s="4" t="s">
        <v>1555</v>
      </c>
    </row>
    <row r="651" customFormat="false" ht="15" hidden="false" customHeight="false" outlineLevel="0" collapsed="false">
      <c r="A651" s="4" t="s">
        <v>7139</v>
      </c>
      <c r="B651" s="4" t="n">
        <v>5.5</v>
      </c>
      <c r="C651" s="4" t="n">
        <v>275</v>
      </c>
      <c r="D651" s="4" t="s">
        <v>3489</v>
      </c>
    </row>
    <row r="652" customFormat="false" ht="15" hidden="false" customHeight="false" outlineLevel="0" collapsed="false">
      <c r="A652" s="4" t="s">
        <v>3490</v>
      </c>
      <c r="B652" s="4" t="n">
        <v>15.5</v>
      </c>
      <c r="C652" s="4" t="n">
        <v>775</v>
      </c>
      <c r="D652" s="4" t="s">
        <v>3491</v>
      </c>
    </row>
    <row r="653" customFormat="false" ht="15" hidden="false" customHeight="false" outlineLevel="0" collapsed="false">
      <c r="A653" s="4" t="s">
        <v>1603</v>
      </c>
      <c r="B653" s="4" t="n">
        <v>7.5</v>
      </c>
      <c r="C653" s="4" t="n">
        <v>375</v>
      </c>
      <c r="D653" s="4" t="s">
        <v>3492</v>
      </c>
    </row>
    <row r="654" customFormat="false" ht="15" hidden="false" customHeight="false" outlineLevel="0" collapsed="false">
      <c r="A654" s="4" t="s">
        <v>3493</v>
      </c>
      <c r="B654" s="4" t="n">
        <v>3.3</v>
      </c>
      <c r="C654" s="4" t="n">
        <v>165</v>
      </c>
      <c r="D654" s="4" t="s">
        <v>3494</v>
      </c>
    </row>
    <row r="655" customFormat="false" ht="15" hidden="false" customHeight="false" outlineLevel="0" collapsed="false">
      <c r="A655" s="4" t="s">
        <v>3495</v>
      </c>
      <c r="B655" s="4" t="n">
        <v>1.4</v>
      </c>
      <c r="C655" s="4" t="n">
        <v>70</v>
      </c>
      <c r="D655" s="4" t="s">
        <v>3467</v>
      </c>
    </row>
    <row r="656" customFormat="false" ht="15" hidden="false" customHeight="false" outlineLevel="0" collapsed="false">
      <c r="A656" s="4" t="s">
        <v>3496</v>
      </c>
      <c r="B656" s="4" t="n">
        <v>0.3</v>
      </c>
      <c r="C656" s="4" t="n">
        <v>15</v>
      </c>
      <c r="D656" s="4" t="s">
        <v>3497</v>
      </c>
    </row>
    <row r="657" customFormat="false" ht="15" hidden="false" customHeight="false" outlineLevel="0" collapsed="false">
      <c r="A657" s="4" t="s">
        <v>7159</v>
      </c>
      <c r="B657" s="4" t="n">
        <v>1.7</v>
      </c>
      <c r="C657" s="4" t="n">
        <v>85</v>
      </c>
      <c r="D657" s="4" t="s">
        <v>3500</v>
      </c>
    </row>
    <row r="658" customFormat="false" ht="15" hidden="false" customHeight="false" outlineLevel="0" collapsed="false">
      <c r="A658" s="4" t="s">
        <v>3444</v>
      </c>
      <c r="B658" s="4" t="n">
        <v>1.7</v>
      </c>
      <c r="C658" s="4" t="n">
        <v>85</v>
      </c>
      <c r="D658" s="4" t="s">
        <v>3500</v>
      </c>
    </row>
    <row r="659" customFormat="false" ht="15" hidden="false" customHeight="false" outlineLevel="0" collapsed="false">
      <c r="A659" s="4" t="s">
        <v>3476</v>
      </c>
      <c r="B659" s="4" t="n">
        <v>2.3</v>
      </c>
      <c r="C659" s="4" t="n">
        <v>115</v>
      </c>
      <c r="D659" s="4" t="s">
        <v>3502</v>
      </c>
    </row>
    <row r="660" customFormat="false" ht="15" hidden="false" customHeight="false" outlineLevel="0" collapsed="false">
      <c r="A660" s="4" t="s">
        <v>3503</v>
      </c>
      <c r="B660" s="4" t="n">
        <v>39.2</v>
      </c>
      <c r="C660" s="4" t="n">
        <v>1960</v>
      </c>
      <c r="D660" s="4"/>
    </row>
    <row r="661" customFormat="false" ht="15" hidden="false" customHeight="false" outlineLevel="0" collapsed="false">
      <c r="A661" s="4" t="s">
        <v>3479</v>
      </c>
      <c r="B661" s="4" t="n">
        <v>42.4</v>
      </c>
      <c r="C661" s="4" t="n">
        <v>2120</v>
      </c>
      <c r="D661" s="4"/>
    </row>
    <row r="664" customFormat="false" ht="15" hidden="false" customHeight="false" outlineLevel="0" collapsed="false">
      <c r="A664" s="17" t="s">
        <v>7160</v>
      </c>
      <c r="B664" s="18"/>
      <c r="C664" s="18"/>
      <c r="D664" s="18"/>
    </row>
    <row r="665" customFormat="false" ht="15" hidden="false" customHeight="false" outlineLevel="0" collapsed="false">
      <c r="A665" s="19" t="s">
        <v>7138</v>
      </c>
    </row>
    <row r="666" customFormat="false" ht="15" hidden="false" customHeight="false" outlineLevel="0" collapsed="false">
      <c r="A666" s="19" t="s">
        <v>7161</v>
      </c>
    </row>
    <row r="667" customFormat="false" ht="15" hidden="false" customHeight="false" outlineLevel="0" collapsed="false">
      <c r="A667" s="26" t="s">
        <v>2179</v>
      </c>
    </row>
    <row r="668" customFormat="false" ht="15" hidden="false" customHeight="false" outlineLevel="0" collapsed="false">
      <c r="A668" s="21" t="s">
        <v>7135</v>
      </c>
    </row>
    <row r="669" customFormat="false" ht="15" hidden="false" customHeight="false" outlineLevel="0" collapsed="false">
      <c r="A669" s="21" t="s">
        <v>6647</v>
      </c>
    </row>
    <row r="670" customFormat="false" ht="15" hidden="false" customHeight="false" outlineLevel="0" collapsed="false">
      <c r="A670" s="22" t="s">
        <v>2952</v>
      </c>
      <c r="B670" s="22" t="s">
        <v>7148</v>
      </c>
      <c r="C670" s="22" t="s">
        <v>7149</v>
      </c>
      <c r="D670" s="22" t="s">
        <v>3511</v>
      </c>
    </row>
    <row r="671" customFormat="false" ht="15" hidden="false" customHeight="false" outlineLevel="0" collapsed="false">
      <c r="A671" s="4" t="s">
        <v>7162</v>
      </c>
      <c r="B671" s="4" t="n">
        <v>1.5</v>
      </c>
      <c r="C671" s="4" t="n">
        <v>150</v>
      </c>
      <c r="D671" s="4" t="s">
        <v>1555</v>
      </c>
    </row>
    <row r="672" customFormat="false" ht="15" hidden="false" customHeight="false" outlineLevel="0" collapsed="false">
      <c r="A672" s="4" t="s">
        <v>7139</v>
      </c>
      <c r="B672" s="4" t="n">
        <v>7</v>
      </c>
      <c r="C672" s="4" t="n">
        <v>700</v>
      </c>
      <c r="D672" s="4" t="s">
        <v>7163</v>
      </c>
    </row>
    <row r="673" customFormat="false" ht="15" hidden="false" customHeight="false" outlineLevel="0" collapsed="false">
      <c r="A673" s="4" t="s">
        <v>7164</v>
      </c>
      <c r="B673" s="4" t="n">
        <v>28</v>
      </c>
      <c r="C673" s="4" t="n">
        <v>2800</v>
      </c>
      <c r="D673" s="4" t="s">
        <v>3516</v>
      </c>
    </row>
    <row r="674" customFormat="false" ht="15" hidden="false" customHeight="false" outlineLevel="0" collapsed="false">
      <c r="A674" s="4" t="s">
        <v>3517</v>
      </c>
      <c r="B674" s="4" t="n">
        <v>17</v>
      </c>
      <c r="C674" s="4" t="n">
        <v>1700</v>
      </c>
      <c r="D674" s="4" t="s">
        <v>3518</v>
      </c>
    </row>
    <row r="675" customFormat="false" ht="15" hidden="false" customHeight="false" outlineLevel="0" collapsed="false">
      <c r="A675" s="4" t="s">
        <v>3519</v>
      </c>
      <c r="B675" s="4" t="n">
        <v>6</v>
      </c>
      <c r="C675" s="4" t="n">
        <v>600</v>
      </c>
      <c r="D675" s="4" t="s">
        <v>3520</v>
      </c>
    </row>
    <row r="676" customFormat="false" ht="15" hidden="false" customHeight="false" outlineLevel="0" collapsed="false">
      <c r="A676" s="4" t="s">
        <v>3521</v>
      </c>
      <c r="B676" s="4" t="n">
        <v>2</v>
      </c>
      <c r="C676" s="4" t="n">
        <v>200</v>
      </c>
      <c r="D676" s="4" t="s">
        <v>2230</v>
      </c>
    </row>
    <row r="677" customFormat="false" ht="15" hidden="false" customHeight="false" outlineLevel="0" collapsed="false">
      <c r="A677" s="4" t="s">
        <v>7165</v>
      </c>
      <c r="B677" s="4" t="n">
        <v>1</v>
      </c>
      <c r="C677" s="4" t="n">
        <v>100</v>
      </c>
      <c r="D677" s="4" t="s">
        <v>3523</v>
      </c>
    </row>
    <row r="678" customFormat="false" ht="15" hidden="false" customHeight="false" outlineLevel="0" collapsed="false">
      <c r="A678" s="4" t="s">
        <v>7166</v>
      </c>
      <c r="B678" s="4" t="n">
        <v>11.5</v>
      </c>
      <c r="C678" s="4" t="n">
        <v>1150</v>
      </c>
      <c r="D678" s="4" t="s">
        <v>3527</v>
      </c>
    </row>
    <row r="679" customFormat="false" ht="15" hidden="false" customHeight="false" outlineLevel="0" collapsed="false">
      <c r="A679" s="4" t="s">
        <v>7167</v>
      </c>
      <c r="B679" s="4" t="n">
        <v>223</v>
      </c>
      <c r="C679" s="4" t="n">
        <v>22300</v>
      </c>
      <c r="D679" s="4" t="s">
        <v>6748</v>
      </c>
    </row>
    <row r="680" customFormat="false" ht="15" hidden="false" customHeight="false" outlineLevel="0" collapsed="false">
      <c r="A680" s="4" t="s">
        <v>3530</v>
      </c>
      <c r="B680" s="4" t="n">
        <v>32</v>
      </c>
      <c r="C680" s="4" t="n">
        <v>3240</v>
      </c>
      <c r="D680" s="4" t="s">
        <v>6748</v>
      </c>
    </row>
    <row r="681" customFormat="false" ht="15" hidden="false" customHeight="false" outlineLevel="0" collapsed="false">
      <c r="A681" s="4" t="s">
        <v>3531</v>
      </c>
      <c r="B681" s="4" t="n">
        <v>11</v>
      </c>
      <c r="C681" s="4" t="n">
        <v>1080</v>
      </c>
      <c r="D681" s="4" t="s">
        <v>6748</v>
      </c>
    </row>
    <row r="682" customFormat="false" ht="15" hidden="false" customHeight="false" outlineLevel="0" collapsed="false">
      <c r="A682" s="4" t="s">
        <v>3477</v>
      </c>
      <c r="B682" s="4" t="n">
        <v>72.5</v>
      </c>
      <c r="C682" s="4" t="n">
        <v>7250</v>
      </c>
      <c r="D682" s="4"/>
    </row>
    <row r="683" customFormat="false" ht="15" hidden="false" customHeight="false" outlineLevel="0" collapsed="false">
      <c r="A683" s="4" t="s">
        <v>7168</v>
      </c>
      <c r="B683" s="4" t="n">
        <v>340</v>
      </c>
      <c r="C683" s="4" t="n">
        <v>34020</v>
      </c>
      <c r="D683" s="4"/>
    </row>
    <row r="686" customFormat="false" ht="15" hidden="false" customHeight="false" outlineLevel="0" collapsed="false">
      <c r="A686" s="17" t="s">
        <v>7169</v>
      </c>
      <c r="B686" s="18"/>
    </row>
    <row r="687" customFormat="false" ht="15" hidden="false" customHeight="false" outlineLevel="0" collapsed="false">
      <c r="A687" s="19" t="s">
        <v>7138</v>
      </c>
    </row>
    <row r="688" customFormat="false" ht="15" hidden="false" customHeight="false" outlineLevel="0" collapsed="false">
      <c r="A688" s="26" t="s">
        <v>2179</v>
      </c>
    </row>
    <row r="689" customFormat="false" ht="15" hidden="false" customHeight="false" outlineLevel="0" collapsed="false">
      <c r="A689" s="21" t="s">
        <v>7135</v>
      </c>
    </row>
    <row r="690" customFormat="false" ht="15" hidden="false" customHeight="false" outlineLevel="0" collapsed="false">
      <c r="A690" s="21" t="s">
        <v>6647</v>
      </c>
    </row>
    <row r="691" customFormat="false" ht="15" hidden="false" customHeight="false" outlineLevel="0" collapsed="false">
      <c r="A691" s="22" t="s">
        <v>2952</v>
      </c>
      <c r="B691" s="22" t="s">
        <v>3636</v>
      </c>
    </row>
    <row r="692" customFormat="false" ht="15" hidden="false" customHeight="false" outlineLevel="0" collapsed="false">
      <c r="A692" s="4" t="s">
        <v>7170</v>
      </c>
      <c r="B692" s="4" t="n">
        <v>129</v>
      </c>
    </row>
    <row r="693" customFormat="false" ht="15" hidden="false" customHeight="false" outlineLevel="0" collapsed="false">
      <c r="A693" s="4" t="s">
        <v>7171</v>
      </c>
      <c r="B693" s="4" t="n">
        <v>15.3</v>
      </c>
    </row>
    <row r="694" customFormat="false" ht="15" hidden="false" customHeight="false" outlineLevel="0" collapsed="false">
      <c r="A694" s="4" t="s">
        <v>3644</v>
      </c>
      <c r="B694" s="4" t="n">
        <v>15</v>
      </c>
    </row>
    <row r="695" customFormat="false" ht="15" hidden="false" customHeight="false" outlineLevel="0" collapsed="false">
      <c r="A695" s="4" t="s">
        <v>7172</v>
      </c>
      <c r="B695" s="4" t="n">
        <v>7.5</v>
      </c>
    </row>
    <row r="696" customFormat="false" ht="15" hidden="false" customHeight="false" outlineLevel="0" collapsed="false">
      <c r="A696" s="4" t="s">
        <v>3642</v>
      </c>
      <c r="B696" s="4" t="n">
        <v>2.2</v>
      </c>
    </row>
    <row r="697" customFormat="false" ht="15" hidden="false" customHeight="false" outlineLevel="0" collapsed="false">
      <c r="A697" s="4" t="s">
        <v>7173</v>
      </c>
      <c r="B697" s="4" t="n">
        <v>1.5</v>
      </c>
    </row>
    <row r="698" customFormat="false" ht="15" hidden="false" customHeight="false" outlineLevel="0" collapsed="false">
      <c r="A698" s="4" t="s">
        <v>3672</v>
      </c>
      <c r="B698" s="4" t="n">
        <v>1.5</v>
      </c>
    </row>
    <row r="699" customFormat="false" ht="15" hidden="false" customHeight="false" outlineLevel="0" collapsed="false">
      <c r="A699" s="4" t="s">
        <v>1680</v>
      </c>
      <c r="B699" s="4" t="n">
        <v>1</v>
      </c>
    </row>
    <row r="700" customFormat="false" ht="15" hidden="false" customHeight="false" outlineLevel="0" collapsed="false">
      <c r="A700" s="4" t="s">
        <v>7174</v>
      </c>
      <c r="B700" s="4" t="n">
        <v>1</v>
      </c>
    </row>
    <row r="703" customFormat="false" ht="15" hidden="false" customHeight="false" outlineLevel="0" collapsed="false">
      <c r="A703" s="17" t="s">
        <v>7175</v>
      </c>
      <c r="B703" s="18"/>
      <c r="C703" s="18"/>
    </row>
    <row r="704" customFormat="false" ht="15" hidden="false" customHeight="false" outlineLevel="0" collapsed="false">
      <c r="A704" s="19" t="s">
        <v>7138</v>
      </c>
    </row>
    <row r="705" customFormat="false" ht="15" hidden="false" customHeight="false" outlineLevel="0" collapsed="false">
      <c r="A705" s="26" t="s">
        <v>2179</v>
      </c>
    </row>
    <row r="706" customFormat="false" ht="15" hidden="false" customHeight="false" outlineLevel="0" collapsed="false">
      <c r="A706" s="21" t="s">
        <v>7135</v>
      </c>
    </row>
    <row r="707" customFormat="false" ht="15" hidden="false" customHeight="false" outlineLevel="0" collapsed="false">
      <c r="A707" s="21" t="s">
        <v>6647</v>
      </c>
    </row>
    <row r="708" customFormat="false" ht="15" hidden="false" customHeight="false" outlineLevel="0" collapsed="false">
      <c r="A708" s="22" t="s">
        <v>4144</v>
      </c>
      <c r="B708" s="22" t="s">
        <v>7176</v>
      </c>
      <c r="C708" s="22" t="s">
        <v>7177</v>
      </c>
    </row>
    <row r="709" customFormat="false" ht="15" hidden="false" customHeight="false" outlineLevel="0" collapsed="false">
      <c r="A709" s="4" t="s">
        <v>7178</v>
      </c>
      <c r="B709" s="4" t="n">
        <v>22</v>
      </c>
      <c r="C709" s="4" t="n">
        <v>35</v>
      </c>
    </row>
    <row r="710" customFormat="false" ht="15" hidden="false" customHeight="false" outlineLevel="0" collapsed="false">
      <c r="A710" s="4" t="s">
        <v>7179</v>
      </c>
      <c r="B710" s="4" t="n">
        <v>28.3</v>
      </c>
      <c r="C710" s="4" t="n">
        <v>31.1</v>
      </c>
    </row>
    <row r="711" customFormat="false" ht="15" hidden="false" customHeight="false" outlineLevel="0" collapsed="false">
      <c r="A711" s="4" t="s">
        <v>7180</v>
      </c>
      <c r="B711" s="4" t="n">
        <v>28.5</v>
      </c>
      <c r="C711" s="4" t="n">
        <v>30.9</v>
      </c>
    </row>
    <row r="712" customFormat="false" ht="15" hidden="false" customHeight="false" outlineLevel="0" collapsed="false">
      <c r="A712" s="4" t="s">
        <v>7181</v>
      </c>
      <c r="B712" s="4" t="n">
        <v>28.2</v>
      </c>
      <c r="C712" s="4" t="n">
        <v>31.2</v>
      </c>
    </row>
    <row r="713" customFormat="false" ht="15" hidden="false" customHeight="false" outlineLevel="0" collapsed="false">
      <c r="A713" s="4" t="s">
        <v>3881</v>
      </c>
      <c r="B713" s="4" t="n">
        <v>28.8</v>
      </c>
      <c r="C713" s="4" t="n">
        <v>30.6</v>
      </c>
    </row>
    <row r="716" customFormat="false" ht="15" hidden="false" customHeight="false" outlineLevel="0" collapsed="false">
      <c r="A716" s="17" t="s">
        <v>7182</v>
      </c>
      <c r="B716" s="18"/>
    </row>
    <row r="717" customFormat="false" ht="15" hidden="false" customHeight="false" outlineLevel="0" collapsed="false">
      <c r="A717" s="19" t="s">
        <v>7183</v>
      </c>
    </row>
    <row r="718" customFormat="false" ht="15" hidden="false" customHeight="false" outlineLevel="0" collapsed="false">
      <c r="A718" s="23" t="s">
        <v>1246</v>
      </c>
    </row>
    <row r="719" customFormat="false" ht="15" hidden="false" customHeight="false" outlineLevel="0" collapsed="false">
      <c r="A719" s="21" t="s">
        <v>7135</v>
      </c>
    </row>
    <row r="720" customFormat="false" ht="15" hidden="false" customHeight="false" outlineLevel="0" collapsed="false">
      <c r="A720" s="21" t="s">
        <v>6647</v>
      </c>
    </row>
    <row r="721" customFormat="false" ht="15" hidden="false" customHeight="false" outlineLevel="0" collapsed="false">
      <c r="A721" s="22" t="s">
        <v>3837</v>
      </c>
      <c r="B721" s="22" t="s">
        <v>7184</v>
      </c>
    </row>
    <row r="722" customFormat="false" ht="15" hidden="false" customHeight="false" outlineLevel="0" collapsed="false">
      <c r="A722" s="4" t="s">
        <v>7185</v>
      </c>
      <c r="B722" s="4" t="n">
        <v>150</v>
      </c>
    </row>
    <row r="723" customFormat="false" ht="15" hidden="false" customHeight="false" outlineLevel="0" collapsed="false">
      <c r="A723" s="4" t="s">
        <v>3841</v>
      </c>
      <c r="B723" s="4" t="n">
        <v>218</v>
      </c>
    </row>
    <row r="724" customFormat="false" ht="15" hidden="false" customHeight="false" outlineLevel="0" collapsed="false">
      <c r="A724" s="4" t="s">
        <v>7186</v>
      </c>
      <c r="B724" s="4" t="s">
        <v>3844</v>
      </c>
    </row>
    <row r="725" customFormat="false" ht="15" hidden="false" customHeight="false" outlineLevel="0" collapsed="false">
      <c r="A725" s="4" t="s">
        <v>7187</v>
      </c>
      <c r="B725" s="4" t="n">
        <v>255.55</v>
      </c>
    </row>
    <row r="726" customFormat="false" ht="15" hidden="false" customHeight="false" outlineLevel="0" collapsed="false">
      <c r="A726" s="4" t="s">
        <v>7188</v>
      </c>
      <c r="B726" s="4" t="s">
        <v>7189</v>
      </c>
    </row>
    <row r="727" customFormat="false" ht="15" hidden="false" customHeight="false" outlineLevel="0" collapsed="false">
      <c r="A727" s="4" t="s">
        <v>7190</v>
      </c>
      <c r="B727" s="4" t="s">
        <v>7191</v>
      </c>
    </row>
    <row r="730" customFormat="false" ht="15" hidden="false" customHeight="false" outlineLevel="0" collapsed="false">
      <c r="A730" s="17" t="s">
        <v>7192</v>
      </c>
      <c r="B730" s="18"/>
      <c r="C730" s="18"/>
      <c r="D730" s="18"/>
    </row>
    <row r="731" customFormat="false" ht="15" hidden="false" customHeight="false" outlineLevel="0" collapsed="false">
      <c r="A731" s="19" t="s">
        <v>7138</v>
      </c>
    </row>
    <row r="732" customFormat="false" ht="15" hidden="false" customHeight="false" outlineLevel="0" collapsed="false">
      <c r="A732" s="26" t="s">
        <v>2179</v>
      </c>
    </row>
    <row r="733" customFormat="false" ht="15" hidden="false" customHeight="false" outlineLevel="0" collapsed="false">
      <c r="A733" s="21" t="s">
        <v>7135</v>
      </c>
    </row>
    <row r="734" customFormat="false" ht="15" hidden="false" customHeight="false" outlineLevel="0" collapsed="false">
      <c r="A734" s="21" t="s">
        <v>6647</v>
      </c>
    </row>
    <row r="735" customFormat="false" ht="15" hidden="false" customHeight="false" outlineLevel="0" collapsed="false">
      <c r="A735" s="22" t="s">
        <v>1318</v>
      </c>
      <c r="B735" s="22" t="s">
        <v>7193</v>
      </c>
      <c r="C735" s="22" t="s">
        <v>7194</v>
      </c>
      <c r="D735" s="22" t="s">
        <v>7195</v>
      </c>
    </row>
    <row r="736" customFormat="false" ht="15" hidden="false" customHeight="false" outlineLevel="0" collapsed="false">
      <c r="A736" s="4" t="s">
        <v>7196</v>
      </c>
      <c r="B736" s="4" t="s">
        <v>7197</v>
      </c>
      <c r="C736" s="4" t="s">
        <v>7198</v>
      </c>
      <c r="D736" s="4" t="s">
        <v>7199</v>
      </c>
    </row>
    <row r="737" customFormat="false" ht="15" hidden="false" customHeight="false" outlineLevel="0" collapsed="false">
      <c r="A737" s="4" t="s">
        <v>7200</v>
      </c>
      <c r="B737" s="4" t="s">
        <v>7201</v>
      </c>
      <c r="C737" s="4" t="s">
        <v>7202</v>
      </c>
      <c r="D737" s="4" t="s">
        <v>7203</v>
      </c>
    </row>
    <row r="738" customFormat="false" ht="15" hidden="false" customHeight="false" outlineLevel="0" collapsed="false">
      <c r="A738" s="4" t="s">
        <v>7204</v>
      </c>
      <c r="B738" s="4" t="s">
        <v>7205</v>
      </c>
      <c r="C738" s="4" t="s">
        <v>7206</v>
      </c>
      <c r="D738" s="4" t="s">
        <v>7207</v>
      </c>
    </row>
    <row r="739" customFormat="false" ht="15" hidden="false" customHeight="false" outlineLevel="0" collapsed="false">
      <c r="A739" s="4" t="s">
        <v>7208</v>
      </c>
      <c r="B739" s="4" t="s">
        <v>3738</v>
      </c>
      <c r="C739" s="4" t="s">
        <v>3739</v>
      </c>
      <c r="D739" s="4" t="s">
        <v>7209</v>
      </c>
    </row>
    <row r="740" customFormat="false" ht="15" hidden="false" customHeight="false" outlineLevel="0" collapsed="false">
      <c r="A740" s="4" t="s">
        <v>3945</v>
      </c>
      <c r="B740" s="4" t="s">
        <v>3803</v>
      </c>
      <c r="C740" s="4" t="s">
        <v>3806</v>
      </c>
      <c r="D740" s="4" t="s">
        <v>3948</v>
      </c>
    </row>
    <row r="743" customFormat="false" ht="15" hidden="false" customHeight="false" outlineLevel="0" collapsed="false">
      <c r="A743" s="17" t="s">
        <v>7210</v>
      </c>
      <c r="B743" s="18"/>
      <c r="C743" s="18"/>
      <c r="D743" s="18"/>
    </row>
    <row r="744" customFormat="false" ht="15" hidden="false" customHeight="false" outlineLevel="0" collapsed="false">
      <c r="A744" s="19" t="s">
        <v>7211</v>
      </c>
    </row>
    <row r="745" customFormat="false" ht="15" hidden="false" customHeight="false" outlineLevel="0" collapsed="false">
      <c r="A745" s="23" t="s">
        <v>1246</v>
      </c>
    </row>
    <row r="746" customFormat="false" ht="15" hidden="false" customHeight="false" outlineLevel="0" collapsed="false">
      <c r="A746" s="21" t="s">
        <v>7135</v>
      </c>
    </row>
    <row r="747" customFormat="false" ht="15" hidden="false" customHeight="false" outlineLevel="0" collapsed="false">
      <c r="A747" s="21" t="s">
        <v>6647</v>
      </c>
    </row>
    <row r="748" customFormat="false" ht="15" hidden="false" customHeight="false" outlineLevel="0" collapsed="false">
      <c r="A748" s="22" t="s">
        <v>1318</v>
      </c>
      <c r="B748" s="22" t="s">
        <v>1356</v>
      </c>
      <c r="C748" s="22" t="s">
        <v>3899</v>
      </c>
      <c r="D748" s="22" t="s">
        <v>3357</v>
      </c>
    </row>
    <row r="749" customFormat="false" ht="15" hidden="false" customHeight="false" outlineLevel="0" collapsed="false">
      <c r="A749" s="4" t="s">
        <v>7212</v>
      </c>
      <c r="B749" s="4" t="n">
        <v>6.64</v>
      </c>
      <c r="C749" s="4" t="s">
        <v>3902</v>
      </c>
      <c r="D749" s="4" t="n">
        <v>14.5</v>
      </c>
    </row>
    <row r="750" customFormat="false" ht="15" hidden="false" customHeight="false" outlineLevel="0" collapsed="false">
      <c r="A750" s="4" t="s">
        <v>7213</v>
      </c>
      <c r="B750" s="4" t="s">
        <v>3908</v>
      </c>
      <c r="C750" s="4" t="s">
        <v>7214</v>
      </c>
      <c r="D750" s="4" t="s">
        <v>7215</v>
      </c>
    </row>
    <row r="751" customFormat="false" ht="15" hidden="false" customHeight="false" outlineLevel="0" collapsed="false">
      <c r="A751" s="4" t="s">
        <v>7216</v>
      </c>
      <c r="B751" s="4" t="s">
        <v>3912</v>
      </c>
      <c r="C751" s="4" t="s">
        <v>3913</v>
      </c>
      <c r="D751" s="4" t="s">
        <v>2343</v>
      </c>
    </row>
    <row r="752" customFormat="false" ht="15" hidden="false" customHeight="false" outlineLevel="0" collapsed="false">
      <c r="A752" s="4" t="s">
        <v>3918</v>
      </c>
      <c r="B752" s="4" t="s">
        <v>3919</v>
      </c>
      <c r="C752" s="4" t="s">
        <v>3920</v>
      </c>
      <c r="D752" s="4" t="s">
        <v>3921</v>
      </c>
    </row>
    <row r="755" customFormat="false" ht="15" hidden="false" customHeight="false" outlineLevel="0" collapsed="false">
      <c r="A755" s="17" t="s">
        <v>7217</v>
      </c>
      <c r="B755" s="18"/>
      <c r="C755" s="18"/>
    </row>
    <row r="756" customFormat="false" ht="15" hidden="false" customHeight="false" outlineLevel="0" collapsed="false">
      <c r="A756" s="19" t="s">
        <v>7218</v>
      </c>
    </row>
    <row r="757" customFormat="false" ht="15" hidden="false" customHeight="false" outlineLevel="0" collapsed="false">
      <c r="A757" s="23" t="s">
        <v>1246</v>
      </c>
    </row>
    <row r="758" customFormat="false" ht="15" hidden="false" customHeight="false" outlineLevel="0" collapsed="false">
      <c r="A758" s="21" t="s">
        <v>7135</v>
      </c>
    </row>
    <row r="759" customFormat="false" ht="15" hidden="false" customHeight="false" outlineLevel="0" collapsed="false">
      <c r="A759" s="21" t="s">
        <v>6647</v>
      </c>
    </row>
    <row r="760" customFormat="false" ht="15" hidden="false" customHeight="false" outlineLevel="0" collapsed="false">
      <c r="A760" s="22" t="s">
        <v>1389</v>
      </c>
      <c r="B760" s="22" t="s">
        <v>7219</v>
      </c>
      <c r="C760" s="22" t="s">
        <v>7220</v>
      </c>
    </row>
    <row r="761" customFormat="false" ht="15" hidden="false" customHeight="false" outlineLevel="0" collapsed="false">
      <c r="A761" s="4" t="s">
        <v>4673</v>
      </c>
      <c r="B761" s="4" t="s">
        <v>7221</v>
      </c>
      <c r="C761" s="4" t="s">
        <v>7222</v>
      </c>
    </row>
    <row r="762" customFormat="false" ht="15" hidden="false" customHeight="false" outlineLevel="0" collapsed="false">
      <c r="A762" s="4" t="s">
        <v>7223</v>
      </c>
      <c r="B762" s="4" t="s">
        <v>7224</v>
      </c>
      <c r="C762" s="4" t="s">
        <v>7225</v>
      </c>
    </row>
    <row r="763" customFormat="false" ht="15" hidden="false" customHeight="false" outlineLevel="0" collapsed="false">
      <c r="A763" s="4" t="s">
        <v>1406</v>
      </c>
      <c r="B763" s="4" t="s">
        <v>3389</v>
      </c>
      <c r="C763" s="4" t="s">
        <v>7226</v>
      </c>
    </row>
    <row r="764" customFormat="false" ht="15" hidden="false" customHeight="false" outlineLevel="0" collapsed="false">
      <c r="A764" s="4" t="s">
        <v>7227</v>
      </c>
      <c r="B764" s="4" t="s">
        <v>7228</v>
      </c>
      <c r="C764" s="4" t="s">
        <v>7229</v>
      </c>
    </row>
    <row r="765" customFormat="false" ht="15" hidden="false" customHeight="false" outlineLevel="0" collapsed="false">
      <c r="A765" s="4" t="s">
        <v>7230</v>
      </c>
      <c r="B765" s="4" t="s">
        <v>1555</v>
      </c>
      <c r="C765" s="4" t="s">
        <v>7231</v>
      </c>
    </row>
    <row r="768" customFormat="false" ht="15" hidden="false" customHeight="false" outlineLevel="0" collapsed="false">
      <c r="A768" s="17" t="s">
        <v>7232</v>
      </c>
      <c r="B768" s="18"/>
    </row>
    <row r="769" customFormat="false" ht="15" hidden="false" customHeight="false" outlineLevel="0" collapsed="false">
      <c r="A769" s="19" t="s">
        <v>7233</v>
      </c>
    </row>
    <row r="770" customFormat="false" ht="15" hidden="false" customHeight="false" outlineLevel="0" collapsed="false">
      <c r="A770" s="26" t="s">
        <v>2179</v>
      </c>
    </row>
    <row r="771" customFormat="false" ht="15" hidden="false" customHeight="false" outlineLevel="0" collapsed="false">
      <c r="A771" s="21" t="s">
        <v>7135</v>
      </c>
    </row>
    <row r="772" customFormat="false" ht="15" hidden="false" customHeight="false" outlineLevel="0" collapsed="false">
      <c r="A772" s="21" t="s">
        <v>6647</v>
      </c>
    </row>
    <row r="773" customFormat="false" ht="15" hidden="false" customHeight="false" outlineLevel="0" collapsed="false">
      <c r="A773" s="22" t="s">
        <v>7234</v>
      </c>
      <c r="B773" s="22" t="s">
        <v>1319</v>
      </c>
    </row>
    <row r="774" customFormat="false" ht="15" hidden="false" customHeight="false" outlineLevel="0" collapsed="false">
      <c r="A774" s="4" t="s">
        <v>7235</v>
      </c>
      <c r="B774" s="4" t="s">
        <v>7236</v>
      </c>
    </row>
    <row r="775" customFormat="false" ht="15" hidden="false" customHeight="false" outlineLevel="0" collapsed="false">
      <c r="A775" s="4" t="s">
        <v>7237</v>
      </c>
      <c r="B775" s="4" t="s">
        <v>7238</v>
      </c>
    </row>
    <row r="776" customFormat="false" ht="15" hidden="false" customHeight="false" outlineLevel="0" collapsed="false">
      <c r="A776" s="4" t="s">
        <v>7239</v>
      </c>
      <c r="B776" s="4" t="s">
        <v>7240</v>
      </c>
    </row>
    <row r="777" customFormat="false" ht="15" hidden="false" customHeight="false" outlineLevel="0" collapsed="false">
      <c r="A777" s="4" t="s">
        <v>7241</v>
      </c>
      <c r="B777" s="4" t="s">
        <v>7242</v>
      </c>
    </row>
    <row r="778" customFormat="false" ht="15" hidden="false" customHeight="false" outlineLevel="0" collapsed="false">
      <c r="A778" s="4" t="s">
        <v>1627</v>
      </c>
      <c r="B778" s="4" t="s">
        <v>7243</v>
      </c>
    </row>
    <row r="779" customFormat="false" ht="15" hidden="false" customHeight="false" outlineLevel="0" collapsed="false">
      <c r="A779" s="4" t="s">
        <v>7244</v>
      </c>
      <c r="B779" s="4" t="s">
        <v>7245</v>
      </c>
    </row>
    <row r="780" customFormat="false" ht="15" hidden="false" customHeight="false" outlineLevel="0" collapsed="false">
      <c r="A780" s="4" t="s">
        <v>7246</v>
      </c>
      <c r="B780" s="4" t="s">
        <v>7247</v>
      </c>
    </row>
    <row r="781" customFormat="false" ht="15" hidden="false" customHeight="false" outlineLevel="0" collapsed="false">
      <c r="A781" s="4" t="s">
        <v>7248</v>
      </c>
      <c r="B781" s="4" t="s">
        <v>7249</v>
      </c>
    </row>
    <row r="782" customFormat="false" ht="15" hidden="false" customHeight="false" outlineLevel="0" collapsed="false">
      <c r="A782" s="4" t="s">
        <v>7250</v>
      </c>
      <c r="B782" s="4" t="s">
        <v>7251</v>
      </c>
    </row>
    <row r="783" customFormat="false" ht="15" hidden="false" customHeight="false" outlineLevel="0" collapsed="false">
      <c r="A783" s="4" t="s">
        <v>7252</v>
      </c>
      <c r="B783" s="4" t="s">
        <v>7253</v>
      </c>
    </row>
    <row r="786" customFormat="false" ht="15" hidden="false" customHeight="false" outlineLevel="0" collapsed="false">
      <c r="A786" s="17" t="s">
        <v>7254</v>
      </c>
      <c r="B786" s="18"/>
    </row>
    <row r="787" customFormat="false" ht="15" hidden="false" customHeight="false" outlineLevel="0" collapsed="false">
      <c r="A787" s="19" t="s">
        <v>7255</v>
      </c>
    </row>
    <row r="788" customFormat="false" ht="15" hidden="false" customHeight="false" outlineLevel="0" collapsed="false">
      <c r="A788" s="19" t="s">
        <v>7256</v>
      </c>
    </row>
    <row r="789" customFormat="false" ht="15" hidden="false" customHeight="false" outlineLevel="0" collapsed="false">
      <c r="A789" s="26" t="s">
        <v>2179</v>
      </c>
    </row>
    <row r="790" customFormat="false" ht="15" hidden="false" customHeight="false" outlineLevel="0" collapsed="false">
      <c r="A790" s="21" t="s">
        <v>7257</v>
      </c>
    </row>
    <row r="791" customFormat="false" ht="15" hidden="false" customHeight="false" outlineLevel="0" collapsed="false">
      <c r="A791" s="21" t="s">
        <v>6647</v>
      </c>
    </row>
    <row r="792" customFormat="false" ht="15" hidden="false" customHeight="false" outlineLevel="0" collapsed="false">
      <c r="A792" s="22" t="s">
        <v>7258</v>
      </c>
      <c r="B792" s="22" t="s">
        <v>7259</v>
      </c>
    </row>
    <row r="793" customFormat="false" ht="15" hidden="false" customHeight="false" outlineLevel="0" collapsed="false">
      <c r="A793" s="4" t="s">
        <v>7260</v>
      </c>
      <c r="B793" s="4" t="n">
        <v>-8450</v>
      </c>
    </row>
    <row r="794" customFormat="false" ht="15" hidden="false" customHeight="false" outlineLevel="0" collapsed="false">
      <c r="A794" s="4" t="s">
        <v>7261</v>
      </c>
      <c r="B794" s="4" t="n">
        <v>-1060</v>
      </c>
    </row>
    <row r="795" customFormat="false" ht="15" hidden="false" customHeight="false" outlineLevel="0" collapsed="false">
      <c r="A795" s="4" t="s">
        <v>7262</v>
      </c>
      <c r="B795" s="4" t="n">
        <v>-2540</v>
      </c>
    </row>
    <row r="796" customFormat="false" ht="15" hidden="false" customHeight="false" outlineLevel="0" collapsed="false">
      <c r="A796" s="4" t="s">
        <v>7263</v>
      </c>
      <c r="B796" s="4" t="n">
        <v>700</v>
      </c>
    </row>
    <row r="799" customFormat="false" ht="15" hidden="false" customHeight="false" outlineLevel="0" collapsed="false">
      <c r="A799" s="17" t="s">
        <v>7264</v>
      </c>
      <c r="B799" s="18"/>
    </row>
    <row r="800" customFormat="false" ht="15" hidden="false" customHeight="false" outlineLevel="0" collapsed="false">
      <c r="A800" s="19" t="s">
        <v>7265</v>
      </c>
    </row>
    <row r="801" customFormat="false" ht="15" hidden="false" customHeight="false" outlineLevel="0" collapsed="false">
      <c r="A801" s="23" t="s">
        <v>1246</v>
      </c>
    </row>
    <row r="802" customFormat="false" ht="15" hidden="false" customHeight="false" outlineLevel="0" collapsed="false">
      <c r="A802" s="21" t="s">
        <v>7257</v>
      </c>
    </row>
    <row r="803" customFormat="false" ht="15" hidden="false" customHeight="false" outlineLevel="0" collapsed="false">
      <c r="A803" s="21" t="s">
        <v>6647</v>
      </c>
    </row>
    <row r="804" customFormat="false" ht="15" hidden="false" customHeight="false" outlineLevel="0" collapsed="false">
      <c r="A804" s="22" t="s">
        <v>7266</v>
      </c>
      <c r="B804" s="22" t="s">
        <v>1627</v>
      </c>
    </row>
    <row r="805" customFormat="false" ht="15" hidden="false" customHeight="false" outlineLevel="0" collapsed="false">
      <c r="A805" s="4" t="s">
        <v>7267</v>
      </c>
      <c r="B805" s="4" t="n">
        <v>1.15</v>
      </c>
    </row>
    <row r="806" customFormat="false" ht="15" hidden="false" customHeight="false" outlineLevel="0" collapsed="false">
      <c r="A806" s="4" t="s">
        <v>7268</v>
      </c>
      <c r="B806" s="4" t="n">
        <v>1.2</v>
      </c>
    </row>
    <row r="807" customFormat="false" ht="15" hidden="false" customHeight="false" outlineLevel="0" collapsed="false">
      <c r="A807" s="4" t="s">
        <v>7269</v>
      </c>
      <c r="B807" s="4" t="n">
        <v>1.2</v>
      </c>
    </row>
    <row r="808" customFormat="false" ht="15" hidden="false" customHeight="false" outlineLevel="0" collapsed="false">
      <c r="A808" s="4" t="s">
        <v>7270</v>
      </c>
      <c r="B808" s="4" t="n">
        <v>1.2</v>
      </c>
    </row>
    <row r="809" customFormat="false" ht="15" hidden="false" customHeight="false" outlineLevel="0" collapsed="false">
      <c r="A809" s="4" t="s">
        <v>7271</v>
      </c>
      <c r="B809" s="4" t="n">
        <v>1.25</v>
      </c>
    </row>
    <row r="810" customFormat="false" ht="15" hidden="false" customHeight="false" outlineLevel="0" collapsed="false">
      <c r="A810" s="4" t="s">
        <v>7272</v>
      </c>
      <c r="B810" s="4" t="n">
        <v>1.25</v>
      </c>
    </row>
    <row r="811" customFormat="false" ht="15" hidden="false" customHeight="false" outlineLevel="0" collapsed="false">
      <c r="A811" s="4" t="s">
        <v>7273</v>
      </c>
      <c r="B811" s="4" t="n">
        <v>1.4</v>
      </c>
    </row>
    <row r="812" customFormat="false" ht="15" hidden="false" customHeight="false" outlineLevel="0" collapsed="false">
      <c r="A812" s="4" t="s">
        <v>7274</v>
      </c>
      <c r="B812" s="4" t="n">
        <v>1.35</v>
      </c>
    </row>
    <row r="813" customFormat="false" ht="15" hidden="false" customHeight="false" outlineLevel="0" collapsed="false">
      <c r="A813" s="4" t="s">
        <v>7275</v>
      </c>
      <c r="B813" s="4" t="n">
        <v>1.45</v>
      </c>
    </row>
    <row r="814" customFormat="false" ht="15" hidden="false" customHeight="false" outlineLevel="0" collapsed="false">
      <c r="A814" s="4" t="s">
        <v>7276</v>
      </c>
      <c r="B814" s="4" t="n">
        <v>1.54</v>
      </c>
    </row>
    <row r="817" customFormat="false" ht="15" hidden="false" customHeight="false" outlineLevel="0" collapsed="false">
      <c r="A817" s="17" t="s">
        <v>7277</v>
      </c>
      <c r="B817" s="18"/>
    </row>
    <row r="818" customFormat="false" ht="15" hidden="false" customHeight="false" outlineLevel="0" collapsed="false">
      <c r="A818" s="19" t="s">
        <v>7255</v>
      </c>
    </row>
    <row r="819" customFormat="false" ht="15" hidden="false" customHeight="false" outlineLevel="0" collapsed="false">
      <c r="A819" s="26" t="s">
        <v>2179</v>
      </c>
    </row>
    <row r="820" customFormat="false" ht="15" hidden="false" customHeight="false" outlineLevel="0" collapsed="false">
      <c r="A820" s="21" t="s">
        <v>7257</v>
      </c>
    </row>
    <row r="821" customFormat="false" ht="15" hidden="false" customHeight="false" outlineLevel="0" collapsed="false">
      <c r="A821" s="21" t="s">
        <v>6647</v>
      </c>
    </row>
    <row r="822" customFormat="false" ht="15" hidden="false" customHeight="false" outlineLevel="0" collapsed="false">
      <c r="A822" s="22" t="s">
        <v>2952</v>
      </c>
      <c r="B822" s="22" t="s">
        <v>1319</v>
      </c>
    </row>
    <row r="823" customFormat="false" ht="15" hidden="false" customHeight="false" outlineLevel="0" collapsed="false">
      <c r="A823" s="4" t="s">
        <v>7278</v>
      </c>
      <c r="B823" s="4" t="s">
        <v>7279</v>
      </c>
    </row>
    <row r="824" customFormat="false" ht="15" hidden="false" customHeight="false" outlineLevel="0" collapsed="false">
      <c r="A824" s="4" t="s">
        <v>1627</v>
      </c>
      <c r="B824" s="4" t="s">
        <v>7280</v>
      </c>
    </row>
    <row r="825" customFormat="false" ht="15" hidden="false" customHeight="false" outlineLevel="0" collapsed="false">
      <c r="A825" s="4" t="s">
        <v>7281</v>
      </c>
      <c r="B825" s="4" t="s">
        <v>3822</v>
      </c>
    </row>
    <row r="826" customFormat="false" ht="15" hidden="false" customHeight="false" outlineLevel="0" collapsed="false">
      <c r="A826" s="4" t="s">
        <v>7282</v>
      </c>
      <c r="B826" s="4" t="s">
        <v>7283</v>
      </c>
    </row>
    <row r="827" customFormat="false" ht="15" hidden="false" customHeight="false" outlineLevel="0" collapsed="false">
      <c r="A827" s="4" t="s">
        <v>4345</v>
      </c>
      <c r="B827" s="4" t="s">
        <v>7284</v>
      </c>
    </row>
    <row r="828" customFormat="false" ht="15" hidden="false" customHeight="false" outlineLevel="0" collapsed="false">
      <c r="A828" s="4" t="s">
        <v>7285</v>
      </c>
      <c r="B828" s="4" t="s">
        <v>7286</v>
      </c>
    </row>
    <row r="829" customFormat="false" ht="15" hidden="false" customHeight="false" outlineLevel="0" collapsed="false">
      <c r="A829" s="4" t="s">
        <v>7287</v>
      </c>
      <c r="B829" s="4" t="s">
        <v>7288</v>
      </c>
    </row>
    <row r="830" customFormat="false" ht="15" hidden="false" customHeight="false" outlineLevel="0" collapsed="false">
      <c r="A830" s="4" t="s">
        <v>7289</v>
      </c>
      <c r="B830" s="4" t="s">
        <v>7290</v>
      </c>
    </row>
    <row r="831" customFormat="false" ht="15" hidden="false" customHeight="false" outlineLevel="0" collapsed="false">
      <c r="A831" s="4" t="s">
        <v>7291</v>
      </c>
      <c r="B831" s="4" t="s">
        <v>7292</v>
      </c>
    </row>
    <row r="832" customFormat="false" ht="15" hidden="false" customHeight="false" outlineLevel="0" collapsed="false">
      <c r="A832" s="4" t="s">
        <v>7293</v>
      </c>
      <c r="B832" s="4" t="s">
        <v>7294</v>
      </c>
    </row>
    <row r="835" customFormat="false" ht="15" hidden="false" customHeight="false" outlineLevel="0" collapsed="false">
      <c r="A835" s="17" t="s">
        <v>7295</v>
      </c>
      <c r="B835" s="18"/>
      <c r="C835" s="18"/>
      <c r="D835" s="18"/>
    </row>
    <row r="836" customFormat="false" ht="15" hidden="false" customHeight="false" outlineLevel="0" collapsed="false">
      <c r="A836" s="19" t="s">
        <v>7296</v>
      </c>
    </row>
    <row r="837" customFormat="false" ht="15" hidden="false" customHeight="false" outlineLevel="0" collapsed="false">
      <c r="A837" s="24" t="s">
        <v>1459</v>
      </c>
    </row>
    <row r="838" customFormat="false" ht="15" hidden="false" customHeight="false" outlineLevel="0" collapsed="false">
      <c r="A838" s="21" t="s">
        <v>7257</v>
      </c>
    </row>
    <row r="839" customFormat="false" ht="15" hidden="false" customHeight="false" outlineLevel="0" collapsed="false">
      <c r="A839" s="21" t="s">
        <v>6647</v>
      </c>
    </row>
    <row r="840" customFormat="false" ht="15" hidden="false" customHeight="false" outlineLevel="0" collapsed="false">
      <c r="A840" s="22" t="s">
        <v>2</v>
      </c>
      <c r="B840" s="22" t="s">
        <v>3958</v>
      </c>
      <c r="C840" s="22" t="s">
        <v>1318</v>
      </c>
      <c r="D840" s="22" t="s">
        <v>7297</v>
      </c>
    </row>
    <row r="841" customFormat="false" ht="15" hidden="false" customHeight="false" outlineLevel="0" collapsed="false">
      <c r="A841" s="4" t="n">
        <v>1</v>
      </c>
      <c r="B841" s="4" t="s">
        <v>3962</v>
      </c>
      <c r="C841" s="4" t="s">
        <v>1627</v>
      </c>
      <c r="D841" s="4" t="s">
        <v>7298</v>
      </c>
    </row>
    <row r="842" customFormat="false" ht="15" hidden="false" customHeight="false" outlineLevel="0" collapsed="false">
      <c r="A842" s="4" t="n">
        <v>2</v>
      </c>
      <c r="B842" s="4" t="s">
        <v>3966</v>
      </c>
      <c r="C842" s="4" t="s">
        <v>7299</v>
      </c>
      <c r="D842" s="4" t="s">
        <v>7300</v>
      </c>
    </row>
    <row r="843" customFormat="false" ht="15" hidden="false" customHeight="false" outlineLevel="0" collapsed="false">
      <c r="A843" s="4" t="n">
        <v>3</v>
      </c>
      <c r="B843" s="4" t="s">
        <v>1630</v>
      </c>
      <c r="C843" s="4" t="s">
        <v>7301</v>
      </c>
      <c r="D843" s="4" t="s">
        <v>7302</v>
      </c>
    </row>
    <row r="844" customFormat="false" ht="15" hidden="false" customHeight="false" outlineLevel="0" collapsed="false">
      <c r="A844" s="4" t="n">
        <v>4</v>
      </c>
      <c r="B844" s="4" t="s">
        <v>7303</v>
      </c>
      <c r="C844" s="4" t="s">
        <v>7304</v>
      </c>
      <c r="D844" s="4" t="s">
        <v>7305</v>
      </c>
    </row>
    <row r="845" customFormat="false" ht="15" hidden="false" customHeight="false" outlineLevel="0" collapsed="false">
      <c r="A845" s="4" t="n">
        <v>5</v>
      </c>
      <c r="B845" s="4" t="s">
        <v>7306</v>
      </c>
      <c r="C845" s="4" t="s">
        <v>7307</v>
      </c>
      <c r="D845" s="4" t="s">
        <v>7308</v>
      </c>
    </row>
    <row r="846" customFormat="false" ht="15" hidden="false" customHeight="false" outlineLevel="0" collapsed="false">
      <c r="A846" s="4" t="n">
        <v>6</v>
      </c>
      <c r="B846" s="4" t="s">
        <v>3981</v>
      </c>
      <c r="C846" s="4" t="s">
        <v>7309</v>
      </c>
      <c r="D846" s="4" t="s">
        <v>7310</v>
      </c>
    </row>
    <row r="847" customFormat="false" ht="15" hidden="false" customHeight="false" outlineLevel="0" collapsed="false">
      <c r="A847" s="4" t="n">
        <v>7</v>
      </c>
      <c r="B847" s="4" t="s">
        <v>3985</v>
      </c>
      <c r="C847" s="4" t="s">
        <v>4045</v>
      </c>
      <c r="D847" s="4" t="s">
        <v>7311</v>
      </c>
    </row>
    <row r="848" customFormat="false" ht="15" hidden="false" customHeight="false" outlineLevel="0" collapsed="false">
      <c r="A848" s="4" t="n">
        <v>8</v>
      </c>
      <c r="B848" s="4" t="s">
        <v>3989</v>
      </c>
      <c r="C848" s="4" t="s">
        <v>7312</v>
      </c>
      <c r="D848" s="4" t="s">
        <v>7313</v>
      </c>
    </row>
    <row r="849" customFormat="false" ht="15" hidden="false" customHeight="false" outlineLevel="0" collapsed="false">
      <c r="A849" s="4" t="n">
        <v>9</v>
      </c>
      <c r="B849" s="4" t="s">
        <v>7314</v>
      </c>
      <c r="C849" s="4" t="s">
        <v>7315</v>
      </c>
      <c r="D849" s="4" t="s">
        <v>7316</v>
      </c>
    </row>
    <row r="850" customFormat="false" ht="15" hidden="false" customHeight="false" outlineLevel="0" collapsed="false">
      <c r="A850" s="4" t="n">
        <v>10</v>
      </c>
      <c r="B850" s="4" t="s">
        <v>3997</v>
      </c>
      <c r="C850" s="4" t="s">
        <v>7317</v>
      </c>
      <c r="D850" s="4" t="s">
        <v>4416</v>
      </c>
    </row>
    <row r="851" customFormat="false" ht="15" hidden="false" customHeight="false" outlineLevel="0" collapsed="false">
      <c r="A851" s="4" t="n">
        <v>11</v>
      </c>
      <c r="B851" s="4" t="s">
        <v>4001</v>
      </c>
      <c r="C851" s="4" t="s">
        <v>7318</v>
      </c>
      <c r="D851" s="4" t="s">
        <v>7319</v>
      </c>
    </row>
    <row r="852" customFormat="false" ht="15" hidden="false" customHeight="false" outlineLevel="0" collapsed="false">
      <c r="A852" s="4" t="n">
        <v>12</v>
      </c>
      <c r="B852" s="4" t="s">
        <v>4005</v>
      </c>
      <c r="C852" s="4" t="s">
        <v>7320</v>
      </c>
      <c r="D852" s="4" t="s">
        <v>7321</v>
      </c>
    </row>
    <row r="855" customFormat="false" ht="15" hidden="false" customHeight="false" outlineLevel="0" collapsed="false">
      <c r="A855" s="17" t="s">
        <v>7322</v>
      </c>
      <c r="B855" s="18"/>
      <c r="C855" s="18"/>
    </row>
    <row r="856" customFormat="false" ht="15" hidden="false" customHeight="false" outlineLevel="0" collapsed="false">
      <c r="A856" s="19" t="s">
        <v>7323</v>
      </c>
    </row>
    <row r="857" customFormat="false" ht="15" hidden="false" customHeight="false" outlineLevel="0" collapsed="false">
      <c r="A857" s="24" t="s">
        <v>1459</v>
      </c>
    </row>
    <row r="858" customFormat="false" ht="15" hidden="false" customHeight="false" outlineLevel="0" collapsed="false">
      <c r="A858" s="21" t="s">
        <v>7257</v>
      </c>
    </row>
    <row r="859" customFormat="false" ht="15" hidden="false" customHeight="false" outlineLevel="0" collapsed="false">
      <c r="A859" s="21" t="s">
        <v>6647</v>
      </c>
    </row>
    <row r="860" customFormat="false" ht="15" hidden="false" customHeight="false" outlineLevel="0" collapsed="false">
      <c r="A860" s="22" t="s">
        <v>4013</v>
      </c>
      <c r="B860" s="22" t="s">
        <v>7324</v>
      </c>
      <c r="C860" s="22" t="s">
        <v>7325</v>
      </c>
    </row>
    <row r="861" customFormat="false" ht="23.85" hidden="false" customHeight="false" outlineLevel="0" collapsed="false">
      <c r="A861" s="4" t="s">
        <v>4016</v>
      </c>
      <c r="B861" s="4" t="s">
        <v>7326</v>
      </c>
      <c r="C861" s="4" t="s">
        <v>7327</v>
      </c>
    </row>
    <row r="862" customFormat="false" ht="15" hidden="false" customHeight="false" outlineLevel="0" collapsed="false">
      <c r="A862" s="4" t="s">
        <v>4019</v>
      </c>
      <c r="B862" s="4" t="s">
        <v>7328</v>
      </c>
      <c r="C862" s="4" t="s">
        <v>7329</v>
      </c>
    </row>
    <row r="863" customFormat="false" ht="15" hidden="false" customHeight="false" outlineLevel="0" collapsed="false">
      <c r="A863" s="4" t="s">
        <v>4022</v>
      </c>
      <c r="B863" s="4" t="s">
        <v>7330</v>
      </c>
      <c r="C863" s="4" t="s">
        <v>7331</v>
      </c>
    </row>
    <row r="864" customFormat="false" ht="15" hidden="false" customHeight="false" outlineLevel="0" collapsed="false">
      <c r="A864" s="4" t="s">
        <v>4025</v>
      </c>
      <c r="B864" s="4" t="s">
        <v>7332</v>
      </c>
      <c r="C864" s="4" t="s">
        <v>7333</v>
      </c>
    </row>
    <row r="865" customFormat="false" ht="15" hidden="false" customHeight="false" outlineLevel="0" collapsed="false">
      <c r="A865" s="4" t="s">
        <v>4028</v>
      </c>
      <c r="B865" s="4" t="s">
        <v>7334</v>
      </c>
      <c r="C865" s="4" t="s">
        <v>7335</v>
      </c>
    </row>
    <row r="868" customFormat="false" ht="15" hidden="false" customHeight="false" outlineLevel="0" collapsed="false">
      <c r="A868" s="17" t="s">
        <v>7336</v>
      </c>
      <c r="B868" s="18"/>
      <c r="C868" s="18"/>
    </row>
    <row r="869" customFormat="false" ht="15" hidden="false" customHeight="false" outlineLevel="0" collapsed="false">
      <c r="A869" s="19" t="s">
        <v>7337</v>
      </c>
    </row>
    <row r="870" customFormat="false" ht="15" hidden="false" customHeight="false" outlineLevel="0" collapsed="false">
      <c r="A870" s="23" t="s">
        <v>1246</v>
      </c>
    </row>
    <row r="871" customFormat="false" ht="15" hidden="false" customHeight="false" outlineLevel="0" collapsed="false">
      <c r="A871" s="21" t="s">
        <v>7257</v>
      </c>
    </row>
    <row r="872" customFormat="false" ht="15" hidden="false" customHeight="false" outlineLevel="0" collapsed="false">
      <c r="A872" s="21" t="s">
        <v>6647</v>
      </c>
    </row>
    <row r="873" customFormat="false" ht="15" hidden="false" customHeight="false" outlineLevel="0" collapsed="false">
      <c r="A873" s="22" t="s">
        <v>4210</v>
      </c>
      <c r="B873" s="22" t="s">
        <v>7338</v>
      </c>
      <c r="C873" s="22" t="s">
        <v>7339</v>
      </c>
    </row>
    <row r="874" customFormat="false" ht="15" hidden="false" customHeight="false" outlineLevel="0" collapsed="false">
      <c r="A874" s="4" t="s">
        <v>7340</v>
      </c>
      <c r="B874" s="4" t="s">
        <v>3344</v>
      </c>
      <c r="C874" s="4" t="s">
        <v>7341</v>
      </c>
    </row>
    <row r="875" customFormat="false" ht="15" hidden="false" customHeight="false" outlineLevel="0" collapsed="false">
      <c r="A875" s="4" t="s">
        <v>7342</v>
      </c>
      <c r="B875" s="4" t="s">
        <v>7343</v>
      </c>
      <c r="C875" s="4" t="s">
        <v>7344</v>
      </c>
    </row>
    <row r="876" customFormat="false" ht="15" hidden="false" customHeight="false" outlineLevel="0" collapsed="false">
      <c r="A876" s="4" t="s">
        <v>7345</v>
      </c>
      <c r="B876" s="4" t="s">
        <v>7346</v>
      </c>
      <c r="C876" s="4" t="s">
        <v>7347</v>
      </c>
    </row>
    <row r="877" customFormat="false" ht="15" hidden="false" customHeight="false" outlineLevel="0" collapsed="false">
      <c r="A877" s="4" t="s">
        <v>7348</v>
      </c>
      <c r="B877" s="4" t="s">
        <v>7349</v>
      </c>
      <c r="C877" s="4" t="s">
        <v>4237</v>
      </c>
    </row>
    <row r="878" customFormat="false" ht="15" hidden="false" customHeight="false" outlineLevel="0" collapsed="false">
      <c r="A878" s="4" t="s">
        <v>7350</v>
      </c>
      <c r="B878" s="4" t="s">
        <v>7351</v>
      </c>
      <c r="C878" s="4" t="s">
        <v>4242</v>
      </c>
    </row>
    <row r="879" customFormat="false" ht="15" hidden="false" customHeight="false" outlineLevel="0" collapsed="false">
      <c r="A879" s="4" t="s">
        <v>7352</v>
      </c>
      <c r="B879" s="4" t="s">
        <v>7353</v>
      </c>
      <c r="C879" s="4" t="s">
        <v>7354</v>
      </c>
    </row>
    <row r="882" customFormat="false" ht="15" hidden="false" customHeight="false" outlineLevel="0" collapsed="false">
      <c r="A882" s="17" t="s">
        <v>7355</v>
      </c>
      <c r="B882" s="18"/>
    </row>
    <row r="883" customFormat="false" ht="15" hidden="false" customHeight="false" outlineLevel="0" collapsed="false">
      <c r="A883" s="19" t="s">
        <v>7356</v>
      </c>
    </row>
    <row r="884" customFormat="false" ht="15" hidden="false" customHeight="false" outlineLevel="0" collapsed="false">
      <c r="A884" s="23" t="s">
        <v>1246</v>
      </c>
    </row>
    <row r="885" customFormat="false" ht="15" hidden="false" customHeight="false" outlineLevel="0" collapsed="false">
      <c r="A885" s="21" t="s">
        <v>7257</v>
      </c>
    </row>
    <row r="886" customFormat="false" ht="15" hidden="false" customHeight="false" outlineLevel="0" collapsed="false">
      <c r="A886" s="21" t="s">
        <v>6647</v>
      </c>
    </row>
    <row r="887" customFormat="false" ht="15" hidden="false" customHeight="false" outlineLevel="0" collapsed="false">
      <c r="A887" s="22" t="s">
        <v>7357</v>
      </c>
      <c r="B887" s="22" t="s">
        <v>7358</v>
      </c>
    </row>
    <row r="888" customFormat="false" ht="23.85" hidden="false" customHeight="false" outlineLevel="0" collapsed="false">
      <c r="A888" s="4" t="s">
        <v>7359</v>
      </c>
      <c r="B888" s="4" t="s">
        <v>7360</v>
      </c>
    </row>
    <row r="889" customFormat="false" ht="23.85" hidden="false" customHeight="false" outlineLevel="0" collapsed="false">
      <c r="A889" s="4" t="s">
        <v>7361</v>
      </c>
      <c r="B889" s="4" t="s">
        <v>7362</v>
      </c>
    </row>
    <row r="890" customFormat="false" ht="23.85" hidden="false" customHeight="false" outlineLevel="0" collapsed="false">
      <c r="A890" s="4" t="s">
        <v>3357</v>
      </c>
      <c r="B890" s="4" t="s">
        <v>7363</v>
      </c>
    </row>
    <row r="891" customFormat="false" ht="15" hidden="false" customHeight="false" outlineLevel="0" collapsed="false">
      <c r="A891" s="4" t="s">
        <v>2560</v>
      </c>
      <c r="B891" s="4" t="s">
        <v>7364</v>
      </c>
    </row>
    <row r="892" customFormat="false" ht="23.85" hidden="false" customHeight="false" outlineLevel="0" collapsed="false">
      <c r="A892" s="4" t="s">
        <v>1356</v>
      </c>
      <c r="B892" s="4" t="s">
        <v>7365</v>
      </c>
    </row>
    <row r="895" customFormat="false" ht="15" hidden="false" customHeight="false" outlineLevel="0" collapsed="false">
      <c r="A895" s="17" t="s">
        <v>7366</v>
      </c>
      <c r="B895" s="18"/>
    </row>
    <row r="896" customFormat="false" ht="15" hidden="false" customHeight="false" outlineLevel="0" collapsed="false">
      <c r="A896" s="19" t="s">
        <v>7367</v>
      </c>
    </row>
    <row r="897" customFormat="false" ht="15" hidden="false" customHeight="false" outlineLevel="0" collapsed="false">
      <c r="A897" s="23" t="s">
        <v>1246</v>
      </c>
    </row>
    <row r="898" customFormat="false" ht="15" hidden="false" customHeight="false" outlineLevel="0" collapsed="false">
      <c r="A898" s="21" t="s">
        <v>7257</v>
      </c>
    </row>
    <row r="899" customFormat="false" ht="15" hidden="false" customHeight="false" outlineLevel="0" collapsed="false">
      <c r="A899" s="21" t="s">
        <v>6647</v>
      </c>
    </row>
    <row r="900" customFormat="false" ht="15" hidden="false" customHeight="false" outlineLevel="0" collapsed="false">
      <c r="A900" s="22" t="s">
        <v>2093</v>
      </c>
      <c r="B900" s="22" t="s">
        <v>7368</v>
      </c>
    </row>
    <row r="901" customFormat="false" ht="15" hidden="false" customHeight="false" outlineLevel="0" collapsed="false">
      <c r="A901" s="4" t="s">
        <v>2103</v>
      </c>
      <c r="B901" s="4" t="s">
        <v>7369</v>
      </c>
    </row>
    <row r="902" customFormat="false" ht="15" hidden="false" customHeight="false" outlineLevel="0" collapsed="false">
      <c r="A902" s="4" t="s">
        <v>4272</v>
      </c>
      <c r="B902" s="4" t="s">
        <v>7370</v>
      </c>
    </row>
    <row r="903" customFormat="false" ht="15" hidden="false" customHeight="false" outlineLevel="0" collapsed="false">
      <c r="A903" s="4" t="s">
        <v>2095</v>
      </c>
      <c r="B903" s="4" t="s">
        <v>7371</v>
      </c>
    </row>
    <row r="904" customFormat="false" ht="15" hidden="false" customHeight="false" outlineLevel="0" collapsed="false">
      <c r="A904" s="4" t="s">
        <v>2099</v>
      </c>
      <c r="B904" s="4" t="s">
        <v>7372</v>
      </c>
    </row>
    <row r="905" customFormat="false" ht="15" hidden="false" customHeight="false" outlineLevel="0" collapsed="false">
      <c r="A905" s="4" t="s">
        <v>2097</v>
      </c>
      <c r="B905" s="4" t="s">
        <v>7373</v>
      </c>
    </row>
    <row r="908" customFormat="false" ht="15" hidden="false" customHeight="false" outlineLevel="0" collapsed="false">
      <c r="A908" s="17" t="s">
        <v>7374</v>
      </c>
      <c r="B908" s="18"/>
      <c r="C908" s="18"/>
      <c r="D908" s="18"/>
      <c r="E908" s="18"/>
      <c r="F908" s="18"/>
      <c r="G908" s="18"/>
      <c r="H908" s="18"/>
      <c r="I908" s="18"/>
    </row>
    <row r="909" customFormat="false" ht="15" hidden="false" customHeight="false" outlineLevel="0" collapsed="false">
      <c r="A909" s="19" t="s">
        <v>7375</v>
      </c>
    </row>
    <row r="910" customFormat="false" ht="15" hidden="false" customHeight="false" outlineLevel="0" collapsed="false">
      <c r="A910" s="23" t="s">
        <v>1246</v>
      </c>
    </row>
    <row r="911" customFormat="false" ht="15" hidden="false" customHeight="false" outlineLevel="0" collapsed="false">
      <c r="A911" s="21" t="s">
        <v>7376</v>
      </c>
    </row>
    <row r="912" customFormat="false" ht="15" hidden="false" customHeight="false" outlineLevel="0" collapsed="false">
      <c r="A912" s="21" t="s">
        <v>6647</v>
      </c>
    </row>
    <row r="913" customFormat="false" ht="15" hidden="false" customHeight="false" outlineLevel="0" collapsed="false">
      <c r="A913" s="22" t="s">
        <v>1423</v>
      </c>
      <c r="B913" s="22" t="s">
        <v>1285</v>
      </c>
      <c r="C913" s="22" t="s">
        <v>4110</v>
      </c>
      <c r="D913" s="22" t="s">
        <v>7377</v>
      </c>
      <c r="E913" s="22" t="s">
        <v>4493</v>
      </c>
      <c r="F913" s="22" t="s">
        <v>4490</v>
      </c>
      <c r="G913" s="22" t="s">
        <v>7378</v>
      </c>
      <c r="H913" s="22" t="s">
        <v>7379</v>
      </c>
      <c r="I913" s="22" t="s">
        <v>4268</v>
      </c>
    </row>
    <row r="914" customFormat="false" ht="23.85" hidden="false" customHeight="false" outlineLevel="0" collapsed="false">
      <c r="A914" s="4" t="s">
        <v>1427</v>
      </c>
      <c r="B914" s="4" t="s">
        <v>7380</v>
      </c>
      <c r="C914" s="4" t="s">
        <v>7381</v>
      </c>
      <c r="D914" s="4" t="s">
        <v>7382</v>
      </c>
      <c r="E914" s="4" t="s">
        <v>4500</v>
      </c>
      <c r="F914" s="4" t="s">
        <v>4496</v>
      </c>
      <c r="G914" s="4" t="s">
        <v>7383</v>
      </c>
      <c r="H914" s="4" t="s">
        <v>7384</v>
      </c>
      <c r="I914" s="4" t="s">
        <v>7385</v>
      </c>
    </row>
    <row r="915" customFormat="false" ht="23.85" hidden="false" customHeight="false" outlineLevel="0" collapsed="false">
      <c r="A915" s="4" t="s">
        <v>1435</v>
      </c>
      <c r="B915" s="4" t="s">
        <v>7386</v>
      </c>
      <c r="C915" s="4" t="s">
        <v>7387</v>
      </c>
      <c r="D915" s="4" t="s">
        <v>7388</v>
      </c>
      <c r="E915" s="4" t="s">
        <v>4420</v>
      </c>
      <c r="F915" s="4" t="s">
        <v>4514</v>
      </c>
      <c r="G915" s="4" t="s">
        <v>7389</v>
      </c>
      <c r="H915" s="4" t="s">
        <v>7390</v>
      </c>
      <c r="I915" s="4" t="s">
        <v>7391</v>
      </c>
    </row>
    <row r="916" customFormat="false" ht="23.85" hidden="false" customHeight="false" outlineLevel="0" collapsed="false">
      <c r="A916" s="4" t="s">
        <v>1447</v>
      </c>
      <c r="B916" s="4" t="s">
        <v>7380</v>
      </c>
      <c r="C916" s="4" t="s">
        <v>7392</v>
      </c>
      <c r="D916" s="4" t="s">
        <v>4522</v>
      </c>
      <c r="E916" s="4" t="s">
        <v>7393</v>
      </c>
      <c r="F916" s="4" t="s">
        <v>7394</v>
      </c>
      <c r="G916" s="4" t="s">
        <v>7395</v>
      </c>
      <c r="H916" s="4" t="s">
        <v>7396</v>
      </c>
      <c r="I916" s="4" t="s">
        <v>7397</v>
      </c>
    </row>
    <row r="917" customFormat="false" ht="23.85" hidden="false" customHeight="false" outlineLevel="0" collapsed="false">
      <c r="A917" s="4" t="s">
        <v>1431</v>
      </c>
      <c r="B917" s="4" t="s">
        <v>7398</v>
      </c>
      <c r="C917" s="4" t="s">
        <v>7399</v>
      </c>
      <c r="D917" s="4" t="s">
        <v>7400</v>
      </c>
      <c r="E917" s="4" t="s">
        <v>7401</v>
      </c>
      <c r="F917" s="4" t="s">
        <v>1555</v>
      </c>
      <c r="G917" s="4" t="s">
        <v>7402</v>
      </c>
      <c r="H917" s="4" t="s">
        <v>7403</v>
      </c>
      <c r="I917" s="4" t="s">
        <v>7404</v>
      </c>
    </row>
    <row r="918" customFormat="false" ht="23.85" hidden="false" customHeight="false" outlineLevel="0" collapsed="false">
      <c r="A918" s="4" t="s">
        <v>1439</v>
      </c>
      <c r="B918" s="4" t="s">
        <v>7380</v>
      </c>
      <c r="C918" s="4" t="s">
        <v>4526</v>
      </c>
      <c r="D918" s="4" t="s">
        <v>7405</v>
      </c>
      <c r="E918" s="4" t="s">
        <v>4531</v>
      </c>
      <c r="F918" s="4" t="s">
        <v>4527</v>
      </c>
      <c r="G918" s="4" t="s">
        <v>7406</v>
      </c>
      <c r="H918" s="4" t="s">
        <v>7407</v>
      </c>
      <c r="I918" s="4" t="s">
        <v>7408</v>
      </c>
    </row>
    <row r="919" customFormat="false" ht="23.85" hidden="false" customHeight="false" outlineLevel="0" collapsed="false">
      <c r="A919" s="4" t="s">
        <v>1451</v>
      </c>
      <c r="B919" s="4" t="s">
        <v>7380</v>
      </c>
      <c r="C919" s="4" t="s">
        <v>4533</v>
      </c>
      <c r="D919" s="4" t="s">
        <v>7409</v>
      </c>
      <c r="E919" s="4" t="s">
        <v>7410</v>
      </c>
      <c r="F919" s="4" t="s">
        <v>4534</v>
      </c>
      <c r="G919" s="4" t="s">
        <v>7411</v>
      </c>
      <c r="H919" s="4" t="s">
        <v>7412</v>
      </c>
      <c r="I919" s="4" t="s">
        <v>7413</v>
      </c>
    </row>
    <row r="920" customFormat="false" ht="23.85" hidden="false" customHeight="false" outlineLevel="0" collapsed="false">
      <c r="A920" s="4" t="s">
        <v>3547</v>
      </c>
      <c r="B920" s="4" t="s">
        <v>7380</v>
      </c>
      <c r="C920" s="4" t="s">
        <v>7414</v>
      </c>
      <c r="D920" s="4" t="s">
        <v>4510</v>
      </c>
      <c r="E920" s="4" t="s">
        <v>7415</v>
      </c>
      <c r="F920" s="4" t="s">
        <v>7416</v>
      </c>
      <c r="G920" s="4" t="s">
        <v>7417</v>
      </c>
      <c r="H920" s="4" t="s">
        <v>7418</v>
      </c>
      <c r="I920" s="4" t="s">
        <v>7419</v>
      </c>
    </row>
    <row r="921" customFormat="false" ht="23.85" hidden="false" customHeight="false" outlineLevel="0" collapsed="false">
      <c r="A921" s="4" t="s">
        <v>4539</v>
      </c>
      <c r="B921" s="4" t="s">
        <v>7380</v>
      </c>
      <c r="C921" s="4" t="s">
        <v>7420</v>
      </c>
      <c r="D921" s="4" t="s">
        <v>7421</v>
      </c>
      <c r="E921" s="4" t="s">
        <v>4420</v>
      </c>
      <c r="F921" s="4" t="s">
        <v>4541</v>
      </c>
      <c r="G921" s="4" t="s">
        <v>7422</v>
      </c>
      <c r="H921" s="4" t="s">
        <v>7423</v>
      </c>
      <c r="I921" s="4" t="s">
        <v>7424</v>
      </c>
    </row>
    <row r="922" customFormat="false" ht="15" hidden="false" customHeight="false" outlineLevel="0" collapsed="false">
      <c r="A922" s="4" t="s">
        <v>1443</v>
      </c>
      <c r="B922" s="4" t="s">
        <v>7425</v>
      </c>
      <c r="C922" s="4" t="s">
        <v>7426</v>
      </c>
      <c r="D922" s="4" t="s">
        <v>7427</v>
      </c>
      <c r="E922" s="4" t="s">
        <v>4549</v>
      </c>
      <c r="F922" s="4" t="s">
        <v>7428</v>
      </c>
      <c r="G922" s="4" t="s">
        <v>7429</v>
      </c>
      <c r="H922" s="4" t="s">
        <v>7430</v>
      </c>
      <c r="I922" s="4" t="s">
        <v>7431</v>
      </c>
    </row>
    <row r="923" customFormat="false" ht="15" hidden="false" customHeight="false" outlineLevel="0" collapsed="false">
      <c r="A923" s="4" t="s">
        <v>4551</v>
      </c>
      <c r="B923" s="4" t="s">
        <v>7380</v>
      </c>
      <c r="C923" s="4" t="s">
        <v>7420</v>
      </c>
      <c r="D923" s="4" t="s">
        <v>7432</v>
      </c>
      <c r="E923" s="4" t="s">
        <v>4555</v>
      </c>
      <c r="F923" s="4" t="s">
        <v>1555</v>
      </c>
      <c r="G923" s="4" t="s">
        <v>7433</v>
      </c>
      <c r="H923" s="4" t="s">
        <v>7434</v>
      </c>
      <c r="I923" s="4" t="s">
        <v>7435</v>
      </c>
    </row>
    <row r="924" customFormat="false" ht="23.85" hidden="false" customHeight="false" outlineLevel="0" collapsed="false">
      <c r="A924" s="4" t="s">
        <v>4557</v>
      </c>
      <c r="B924" s="4" t="s">
        <v>7380</v>
      </c>
      <c r="C924" s="4" t="s">
        <v>7436</v>
      </c>
      <c r="D924" s="4" t="s">
        <v>4561</v>
      </c>
      <c r="E924" s="4" t="s">
        <v>7437</v>
      </c>
      <c r="F924" s="4" t="s">
        <v>4559</v>
      </c>
      <c r="G924" s="4" t="s">
        <v>7438</v>
      </c>
      <c r="H924" s="4" t="s">
        <v>7439</v>
      </c>
      <c r="I924" s="4" t="s">
        <v>7440</v>
      </c>
    </row>
    <row r="925" customFormat="false" ht="15" hidden="false" customHeight="false" outlineLevel="0" collapsed="false">
      <c r="A925" s="4" t="s">
        <v>4565</v>
      </c>
      <c r="B925" s="4" t="s">
        <v>7380</v>
      </c>
      <c r="C925" s="4" t="s">
        <v>7441</v>
      </c>
      <c r="D925" s="4" t="s">
        <v>7442</v>
      </c>
      <c r="E925" s="4" t="s">
        <v>7443</v>
      </c>
      <c r="F925" s="4" t="s">
        <v>1555</v>
      </c>
      <c r="G925" s="4" t="s">
        <v>7444</v>
      </c>
      <c r="H925" s="4" t="s">
        <v>7445</v>
      </c>
      <c r="I925" s="4" t="s">
        <v>7446</v>
      </c>
    </row>
    <row r="926" customFormat="false" ht="15" hidden="false" customHeight="false" outlineLevel="0" collapsed="false">
      <c r="A926" s="4" t="s">
        <v>4572</v>
      </c>
      <c r="B926" s="4" t="s">
        <v>7380</v>
      </c>
      <c r="C926" s="4" t="s">
        <v>4573</v>
      </c>
      <c r="D926" s="4" t="s">
        <v>7447</v>
      </c>
      <c r="E926" s="4" t="s">
        <v>4420</v>
      </c>
      <c r="F926" s="4" t="s">
        <v>1555</v>
      </c>
      <c r="G926" s="4" t="s">
        <v>7448</v>
      </c>
      <c r="H926" s="4" t="s">
        <v>7449</v>
      </c>
      <c r="I926" s="4" t="s">
        <v>7450</v>
      </c>
    </row>
    <row r="927" customFormat="false" ht="15" hidden="false" customHeight="false" outlineLevel="0" collapsed="false">
      <c r="A927" s="4" t="s">
        <v>5027</v>
      </c>
      <c r="B927" s="4" t="s">
        <v>7380</v>
      </c>
      <c r="C927" s="4" t="s">
        <v>7451</v>
      </c>
      <c r="D927" s="4" t="s">
        <v>3412</v>
      </c>
      <c r="E927" s="4" t="s">
        <v>4420</v>
      </c>
      <c r="F927" s="4" t="s">
        <v>1555</v>
      </c>
      <c r="G927" s="4" t="s">
        <v>7452</v>
      </c>
      <c r="H927" s="4" t="s">
        <v>7453</v>
      </c>
      <c r="I927" s="4" t="s">
        <v>7454</v>
      </c>
    </row>
    <row r="928" customFormat="false" ht="15" hidden="false" customHeight="false" outlineLevel="0" collapsed="false">
      <c r="A928" s="4" t="s">
        <v>5047</v>
      </c>
      <c r="B928" s="4" t="s">
        <v>7380</v>
      </c>
      <c r="C928" s="4" t="s">
        <v>7455</v>
      </c>
      <c r="D928" s="4" t="s">
        <v>7456</v>
      </c>
      <c r="E928" s="4" t="s">
        <v>4420</v>
      </c>
      <c r="F928" s="4" t="s">
        <v>1555</v>
      </c>
      <c r="G928" s="4" t="s">
        <v>7457</v>
      </c>
      <c r="H928" s="4" t="s">
        <v>7449</v>
      </c>
      <c r="I928" s="4" t="s">
        <v>7458</v>
      </c>
    </row>
    <row r="931" customFormat="false" ht="15" hidden="false" customHeight="false" outlineLevel="0" collapsed="false">
      <c r="A931" s="17" t="s">
        <v>7459</v>
      </c>
      <c r="B931" s="18"/>
      <c r="C931" s="18"/>
      <c r="D931" s="18"/>
      <c r="E931" s="18"/>
      <c r="F931" s="18"/>
      <c r="G931" s="18"/>
      <c r="H931" s="18"/>
      <c r="I931" s="18"/>
      <c r="J931" s="18"/>
    </row>
    <row r="932" customFormat="false" ht="15" hidden="false" customHeight="false" outlineLevel="0" collapsed="false">
      <c r="A932" s="19" t="s">
        <v>7460</v>
      </c>
    </row>
    <row r="933" customFormat="false" ht="15" hidden="false" customHeight="false" outlineLevel="0" collapsed="false">
      <c r="A933" s="24" t="s">
        <v>1459</v>
      </c>
    </row>
    <row r="934" customFormat="false" ht="15" hidden="false" customHeight="false" outlineLevel="0" collapsed="false">
      <c r="A934" s="21" t="s">
        <v>7376</v>
      </c>
    </row>
    <row r="935" customFormat="false" ht="15" hidden="false" customHeight="false" outlineLevel="0" collapsed="false">
      <c r="A935" s="21" t="s">
        <v>6647</v>
      </c>
    </row>
    <row r="936" customFormat="false" ht="15" hidden="false" customHeight="false" outlineLevel="0" collapsed="false">
      <c r="A936" s="22" t="s">
        <v>1423</v>
      </c>
      <c r="B936" s="22" t="s">
        <v>1643</v>
      </c>
      <c r="C936" s="22" t="s">
        <v>7461</v>
      </c>
      <c r="D936" s="22" t="s">
        <v>4585</v>
      </c>
      <c r="E936" s="22" t="s">
        <v>4586</v>
      </c>
      <c r="F936" s="22" t="s">
        <v>4587</v>
      </c>
      <c r="G936" s="22" t="s">
        <v>1630</v>
      </c>
      <c r="H936" s="22" t="s">
        <v>4588</v>
      </c>
      <c r="I936" s="22" t="s">
        <v>7462</v>
      </c>
      <c r="J936" s="22" t="s">
        <v>7463</v>
      </c>
    </row>
    <row r="937" customFormat="false" ht="15" hidden="false" customHeight="false" outlineLevel="0" collapsed="false">
      <c r="A937" s="4" t="s">
        <v>1427</v>
      </c>
      <c r="B937" s="4" t="n">
        <v>8</v>
      </c>
      <c r="C937" s="4" t="n">
        <v>6</v>
      </c>
      <c r="D937" s="4" t="n">
        <v>10</v>
      </c>
      <c r="E937" s="4" t="n">
        <v>8</v>
      </c>
      <c r="F937" s="4" t="n">
        <v>6</v>
      </c>
      <c r="G937" s="4" t="n">
        <v>6</v>
      </c>
      <c r="H937" s="4" t="n">
        <v>8</v>
      </c>
      <c r="I937" s="4" t="n">
        <v>7.6</v>
      </c>
      <c r="J937" s="4" t="n">
        <v>8</v>
      </c>
    </row>
    <row r="938" customFormat="false" ht="15" hidden="false" customHeight="false" outlineLevel="0" collapsed="false">
      <c r="A938" s="4" t="s">
        <v>1435</v>
      </c>
      <c r="B938" s="4" t="n">
        <v>8</v>
      </c>
      <c r="C938" s="4" t="n">
        <v>7</v>
      </c>
      <c r="D938" s="4" t="n">
        <v>6</v>
      </c>
      <c r="E938" s="4" t="n">
        <v>7</v>
      </c>
      <c r="F938" s="4" t="n">
        <v>9</v>
      </c>
      <c r="G938" s="4" t="n">
        <v>6</v>
      </c>
      <c r="H938" s="4" t="n">
        <v>7</v>
      </c>
      <c r="I938" s="4" t="n">
        <v>7.2</v>
      </c>
      <c r="J938" s="4" t="s">
        <v>1555</v>
      </c>
    </row>
    <row r="939" customFormat="false" ht="15" hidden="false" customHeight="false" outlineLevel="0" collapsed="false">
      <c r="A939" s="4" t="s">
        <v>1447</v>
      </c>
      <c r="B939" s="4" t="n">
        <v>7</v>
      </c>
      <c r="C939" s="4" t="n">
        <v>9</v>
      </c>
      <c r="D939" s="4" t="n">
        <v>7</v>
      </c>
      <c r="E939" s="4" t="n">
        <v>9</v>
      </c>
      <c r="F939" s="4" t="n">
        <v>7</v>
      </c>
      <c r="G939" s="4" t="n">
        <v>5</v>
      </c>
      <c r="H939" s="4" t="n">
        <v>6</v>
      </c>
      <c r="I939" s="4" t="n">
        <v>7.3</v>
      </c>
      <c r="J939" s="4" t="n">
        <v>4</v>
      </c>
    </row>
    <row r="940" customFormat="false" ht="15" hidden="false" customHeight="false" outlineLevel="0" collapsed="false">
      <c r="A940" s="4" t="s">
        <v>1431</v>
      </c>
      <c r="B940" s="4" t="n">
        <v>7</v>
      </c>
      <c r="C940" s="4" t="n">
        <v>8</v>
      </c>
      <c r="D940" s="4" t="n">
        <v>10</v>
      </c>
      <c r="E940" s="4" t="n">
        <v>4</v>
      </c>
      <c r="F940" s="4" t="n">
        <v>6</v>
      </c>
      <c r="G940" s="4" t="n">
        <v>4</v>
      </c>
      <c r="H940" s="4" t="n">
        <v>5</v>
      </c>
      <c r="I940" s="4" t="n">
        <v>6.55</v>
      </c>
      <c r="J940" s="4" t="n">
        <v>7</v>
      </c>
    </row>
    <row r="941" customFormat="false" ht="15" hidden="false" customHeight="false" outlineLevel="0" collapsed="false">
      <c r="A941" s="4" t="s">
        <v>1439</v>
      </c>
      <c r="B941" s="4" t="n">
        <v>7</v>
      </c>
      <c r="C941" s="4" t="n">
        <v>5</v>
      </c>
      <c r="D941" s="4" t="n">
        <v>6</v>
      </c>
      <c r="E941" s="4" t="n">
        <v>8</v>
      </c>
      <c r="F941" s="4" t="n">
        <v>7</v>
      </c>
      <c r="G941" s="4" t="n">
        <v>6</v>
      </c>
      <c r="H941" s="4" t="n">
        <v>8</v>
      </c>
      <c r="I941" s="4" t="n">
        <v>6.7</v>
      </c>
      <c r="J941" s="4" t="n">
        <v>3</v>
      </c>
    </row>
    <row r="942" customFormat="false" ht="15" hidden="false" customHeight="false" outlineLevel="0" collapsed="false">
      <c r="A942" s="4" t="s">
        <v>1451</v>
      </c>
      <c r="B942" s="4" t="n">
        <v>7</v>
      </c>
      <c r="C942" s="4" t="n">
        <v>9</v>
      </c>
      <c r="D942" s="4" t="n">
        <v>4</v>
      </c>
      <c r="E942" s="4" t="n">
        <v>9</v>
      </c>
      <c r="F942" s="4" t="n">
        <v>8</v>
      </c>
      <c r="G942" s="4" t="n">
        <v>4</v>
      </c>
      <c r="H942" s="4" t="n">
        <v>7</v>
      </c>
      <c r="I942" s="4" t="n">
        <v>6.95</v>
      </c>
      <c r="J942" s="4" t="n">
        <v>5</v>
      </c>
    </row>
    <row r="943" customFormat="false" ht="15" hidden="false" customHeight="false" outlineLevel="0" collapsed="false">
      <c r="A943" s="4" t="s">
        <v>3547</v>
      </c>
      <c r="B943" s="4" t="n">
        <v>6</v>
      </c>
      <c r="C943" s="4" t="n">
        <v>8</v>
      </c>
      <c r="D943" s="4" t="n">
        <v>5</v>
      </c>
      <c r="E943" s="4" t="n">
        <v>6</v>
      </c>
      <c r="F943" s="4" t="n">
        <v>6</v>
      </c>
      <c r="G943" s="4" t="n">
        <v>4</v>
      </c>
      <c r="H943" s="4" t="n">
        <v>7</v>
      </c>
      <c r="I943" s="4" t="n">
        <v>6.05</v>
      </c>
      <c r="J943" s="4" t="n">
        <v>1</v>
      </c>
    </row>
    <row r="944" customFormat="false" ht="15" hidden="false" customHeight="false" outlineLevel="0" collapsed="false">
      <c r="A944" s="4" t="s">
        <v>4539</v>
      </c>
      <c r="B944" s="4" t="n">
        <v>6</v>
      </c>
      <c r="C944" s="4" t="n">
        <v>4</v>
      </c>
      <c r="D944" s="4" t="n">
        <v>6</v>
      </c>
      <c r="E944" s="4" t="n">
        <v>7</v>
      </c>
      <c r="F944" s="4" t="n">
        <v>4</v>
      </c>
      <c r="G944" s="4" t="n">
        <v>4</v>
      </c>
      <c r="H944" s="4" t="n">
        <v>7</v>
      </c>
      <c r="I944" s="4" t="n">
        <v>5.55</v>
      </c>
      <c r="J944" s="4" t="s">
        <v>1555</v>
      </c>
    </row>
    <row r="945" customFormat="false" ht="15" hidden="false" customHeight="false" outlineLevel="0" collapsed="false">
      <c r="A945" s="4" t="s">
        <v>1443</v>
      </c>
      <c r="B945" s="4" t="n">
        <v>6</v>
      </c>
      <c r="C945" s="4" t="n">
        <v>4</v>
      </c>
      <c r="D945" s="4" t="n">
        <v>6</v>
      </c>
      <c r="E945" s="4" t="n">
        <v>5</v>
      </c>
      <c r="F945" s="4" t="n">
        <v>6</v>
      </c>
      <c r="G945" s="4" t="n">
        <v>7</v>
      </c>
      <c r="H945" s="4" t="n">
        <v>4</v>
      </c>
      <c r="I945" s="4" t="n">
        <v>5.45</v>
      </c>
      <c r="J945" s="4" t="s">
        <v>1555</v>
      </c>
    </row>
    <row r="946" customFormat="false" ht="15" hidden="false" customHeight="false" outlineLevel="0" collapsed="false">
      <c r="A946" s="4" t="s">
        <v>4551</v>
      </c>
      <c r="B946" s="4" t="n">
        <v>7</v>
      </c>
      <c r="C946" s="4" t="n">
        <v>6</v>
      </c>
      <c r="D946" s="4" t="n">
        <v>4</v>
      </c>
      <c r="E946" s="4" t="n">
        <v>7</v>
      </c>
      <c r="F946" s="4" t="n">
        <v>7</v>
      </c>
      <c r="G946" s="4" t="n">
        <v>7</v>
      </c>
      <c r="H946" s="4" t="n">
        <v>6</v>
      </c>
      <c r="I946" s="4" t="n">
        <v>6.3</v>
      </c>
      <c r="J946" s="4" t="n">
        <v>6</v>
      </c>
    </row>
    <row r="947" customFormat="false" ht="15" hidden="false" customHeight="false" outlineLevel="0" collapsed="false">
      <c r="A947" s="4" t="s">
        <v>4557</v>
      </c>
      <c r="B947" s="4" t="n">
        <v>6</v>
      </c>
      <c r="C947" s="4" t="n">
        <v>10</v>
      </c>
      <c r="D947" s="4" t="n">
        <v>2</v>
      </c>
      <c r="E947" s="4" t="n">
        <v>8</v>
      </c>
      <c r="F947" s="4" t="n">
        <v>8</v>
      </c>
      <c r="G947" s="4" t="n">
        <v>2</v>
      </c>
      <c r="H947" s="4" t="n">
        <v>6</v>
      </c>
      <c r="I947" s="4" t="n">
        <v>6.1</v>
      </c>
      <c r="J947" s="4" t="n">
        <v>2</v>
      </c>
    </row>
    <row r="948" customFormat="false" ht="15" hidden="false" customHeight="false" outlineLevel="0" collapsed="false">
      <c r="A948" s="4" t="s">
        <v>4565</v>
      </c>
      <c r="B948" s="4" t="n">
        <v>6</v>
      </c>
      <c r="C948" s="4" t="n">
        <v>6</v>
      </c>
      <c r="D948" s="4" t="n">
        <v>3</v>
      </c>
      <c r="E948" s="4" t="n">
        <v>7</v>
      </c>
      <c r="F948" s="4" t="n">
        <v>7</v>
      </c>
      <c r="G948" s="4" t="n">
        <v>5</v>
      </c>
      <c r="H948" s="4" t="n">
        <v>6</v>
      </c>
      <c r="I948" s="4" t="n">
        <v>5.7</v>
      </c>
      <c r="J948" s="4" t="s">
        <v>1555</v>
      </c>
    </row>
    <row r="951" customFormat="false" ht="15" hidden="false" customHeight="false" outlineLevel="0" collapsed="false">
      <c r="A951" s="17" t="s">
        <v>7464</v>
      </c>
      <c r="B951" s="18"/>
      <c r="C951" s="18"/>
      <c r="D951" s="18"/>
    </row>
    <row r="952" customFormat="false" ht="15" hidden="false" customHeight="false" outlineLevel="0" collapsed="false">
      <c r="A952" s="19" t="s">
        <v>7465</v>
      </c>
    </row>
    <row r="953" customFormat="false" ht="15" hidden="false" customHeight="false" outlineLevel="0" collapsed="false">
      <c r="A953" s="19" t="s">
        <v>7466</v>
      </c>
    </row>
    <row r="954" customFormat="false" ht="15" hidden="false" customHeight="false" outlineLevel="0" collapsed="false">
      <c r="A954" s="23" t="s">
        <v>1246</v>
      </c>
    </row>
    <row r="955" customFormat="false" ht="15" hidden="false" customHeight="false" outlineLevel="0" collapsed="false">
      <c r="A955" s="21" t="s">
        <v>7376</v>
      </c>
    </row>
    <row r="956" customFormat="false" ht="15" hidden="false" customHeight="false" outlineLevel="0" collapsed="false">
      <c r="A956" s="21" t="s">
        <v>6647</v>
      </c>
    </row>
    <row r="957" customFormat="false" ht="15" hidden="false" customHeight="false" outlineLevel="0" collapsed="false">
      <c r="A957" s="22" t="s">
        <v>4110</v>
      </c>
      <c r="B957" s="22" t="s">
        <v>7467</v>
      </c>
      <c r="C957" s="22" t="s">
        <v>7468</v>
      </c>
      <c r="D957" s="22" t="s">
        <v>1285</v>
      </c>
    </row>
    <row r="958" customFormat="false" ht="15" hidden="false" customHeight="false" outlineLevel="0" collapsed="false">
      <c r="A958" s="4" t="s">
        <v>7469</v>
      </c>
      <c r="B958" s="4" t="n">
        <v>2016.2</v>
      </c>
      <c r="C958" s="4" t="n">
        <v>2027</v>
      </c>
      <c r="D958" s="4" t="s">
        <v>7386</v>
      </c>
    </row>
    <row r="959" customFormat="false" ht="15" hidden="false" customHeight="false" outlineLevel="0" collapsed="false">
      <c r="A959" s="4" t="s">
        <v>7470</v>
      </c>
      <c r="B959" s="4" t="n">
        <v>2021.9</v>
      </c>
      <c r="C959" s="4" t="n">
        <v>2026.25</v>
      </c>
      <c r="D959" s="4" t="s">
        <v>7398</v>
      </c>
    </row>
    <row r="960" customFormat="false" ht="15" hidden="false" customHeight="false" outlineLevel="0" collapsed="false">
      <c r="A960" s="4" t="s">
        <v>7471</v>
      </c>
      <c r="B960" s="4" t="n">
        <v>2021.7</v>
      </c>
      <c r="C960" s="4" t="n">
        <v>2026.7</v>
      </c>
      <c r="D960" s="4" t="s">
        <v>7425</v>
      </c>
    </row>
    <row r="961" customFormat="false" ht="15" hidden="false" customHeight="false" outlineLevel="0" collapsed="false">
      <c r="A961" s="4" t="s">
        <v>7472</v>
      </c>
      <c r="B961" s="4" t="n">
        <v>2021.1</v>
      </c>
      <c r="C961" s="4" t="n">
        <v>2026.07</v>
      </c>
      <c r="D961" s="4" t="s">
        <v>7398</v>
      </c>
    </row>
    <row r="962" customFormat="false" ht="15" hidden="false" customHeight="false" outlineLevel="0" collapsed="false">
      <c r="A962" s="4" t="s">
        <v>7473</v>
      </c>
      <c r="B962" s="4" t="n">
        <v>2022.5</v>
      </c>
      <c r="C962" s="4" t="n">
        <v>2029.5</v>
      </c>
      <c r="D962" s="4" t="s">
        <v>7380</v>
      </c>
    </row>
    <row r="963" customFormat="false" ht="15" hidden="false" customHeight="false" outlineLevel="0" collapsed="false">
      <c r="A963" s="4" t="s">
        <v>7474</v>
      </c>
      <c r="B963" s="4" t="n">
        <v>2022.5</v>
      </c>
      <c r="C963" s="4" t="n">
        <v>2027.5</v>
      </c>
      <c r="D963" s="4" t="s">
        <v>7380</v>
      </c>
    </row>
    <row r="964" customFormat="false" ht="15" hidden="false" customHeight="false" outlineLevel="0" collapsed="false">
      <c r="A964" s="4" t="s">
        <v>7475</v>
      </c>
      <c r="B964" s="4" t="n">
        <v>2023.3</v>
      </c>
      <c r="C964" s="4" t="n">
        <v>2028.3</v>
      </c>
      <c r="D964" s="4" t="s">
        <v>7380</v>
      </c>
    </row>
    <row r="965" customFormat="false" ht="15" hidden="false" customHeight="false" outlineLevel="0" collapsed="false">
      <c r="A965" s="4" t="s">
        <v>7476</v>
      </c>
      <c r="B965" s="4" t="n">
        <v>2023.5</v>
      </c>
      <c r="C965" s="4" t="n">
        <v>2028.5</v>
      </c>
      <c r="D965" s="4" t="s">
        <v>7380</v>
      </c>
    </row>
    <row r="966" customFormat="false" ht="15" hidden="false" customHeight="false" outlineLevel="0" collapsed="false">
      <c r="A966" s="4" t="s">
        <v>7477</v>
      </c>
      <c r="B966" s="4" t="n">
        <v>2024.87</v>
      </c>
      <c r="C966" s="4" t="n">
        <v>2029.87</v>
      </c>
      <c r="D966" s="4" t="s">
        <v>7380</v>
      </c>
    </row>
    <row r="967" customFormat="false" ht="15" hidden="false" customHeight="false" outlineLevel="0" collapsed="false">
      <c r="A967" s="4" t="s">
        <v>7478</v>
      </c>
      <c r="B967" s="4" t="n">
        <v>2025.1</v>
      </c>
      <c r="C967" s="4" t="n">
        <v>2030.1</v>
      </c>
      <c r="D967" s="4" t="s">
        <v>7380</v>
      </c>
    </row>
    <row r="968" customFormat="false" ht="15" hidden="false" customHeight="false" outlineLevel="0" collapsed="false">
      <c r="A968" s="4" t="s">
        <v>7479</v>
      </c>
      <c r="B968" s="4" t="n">
        <v>2026.5</v>
      </c>
      <c r="C968" s="4" t="n">
        <v>2029.5</v>
      </c>
      <c r="D968" s="4" t="s">
        <v>7380</v>
      </c>
    </row>
    <row r="969" customFormat="false" ht="15" hidden="false" customHeight="false" outlineLevel="0" collapsed="false">
      <c r="A969" s="4" t="s">
        <v>7480</v>
      </c>
      <c r="B969" s="4" t="n">
        <v>2026.5</v>
      </c>
      <c r="C969" s="4" t="n">
        <v>2031.5</v>
      </c>
      <c r="D969" s="4" t="s">
        <v>7380</v>
      </c>
    </row>
    <row r="970" customFormat="false" ht="15" hidden="false" customHeight="false" outlineLevel="0" collapsed="false">
      <c r="A970" s="4" t="s">
        <v>7481</v>
      </c>
      <c r="B970" s="4" t="n">
        <v>2026.7</v>
      </c>
      <c r="C970" s="4" t="n">
        <v>2031.7</v>
      </c>
      <c r="D970" s="4" t="s">
        <v>7380</v>
      </c>
    </row>
    <row r="973" customFormat="false" ht="15" hidden="false" customHeight="false" outlineLevel="0" collapsed="false">
      <c r="A973" s="17" t="s">
        <v>7482</v>
      </c>
      <c r="B973" s="18"/>
    </row>
    <row r="974" customFormat="false" ht="15" hidden="false" customHeight="false" outlineLevel="0" collapsed="false">
      <c r="A974" s="19" t="s">
        <v>7483</v>
      </c>
    </row>
    <row r="975" customFormat="false" ht="15" hidden="false" customHeight="false" outlineLevel="0" collapsed="false">
      <c r="A975" s="23" t="s">
        <v>1246</v>
      </c>
    </row>
    <row r="976" customFormat="false" ht="15" hidden="false" customHeight="false" outlineLevel="0" collapsed="false">
      <c r="A976" s="21" t="s">
        <v>7376</v>
      </c>
    </row>
    <row r="977" customFormat="false" ht="15" hidden="false" customHeight="false" outlineLevel="0" collapsed="false">
      <c r="A977" s="21" t="s">
        <v>6647</v>
      </c>
    </row>
    <row r="978" customFormat="false" ht="15" hidden="false" customHeight="false" outlineLevel="0" collapsed="false">
      <c r="A978" s="22" t="s">
        <v>7484</v>
      </c>
      <c r="B978" s="22" t="s">
        <v>7485</v>
      </c>
    </row>
    <row r="979" customFormat="false" ht="15" hidden="false" customHeight="false" outlineLevel="0" collapsed="false">
      <c r="A979" s="4" t="s">
        <v>7486</v>
      </c>
      <c r="B979" s="4" t="n">
        <v>5</v>
      </c>
    </row>
    <row r="980" customFormat="false" ht="15" hidden="false" customHeight="false" outlineLevel="0" collapsed="false">
      <c r="A980" s="4" t="s">
        <v>7487</v>
      </c>
      <c r="B980" s="4" t="n">
        <v>5</v>
      </c>
    </row>
    <row r="981" customFormat="false" ht="15" hidden="false" customHeight="false" outlineLevel="0" collapsed="false">
      <c r="A981" s="4" t="s">
        <v>7488</v>
      </c>
      <c r="B981" s="4" t="n">
        <v>7</v>
      </c>
    </row>
    <row r="982" customFormat="false" ht="15" hidden="false" customHeight="false" outlineLevel="0" collapsed="false">
      <c r="A982" s="4" t="s">
        <v>1439</v>
      </c>
      <c r="B982" s="4" t="n">
        <v>10</v>
      </c>
    </row>
    <row r="983" customFormat="false" ht="15" hidden="false" customHeight="false" outlineLevel="0" collapsed="false">
      <c r="A983" s="4" t="s">
        <v>7489</v>
      </c>
      <c r="B983" s="4" t="n">
        <v>10</v>
      </c>
    </row>
    <row r="984" customFormat="false" ht="15" hidden="false" customHeight="false" outlineLevel="0" collapsed="false">
      <c r="A984" s="4" t="s">
        <v>7490</v>
      </c>
      <c r="B984" s="4" t="n">
        <v>20</v>
      </c>
    </row>
    <row r="985" customFormat="false" ht="15" hidden="false" customHeight="false" outlineLevel="0" collapsed="false">
      <c r="A985" s="4" t="s">
        <v>7491</v>
      </c>
      <c r="B985" s="4" t="n">
        <v>20</v>
      </c>
    </row>
    <row r="986" customFormat="false" ht="15" hidden="false" customHeight="false" outlineLevel="0" collapsed="false">
      <c r="A986" s="4" t="s">
        <v>7492</v>
      </c>
      <c r="B986" s="4" t="n">
        <v>20</v>
      </c>
    </row>
    <row r="989" customFormat="false" ht="15" hidden="false" customHeight="false" outlineLevel="0" collapsed="false">
      <c r="A989" s="17" t="s">
        <v>7493</v>
      </c>
      <c r="B989" s="18"/>
    </row>
    <row r="990" customFormat="false" ht="15" hidden="false" customHeight="false" outlineLevel="0" collapsed="false">
      <c r="A990" s="19" t="s">
        <v>7494</v>
      </c>
    </row>
    <row r="991" customFormat="false" ht="15" hidden="false" customHeight="false" outlineLevel="0" collapsed="false">
      <c r="A991" s="23" t="s">
        <v>1246</v>
      </c>
    </row>
    <row r="992" customFormat="false" ht="15" hidden="false" customHeight="false" outlineLevel="0" collapsed="false">
      <c r="A992" s="21" t="s">
        <v>7376</v>
      </c>
    </row>
    <row r="993" customFormat="false" ht="15" hidden="false" customHeight="false" outlineLevel="0" collapsed="false">
      <c r="A993" s="21" t="s">
        <v>6647</v>
      </c>
    </row>
    <row r="994" customFormat="false" ht="15" hidden="false" customHeight="false" outlineLevel="0" collapsed="false">
      <c r="A994" s="22" t="s">
        <v>4110</v>
      </c>
      <c r="B994" s="22" t="s">
        <v>7495</v>
      </c>
    </row>
    <row r="995" customFormat="false" ht="15" hidden="false" customHeight="false" outlineLevel="0" collapsed="false">
      <c r="A995" s="4" t="s">
        <v>7496</v>
      </c>
      <c r="B995" s="4" t="s">
        <v>7497</v>
      </c>
    </row>
    <row r="996" customFormat="false" ht="15" hidden="false" customHeight="false" outlineLevel="0" collapsed="false">
      <c r="A996" s="4" t="s">
        <v>7498</v>
      </c>
      <c r="B996" s="4" t="s">
        <v>7499</v>
      </c>
    </row>
    <row r="997" customFormat="false" ht="23.85" hidden="false" customHeight="false" outlineLevel="0" collapsed="false">
      <c r="A997" s="4" t="s">
        <v>7500</v>
      </c>
      <c r="B997" s="4" t="s">
        <v>7501</v>
      </c>
    </row>
    <row r="998" customFormat="false" ht="15" hidden="false" customHeight="false" outlineLevel="0" collapsed="false">
      <c r="A998" s="4" t="s">
        <v>7502</v>
      </c>
      <c r="B998" s="4" t="s">
        <v>7503</v>
      </c>
    </row>
    <row r="999" customFormat="false" ht="15" hidden="false" customHeight="false" outlineLevel="0" collapsed="false">
      <c r="A999" s="4" t="s">
        <v>7504</v>
      </c>
      <c r="B999" s="4" t="s">
        <v>7505</v>
      </c>
    </row>
    <row r="1000" customFormat="false" ht="15" hidden="false" customHeight="false" outlineLevel="0" collapsed="false">
      <c r="A1000" s="4" t="s">
        <v>4446</v>
      </c>
      <c r="B1000" s="4" t="s">
        <v>7506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6"/>
    <col collapsed="false" customWidth="true" hidden="false" outlineLevel="0" max="3" min="3" style="0" width="22.7"/>
    <col collapsed="false" customWidth="true" hidden="false" outlineLevel="0" max="4" min="4" style="0" width="55.1"/>
    <col collapsed="false" customWidth="true" hidden="false" outlineLevel="0" max="5" min="5" style="0" width="56"/>
    <col collapsed="false" customWidth="true" hidden="false" outlineLevel="0" max="6" min="6" style="0" width="23.6"/>
    <col collapsed="false" customWidth="true" hidden="false" outlineLevel="0" max="7" min="7" style="0" width="20"/>
    <col collapsed="false" customWidth="true" hidden="false" outlineLevel="0" max="8" min="8" style="0" width="19.1"/>
    <col collapsed="false" customWidth="true" hidden="false" outlineLevel="0" max="9" min="9" style="0" width="26.3"/>
    <col collapsed="false" customWidth="true" hidden="false" outlineLevel="0" max="10" min="10" style="0" width="19.1"/>
    <col collapsed="false" customWidth="true" hidden="false" outlineLevel="0" max="11" min="11" style="0" width="18.2"/>
    <col collapsed="false" customWidth="true" hidden="false" outlineLevel="0" max="12" min="12" style="0" width="12"/>
  </cols>
  <sheetData>
    <row r="1" customFormat="false" ht="17.35" hidden="false" customHeight="false" outlineLevel="0" collapsed="false">
      <c r="A1" s="1" t="s">
        <v>1113</v>
      </c>
    </row>
    <row r="2" customFormat="false" ht="15" hidden="false" customHeight="false" outlineLevel="0" collapsed="false">
      <c r="A2" s="14" t="s">
        <v>4425</v>
      </c>
    </row>
    <row r="4" customFormat="false" ht="15" hidden="false" customHeight="false" outlineLevel="0" collapsed="false">
      <c r="A4" s="17" t="s">
        <v>7507</v>
      </c>
      <c r="B4" s="18"/>
      <c r="C4" s="18"/>
      <c r="D4" s="18"/>
    </row>
    <row r="5" customFormat="false" ht="15" hidden="false" customHeight="false" outlineLevel="0" collapsed="false">
      <c r="A5" s="19" t="s">
        <v>7508</v>
      </c>
    </row>
    <row r="6" customFormat="false" ht="15" hidden="false" customHeight="false" outlineLevel="0" collapsed="false">
      <c r="A6" s="20" t="s">
        <v>1193</v>
      </c>
    </row>
    <row r="7" customFormat="false" ht="15" hidden="false" customHeight="false" outlineLevel="0" collapsed="false">
      <c r="A7" s="21" t="s">
        <v>7509</v>
      </c>
    </row>
    <row r="8" customFormat="false" ht="15" hidden="false" customHeight="false" outlineLevel="0" collapsed="false">
      <c r="A8" s="21" t="s">
        <v>7510</v>
      </c>
    </row>
    <row r="9" customFormat="false" ht="15" hidden="false" customHeight="false" outlineLevel="0" collapsed="false">
      <c r="A9" s="22" t="s">
        <v>7234</v>
      </c>
      <c r="B9" s="22" t="s">
        <v>7511</v>
      </c>
      <c r="C9" s="22" t="s">
        <v>3379</v>
      </c>
      <c r="D9" s="22" t="s">
        <v>2631</v>
      </c>
    </row>
    <row r="10" customFormat="false" ht="23.85" hidden="false" customHeight="false" outlineLevel="0" collapsed="false">
      <c r="A10" s="4" t="s">
        <v>7512</v>
      </c>
      <c r="B10" s="4" t="s">
        <v>7513</v>
      </c>
      <c r="C10" s="4" t="s">
        <v>7514</v>
      </c>
      <c r="D10" s="4" t="s">
        <v>7515</v>
      </c>
    </row>
    <row r="11" customFormat="false" ht="15" hidden="false" customHeight="false" outlineLevel="0" collapsed="false">
      <c r="A11" s="4" t="s">
        <v>7516</v>
      </c>
      <c r="B11" s="4" t="s">
        <v>7517</v>
      </c>
      <c r="C11" s="4" t="s">
        <v>7518</v>
      </c>
      <c r="D11" s="4" t="s">
        <v>7519</v>
      </c>
    </row>
    <row r="12" customFormat="false" ht="15" hidden="false" customHeight="false" outlineLevel="0" collapsed="false">
      <c r="A12" s="4" t="s">
        <v>7520</v>
      </c>
      <c r="B12" s="4" t="s">
        <v>7521</v>
      </c>
      <c r="C12" s="4" t="s">
        <v>7518</v>
      </c>
      <c r="D12" s="4" t="s">
        <v>7522</v>
      </c>
    </row>
    <row r="13" customFormat="false" ht="23.85" hidden="false" customHeight="false" outlineLevel="0" collapsed="false">
      <c r="A13" s="4" t="s">
        <v>7523</v>
      </c>
      <c r="B13" s="4" t="s">
        <v>7524</v>
      </c>
      <c r="C13" s="4" t="s">
        <v>7525</v>
      </c>
      <c r="D13" s="4" t="s">
        <v>7526</v>
      </c>
    </row>
    <row r="14" customFormat="false" ht="15" hidden="false" customHeight="false" outlineLevel="0" collapsed="false">
      <c r="A14" s="4" t="s">
        <v>7527</v>
      </c>
      <c r="B14" s="4" t="s">
        <v>7528</v>
      </c>
      <c r="C14" s="4" t="s">
        <v>7525</v>
      </c>
      <c r="D14" s="4" t="s">
        <v>7529</v>
      </c>
    </row>
    <row r="15" customFormat="false" ht="15" hidden="false" customHeight="false" outlineLevel="0" collapsed="false">
      <c r="A15" s="4" t="s">
        <v>4587</v>
      </c>
      <c r="B15" s="4" t="s">
        <v>7530</v>
      </c>
      <c r="C15" s="4" t="s">
        <v>7518</v>
      </c>
      <c r="D15" s="4" t="s">
        <v>7531</v>
      </c>
    </row>
    <row r="16" customFormat="false" ht="23.85" hidden="false" customHeight="false" outlineLevel="0" collapsed="false">
      <c r="A16" s="4" t="s">
        <v>7532</v>
      </c>
      <c r="B16" s="4" t="s">
        <v>7533</v>
      </c>
      <c r="C16" s="4" t="s">
        <v>7525</v>
      </c>
      <c r="D16" s="4" t="s">
        <v>7534</v>
      </c>
    </row>
    <row r="17" customFormat="false" ht="15" hidden="false" customHeight="false" outlineLevel="0" collapsed="false">
      <c r="A17" s="4" t="s">
        <v>7535</v>
      </c>
      <c r="B17" s="4" t="s">
        <v>7536</v>
      </c>
      <c r="C17" s="4" t="s">
        <v>7514</v>
      </c>
      <c r="D17" s="4" t="s">
        <v>7537</v>
      </c>
    </row>
    <row r="18" customFormat="false" ht="15" hidden="false" customHeight="false" outlineLevel="0" collapsed="false">
      <c r="A18" s="4" t="s">
        <v>6987</v>
      </c>
      <c r="B18" s="4" t="s">
        <v>7538</v>
      </c>
      <c r="C18" s="4" t="s">
        <v>7518</v>
      </c>
      <c r="D18" s="4" t="s">
        <v>7539</v>
      </c>
    </row>
    <row r="19" customFormat="false" ht="15" hidden="false" customHeight="false" outlineLevel="0" collapsed="false">
      <c r="A19" s="4" t="s">
        <v>7540</v>
      </c>
      <c r="B19" s="4" t="s">
        <v>7541</v>
      </c>
      <c r="C19" s="4" t="s">
        <v>7518</v>
      </c>
      <c r="D19" s="4" t="s">
        <v>7542</v>
      </c>
    </row>
    <row r="20" customFormat="false" ht="15" hidden="false" customHeight="false" outlineLevel="0" collapsed="false">
      <c r="A20" s="4" t="s">
        <v>7543</v>
      </c>
      <c r="B20" s="4" t="s">
        <v>7544</v>
      </c>
      <c r="C20" s="4" t="s">
        <v>7518</v>
      </c>
      <c r="D20" s="4" t="s">
        <v>7545</v>
      </c>
    </row>
    <row r="21" customFormat="false" ht="15" hidden="false" customHeight="false" outlineLevel="0" collapsed="false">
      <c r="A21" s="4" t="s">
        <v>7546</v>
      </c>
      <c r="B21" s="4" t="s">
        <v>7547</v>
      </c>
      <c r="C21" s="4" t="s">
        <v>7525</v>
      </c>
      <c r="D21" s="4" t="s">
        <v>7548</v>
      </c>
    </row>
    <row r="22" customFormat="false" ht="23.85" hidden="false" customHeight="false" outlineLevel="0" collapsed="false">
      <c r="A22" s="4" t="s">
        <v>7549</v>
      </c>
      <c r="B22" s="4" t="s">
        <v>7550</v>
      </c>
      <c r="C22" s="4" t="s">
        <v>7525</v>
      </c>
      <c r="D22" s="4" t="s">
        <v>7551</v>
      </c>
    </row>
    <row r="25" customFormat="false" ht="15" hidden="false" customHeight="false" outlineLevel="0" collapsed="false">
      <c r="A25" s="17" t="s">
        <v>7552</v>
      </c>
      <c r="B25" s="18"/>
      <c r="C25" s="18"/>
      <c r="D25" s="18"/>
      <c r="E25" s="18"/>
      <c r="F25" s="18"/>
      <c r="G25" s="18"/>
      <c r="H25" s="18"/>
      <c r="I25" s="18"/>
      <c r="J25" s="18"/>
      <c r="K25" s="18"/>
      <c r="L25" s="18"/>
    </row>
    <row r="26" customFormat="false" ht="15" hidden="false" customHeight="false" outlineLevel="0" collapsed="false">
      <c r="A26" s="19" t="s">
        <v>7508</v>
      </c>
    </row>
    <row r="27" customFormat="false" ht="15" hidden="false" customHeight="false" outlineLevel="0" collapsed="false">
      <c r="A27" s="20" t="s">
        <v>1193</v>
      </c>
    </row>
    <row r="28" customFormat="false" ht="15" hidden="false" customHeight="false" outlineLevel="0" collapsed="false">
      <c r="A28" s="21" t="s">
        <v>7553</v>
      </c>
    </row>
    <row r="29" customFormat="false" ht="15" hidden="false" customHeight="false" outlineLevel="0" collapsed="false">
      <c r="A29" s="21" t="s">
        <v>7554</v>
      </c>
    </row>
    <row r="30" customFormat="false" ht="23.85" hidden="false" customHeight="false" outlineLevel="0" collapsed="false">
      <c r="A30" s="22" t="s">
        <v>2066</v>
      </c>
      <c r="B30" s="22" t="s">
        <v>1423</v>
      </c>
      <c r="C30" s="22" t="s">
        <v>7555</v>
      </c>
      <c r="D30" s="22" t="s">
        <v>7556</v>
      </c>
      <c r="E30" s="22" t="s">
        <v>7557</v>
      </c>
      <c r="F30" s="22" t="s">
        <v>7558</v>
      </c>
      <c r="G30" s="22" t="s">
        <v>7559</v>
      </c>
      <c r="H30" s="22" t="s">
        <v>7560</v>
      </c>
      <c r="I30" s="22" t="s">
        <v>7561</v>
      </c>
      <c r="J30" s="22" t="s">
        <v>7562</v>
      </c>
      <c r="K30" s="22" t="s">
        <v>7563</v>
      </c>
      <c r="L30" s="22" t="s">
        <v>2040</v>
      </c>
    </row>
    <row r="31" customFormat="false" ht="15" hidden="false" customHeight="false" outlineLevel="0" collapsed="false">
      <c r="A31" s="4" t="s">
        <v>1403</v>
      </c>
      <c r="B31" s="4" t="s">
        <v>3547</v>
      </c>
      <c r="C31" s="4" t="n">
        <v>35</v>
      </c>
      <c r="D31" s="4" t="n">
        <v>23</v>
      </c>
      <c r="E31" s="4" t="n">
        <v>8</v>
      </c>
      <c r="F31" s="4" t="n">
        <v>6.7</v>
      </c>
      <c r="G31" s="4" t="n">
        <v>365</v>
      </c>
      <c r="H31" s="4" t="n">
        <v>6.2</v>
      </c>
      <c r="I31" s="4" t="n">
        <v>1.5</v>
      </c>
      <c r="J31" s="4" t="n">
        <v>1</v>
      </c>
      <c r="K31" s="4" t="n">
        <v>99</v>
      </c>
      <c r="L31" s="4" t="s">
        <v>7564</v>
      </c>
    </row>
    <row r="32" customFormat="false" ht="15" hidden="false" customHeight="false" outlineLevel="0" collapsed="false">
      <c r="A32" s="4" t="s">
        <v>3371</v>
      </c>
      <c r="B32" s="4" t="s">
        <v>1427</v>
      </c>
      <c r="C32" s="4" t="n">
        <v>35</v>
      </c>
      <c r="D32" s="4" t="n">
        <v>28</v>
      </c>
      <c r="E32" s="4" t="n">
        <v>20</v>
      </c>
      <c r="F32" s="4" t="n">
        <v>7.27</v>
      </c>
      <c r="G32" s="4" t="n">
        <v>560</v>
      </c>
      <c r="H32" s="4" t="n">
        <v>5.8</v>
      </c>
      <c r="I32" s="4" t="n">
        <v>2.2</v>
      </c>
      <c r="J32" s="4" t="n">
        <v>0.5</v>
      </c>
      <c r="K32" s="4" t="n">
        <v>80</v>
      </c>
      <c r="L32" s="4" t="s">
        <v>7565</v>
      </c>
    </row>
    <row r="33" customFormat="false" ht="15" hidden="false" customHeight="false" outlineLevel="0" collapsed="false">
      <c r="A33" s="4" t="s">
        <v>1397</v>
      </c>
      <c r="B33" s="4" t="s">
        <v>1431</v>
      </c>
      <c r="C33" s="4" t="n">
        <v>38</v>
      </c>
      <c r="D33" s="4" t="n">
        <v>29</v>
      </c>
      <c r="E33" s="4" t="n">
        <v>6</v>
      </c>
      <c r="F33" s="4" t="n">
        <v>7.5</v>
      </c>
      <c r="G33" s="4" t="n">
        <v>608</v>
      </c>
      <c r="H33" s="4" t="n">
        <v>5.9</v>
      </c>
      <c r="I33" s="4" t="n">
        <v>2.2</v>
      </c>
      <c r="J33" s="4" t="n">
        <v>0.9</v>
      </c>
      <c r="K33" s="4" t="n">
        <v>80</v>
      </c>
      <c r="L33" s="4" t="s">
        <v>7565</v>
      </c>
    </row>
    <row r="34" customFormat="false" ht="15" hidden="false" customHeight="false" outlineLevel="0" collapsed="false">
      <c r="A34" s="4" t="s">
        <v>1406</v>
      </c>
      <c r="B34" s="4" t="s">
        <v>1435</v>
      </c>
      <c r="C34" s="4" t="n">
        <v>41</v>
      </c>
      <c r="D34" s="4" t="n">
        <v>26</v>
      </c>
      <c r="E34" s="4" t="n">
        <v>8</v>
      </c>
      <c r="F34" s="4" t="n">
        <v>6.65</v>
      </c>
      <c r="G34" s="4" t="n">
        <v>500</v>
      </c>
      <c r="H34" s="4" t="n">
        <v>6.1</v>
      </c>
      <c r="I34" s="4" t="n">
        <v>2.2</v>
      </c>
      <c r="J34" s="4" t="n">
        <v>0.7</v>
      </c>
      <c r="K34" s="4" t="n">
        <v>80</v>
      </c>
      <c r="L34" s="4" t="s">
        <v>7564</v>
      </c>
    </row>
    <row r="35" customFormat="false" ht="15" hidden="false" customHeight="false" outlineLevel="0" collapsed="false">
      <c r="A35" s="4" t="s">
        <v>5123</v>
      </c>
      <c r="B35" s="4" t="s">
        <v>1439</v>
      </c>
      <c r="C35" s="4" t="n">
        <v>45</v>
      </c>
      <c r="D35" s="4" t="n">
        <v>29</v>
      </c>
      <c r="E35" s="4" t="n">
        <v>10</v>
      </c>
      <c r="F35" s="4" t="n">
        <v>7.4</v>
      </c>
      <c r="G35" s="4" t="n">
        <v>450</v>
      </c>
      <c r="H35" s="4" t="n">
        <v>6</v>
      </c>
      <c r="I35" s="4" t="n">
        <v>2.2</v>
      </c>
      <c r="J35" s="4" t="n">
        <v>0.85</v>
      </c>
      <c r="K35" s="4" t="n">
        <v>80</v>
      </c>
      <c r="L35" s="4" t="s">
        <v>7564</v>
      </c>
    </row>
    <row r="36" customFormat="false" ht="15" hidden="false" customHeight="false" outlineLevel="0" collapsed="false">
      <c r="A36" s="4" t="s">
        <v>7566</v>
      </c>
      <c r="B36" s="4" t="s">
        <v>1447</v>
      </c>
      <c r="C36" s="4" t="n">
        <v>36</v>
      </c>
      <c r="D36" s="4" t="n">
        <v>28</v>
      </c>
      <c r="E36" s="4" t="n">
        <v>3</v>
      </c>
      <c r="F36" s="4" t="n">
        <v>7.2</v>
      </c>
      <c r="G36" s="4" t="n">
        <v>475</v>
      </c>
      <c r="H36" s="4" t="n">
        <v>5.5</v>
      </c>
      <c r="I36" s="4" t="n">
        <v>2.2</v>
      </c>
      <c r="J36" s="4" t="n">
        <v>0.6</v>
      </c>
      <c r="K36" s="4" t="n">
        <v>80</v>
      </c>
      <c r="L36" s="4" t="s">
        <v>7565</v>
      </c>
    </row>
    <row r="39" customFormat="false" ht="15" hidden="false" customHeight="false" outlineLevel="0" collapsed="false">
      <c r="A39" s="17" t="s">
        <v>7567</v>
      </c>
      <c r="B39" s="18"/>
      <c r="C39" s="18"/>
      <c r="D39" s="18"/>
      <c r="E39" s="18"/>
      <c r="F39" s="18"/>
      <c r="G39" s="18"/>
      <c r="H39" s="18"/>
      <c r="I39" s="18"/>
    </row>
    <row r="40" customFormat="false" ht="15" hidden="false" customHeight="false" outlineLevel="0" collapsed="false">
      <c r="A40" s="19" t="s">
        <v>7568</v>
      </c>
    </row>
    <row r="41" customFormat="false" ht="15" hidden="false" customHeight="false" outlineLevel="0" collapsed="false">
      <c r="A41" s="20" t="s">
        <v>1193</v>
      </c>
    </row>
    <row r="42" customFormat="false" ht="15" hidden="false" customHeight="false" outlineLevel="0" collapsed="false">
      <c r="A42" s="21" t="s">
        <v>7553</v>
      </c>
    </row>
    <row r="43" customFormat="false" ht="15" hidden="false" customHeight="false" outlineLevel="0" collapsed="false">
      <c r="A43" s="21" t="s">
        <v>7554</v>
      </c>
    </row>
    <row r="44" customFormat="false" ht="15" hidden="false" customHeight="false" outlineLevel="0" collapsed="false">
      <c r="A44" s="22" t="s">
        <v>1567</v>
      </c>
      <c r="B44" s="22" t="s">
        <v>7569</v>
      </c>
      <c r="C44" s="22" t="s">
        <v>7570</v>
      </c>
      <c r="D44" s="22" t="s">
        <v>7571</v>
      </c>
      <c r="E44" s="22" t="s">
        <v>7572</v>
      </c>
      <c r="F44" s="22" t="s">
        <v>7573</v>
      </c>
      <c r="G44" s="22" t="s">
        <v>7574</v>
      </c>
      <c r="H44" s="22" t="s">
        <v>7575</v>
      </c>
      <c r="I44" s="22" t="s">
        <v>7576</v>
      </c>
    </row>
    <row r="45" customFormat="false" ht="15" hidden="false" customHeight="false" outlineLevel="0" collapsed="false">
      <c r="A45" s="4" t="s">
        <v>6733</v>
      </c>
      <c r="B45" s="4" t="n">
        <v>56.1</v>
      </c>
      <c r="C45" s="4" t="n">
        <v>0.25</v>
      </c>
      <c r="D45" s="4" t="n">
        <v>2.25</v>
      </c>
      <c r="E45" s="4" t="n">
        <v>70</v>
      </c>
      <c r="F45" s="4" t="n">
        <v>0.1</v>
      </c>
      <c r="G45" s="4" t="n">
        <v>0.03</v>
      </c>
      <c r="H45" s="4" t="s">
        <v>1555</v>
      </c>
      <c r="I45" s="4" t="s">
        <v>1555</v>
      </c>
    </row>
    <row r="46" customFormat="false" ht="15" hidden="false" customHeight="false" outlineLevel="0" collapsed="false">
      <c r="A46" s="4" t="s">
        <v>6208</v>
      </c>
      <c r="B46" s="4" t="n">
        <v>39.2</v>
      </c>
      <c r="C46" s="4" t="n">
        <v>0.4</v>
      </c>
      <c r="D46" s="4" t="n">
        <v>1.17</v>
      </c>
      <c r="E46" s="4" t="n">
        <v>75</v>
      </c>
      <c r="F46" s="4" t="n">
        <v>0.08</v>
      </c>
      <c r="G46" s="4" t="n">
        <v>0.02</v>
      </c>
      <c r="H46" s="4" t="s">
        <v>1555</v>
      </c>
      <c r="I46" s="4" t="s">
        <v>1555</v>
      </c>
    </row>
    <row r="47" customFormat="false" ht="15" hidden="false" customHeight="false" outlineLevel="0" collapsed="false">
      <c r="A47" s="4" t="s">
        <v>6212</v>
      </c>
      <c r="B47" s="4" t="n">
        <v>72.5</v>
      </c>
      <c r="C47" s="4" t="n">
        <v>0.3</v>
      </c>
      <c r="D47" s="4" t="n">
        <v>3.29</v>
      </c>
      <c r="E47" s="4" t="n">
        <v>80</v>
      </c>
      <c r="F47" s="4" t="n">
        <v>0.08</v>
      </c>
      <c r="G47" s="4" t="n">
        <v>0.02</v>
      </c>
      <c r="H47" s="4" t="n">
        <v>266</v>
      </c>
      <c r="I47" s="4" t="n">
        <v>425</v>
      </c>
    </row>
    <row r="50" customFormat="false" ht="15" hidden="false" customHeight="false" outlineLevel="0" collapsed="false">
      <c r="A50" s="17" t="s">
        <v>7577</v>
      </c>
      <c r="B50" s="18"/>
      <c r="C50" s="18"/>
      <c r="D50" s="18"/>
      <c r="E50" s="18"/>
    </row>
    <row r="51" customFormat="false" ht="15" hidden="false" customHeight="false" outlineLevel="0" collapsed="false">
      <c r="A51" s="19" t="s">
        <v>7465</v>
      </c>
    </row>
    <row r="52" customFormat="false" ht="15" hidden="false" customHeight="false" outlineLevel="0" collapsed="false">
      <c r="A52" s="23" t="s">
        <v>1246</v>
      </c>
    </row>
    <row r="53" customFormat="false" ht="15" hidden="false" customHeight="false" outlineLevel="0" collapsed="false">
      <c r="A53" s="21" t="s">
        <v>7578</v>
      </c>
    </row>
    <row r="54" customFormat="false" ht="15" hidden="false" customHeight="false" outlineLevel="0" collapsed="false">
      <c r="A54" s="21" t="s">
        <v>7579</v>
      </c>
    </row>
    <row r="55" customFormat="false" ht="15" hidden="false" customHeight="false" outlineLevel="0" collapsed="false">
      <c r="A55" s="22" t="s">
        <v>1423</v>
      </c>
      <c r="B55" s="22" t="s">
        <v>7580</v>
      </c>
      <c r="C55" s="22" t="s">
        <v>7581</v>
      </c>
      <c r="D55" s="22" t="s">
        <v>7582</v>
      </c>
      <c r="E55" s="22" t="s">
        <v>7583</v>
      </c>
    </row>
    <row r="56" customFormat="false" ht="35.05" hidden="false" customHeight="false" outlineLevel="0" collapsed="false">
      <c r="A56" s="4" t="s">
        <v>3547</v>
      </c>
      <c r="B56" s="4" t="s">
        <v>7564</v>
      </c>
      <c r="C56" s="4" t="s">
        <v>7565</v>
      </c>
      <c r="D56" s="4" t="n">
        <v>20</v>
      </c>
      <c r="E56" s="4" t="s">
        <v>7584</v>
      </c>
    </row>
    <row r="57" customFormat="false" ht="23.85" hidden="false" customHeight="false" outlineLevel="0" collapsed="false">
      <c r="A57" s="4" t="s">
        <v>1427</v>
      </c>
      <c r="B57" s="4" t="s">
        <v>7565</v>
      </c>
      <c r="C57" s="4" t="s">
        <v>7565</v>
      </c>
      <c r="D57" s="4" t="s">
        <v>1555</v>
      </c>
      <c r="E57" s="4" t="s">
        <v>7585</v>
      </c>
    </row>
    <row r="58" customFormat="false" ht="23.85" hidden="false" customHeight="false" outlineLevel="0" collapsed="false">
      <c r="A58" s="4" t="s">
        <v>1431</v>
      </c>
      <c r="B58" s="4" t="s">
        <v>7564</v>
      </c>
      <c r="C58" s="4" t="s">
        <v>7564</v>
      </c>
      <c r="D58" s="4" t="s">
        <v>1555</v>
      </c>
      <c r="E58" s="4" t="s">
        <v>7586</v>
      </c>
    </row>
    <row r="59" customFormat="false" ht="23.85" hidden="false" customHeight="false" outlineLevel="0" collapsed="false">
      <c r="A59" s="4" t="s">
        <v>1435</v>
      </c>
      <c r="B59" s="4" t="s">
        <v>7564</v>
      </c>
      <c r="C59" s="4" t="s">
        <v>7564</v>
      </c>
      <c r="D59" s="4" t="s">
        <v>1555</v>
      </c>
      <c r="E59" s="4" t="s">
        <v>7587</v>
      </c>
    </row>
    <row r="60" customFormat="false" ht="23.85" hidden="false" customHeight="false" outlineLevel="0" collapsed="false">
      <c r="A60" s="4" t="s">
        <v>1439</v>
      </c>
      <c r="B60" s="4" t="s">
        <v>7564</v>
      </c>
      <c r="C60" s="4" t="s">
        <v>7565</v>
      </c>
      <c r="D60" s="4" t="s">
        <v>1555</v>
      </c>
      <c r="E60" s="4" t="s">
        <v>7588</v>
      </c>
    </row>
    <row r="61" customFormat="false" ht="23.85" hidden="false" customHeight="false" outlineLevel="0" collapsed="false">
      <c r="A61" s="4" t="s">
        <v>1447</v>
      </c>
      <c r="B61" s="4" t="s">
        <v>7564</v>
      </c>
      <c r="C61" s="4" t="s">
        <v>7564</v>
      </c>
      <c r="D61" s="4" t="s">
        <v>1555</v>
      </c>
      <c r="E61" s="4" t="s">
        <v>7589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32.61"/>
    <col collapsed="false" customWidth="true" hidden="false" outlineLevel="0" max="3" min="3" style="0" width="28.1"/>
  </cols>
  <sheetData>
    <row r="1" customFormat="false" ht="17.35" hidden="false" customHeight="false" outlineLevel="0" collapsed="false">
      <c r="A1" s="1" t="s">
        <v>1131</v>
      </c>
    </row>
    <row r="2" customFormat="false" ht="15" hidden="false" customHeight="false" outlineLevel="0" collapsed="false">
      <c r="A2" s="14" t="s">
        <v>7590</v>
      </c>
    </row>
    <row r="4" customFormat="false" ht="15" hidden="false" customHeight="false" outlineLevel="0" collapsed="false">
      <c r="A4" s="17" t="s">
        <v>7591</v>
      </c>
      <c r="B4" s="18"/>
      <c r="C4" s="18"/>
    </row>
    <row r="5" customFormat="false" ht="15" hidden="false" customHeight="false" outlineLevel="0" collapsed="false">
      <c r="A5" s="19" t="s">
        <v>7592</v>
      </c>
    </row>
    <row r="6" customFormat="false" ht="15" hidden="false" customHeight="false" outlineLevel="0" collapsed="false">
      <c r="A6" s="20" t="s">
        <v>1193</v>
      </c>
    </row>
    <row r="7" customFormat="false" ht="15" hidden="false" customHeight="false" outlineLevel="0" collapsed="false">
      <c r="A7" s="21" t="s">
        <v>7593</v>
      </c>
    </row>
    <row r="8" customFormat="false" ht="15" hidden="false" customHeight="false" outlineLevel="0" collapsed="false">
      <c r="A8" s="21" t="s">
        <v>7594</v>
      </c>
    </row>
    <row r="9" customFormat="false" ht="15" hidden="false" customHeight="false" outlineLevel="0" collapsed="false">
      <c r="A9" s="22" t="s">
        <v>1963</v>
      </c>
      <c r="B9" s="22" t="s">
        <v>1319</v>
      </c>
      <c r="C9" s="22" t="s">
        <v>8</v>
      </c>
    </row>
    <row r="10" customFormat="false" ht="15" hidden="false" customHeight="false" outlineLevel="0" collapsed="false">
      <c r="A10" s="4" t="s">
        <v>7595</v>
      </c>
      <c r="B10" s="4" t="s">
        <v>7596</v>
      </c>
      <c r="C10" s="4" t="s">
        <v>7597</v>
      </c>
    </row>
    <row r="11" customFormat="false" ht="15" hidden="false" customHeight="false" outlineLevel="0" collapsed="false">
      <c r="A11" s="4" t="s">
        <v>7598</v>
      </c>
      <c r="B11" s="4" t="s">
        <v>7599</v>
      </c>
      <c r="C11" s="4" t="s">
        <v>7600</v>
      </c>
    </row>
    <row r="12" customFormat="false" ht="15" hidden="false" customHeight="false" outlineLevel="0" collapsed="false">
      <c r="A12" s="4" t="s">
        <v>1324</v>
      </c>
      <c r="B12" s="4" t="s">
        <v>7601</v>
      </c>
      <c r="C12" s="4" t="s">
        <v>7602</v>
      </c>
    </row>
    <row r="13" customFormat="false" ht="15" hidden="false" customHeight="false" outlineLevel="0" collapsed="false">
      <c r="A13" s="4" t="s">
        <v>7603</v>
      </c>
      <c r="B13" s="4" t="s">
        <v>7604</v>
      </c>
      <c r="C13" s="4" t="s">
        <v>7605</v>
      </c>
    </row>
    <row r="14" customFormat="false" ht="15" hidden="false" customHeight="false" outlineLevel="0" collapsed="false">
      <c r="A14" s="4" t="s">
        <v>7606</v>
      </c>
      <c r="B14" s="4" t="s">
        <v>7607</v>
      </c>
      <c r="C14" s="4" t="s">
        <v>7608</v>
      </c>
    </row>
    <row r="15" customFormat="false" ht="15" hidden="false" customHeight="false" outlineLevel="0" collapsed="false">
      <c r="A15" s="4" t="s">
        <v>7609</v>
      </c>
      <c r="B15" s="4" t="s">
        <v>7610</v>
      </c>
      <c r="C15" s="4" t="s">
        <v>7608</v>
      </c>
    </row>
    <row r="16" customFormat="false" ht="15" hidden="false" customHeight="false" outlineLevel="0" collapsed="false">
      <c r="A16" s="4" t="s">
        <v>6375</v>
      </c>
      <c r="B16" s="4" t="n">
        <v>1.54</v>
      </c>
      <c r="C16" s="4" t="s">
        <v>7611</v>
      </c>
    </row>
    <row r="17" customFormat="false" ht="15" hidden="false" customHeight="false" outlineLevel="0" collapsed="false">
      <c r="A17" s="4" t="s">
        <v>5899</v>
      </c>
      <c r="B17" s="4" t="n">
        <v>1.09</v>
      </c>
      <c r="C17" s="4" t="s">
        <v>7612</v>
      </c>
    </row>
    <row r="18" customFormat="false" ht="15" hidden="false" customHeight="false" outlineLevel="0" collapsed="false">
      <c r="A18" s="4" t="s">
        <v>7613</v>
      </c>
      <c r="B18" s="4" t="s">
        <v>7614</v>
      </c>
      <c r="C18" s="4" t="s">
        <v>7615</v>
      </c>
    </row>
    <row r="19" customFormat="false" ht="15" hidden="false" customHeight="false" outlineLevel="0" collapsed="false">
      <c r="A19" s="4" t="s">
        <v>7616</v>
      </c>
      <c r="B19" s="4" t="s">
        <v>7617</v>
      </c>
      <c r="C19" s="4" t="s">
        <v>7618</v>
      </c>
    </row>
    <row r="20" customFormat="false" ht="15" hidden="false" customHeight="false" outlineLevel="0" collapsed="false">
      <c r="A20" s="4" t="s">
        <v>7619</v>
      </c>
      <c r="B20" s="4" t="s">
        <v>4336</v>
      </c>
      <c r="C20" s="4" t="s">
        <v>7620</v>
      </c>
    </row>
    <row r="21" customFormat="false" ht="15" hidden="false" customHeight="false" outlineLevel="0" collapsed="false">
      <c r="A21" s="4" t="s">
        <v>7621</v>
      </c>
      <c r="B21" s="4" t="s">
        <v>7622</v>
      </c>
      <c r="C21" s="4" t="s">
        <v>7623</v>
      </c>
    </row>
    <row r="22" customFormat="false" ht="15" hidden="false" customHeight="false" outlineLevel="0" collapsed="false">
      <c r="A22" s="4" t="s">
        <v>7624</v>
      </c>
      <c r="B22" s="4" t="s">
        <v>7625</v>
      </c>
      <c r="C22" s="4" t="s">
        <v>7626</v>
      </c>
    </row>
    <row r="23" customFormat="false" ht="15" hidden="false" customHeight="false" outlineLevel="0" collapsed="false">
      <c r="A23" s="4" t="s">
        <v>7627</v>
      </c>
      <c r="B23" s="4" t="s">
        <v>7628</v>
      </c>
      <c r="C23" s="4" t="s">
        <v>7629</v>
      </c>
    </row>
    <row r="24" customFormat="false" ht="15" hidden="false" customHeight="false" outlineLevel="0" collapsed="false">
      <c r="A24" s="4" t="s">
        <v>7630</v>
      </c>
      <c r="B24" s="4" t="s">
        <v>7631</v>
      </c>
      <c r="C24" s="4" t="s">
        <v>7632</v>
      </c>
    </row>
    <row r="25" customFormat="false" ht="15" hidden="false" customHeight="false" outlineLevel="0" collapsed="false">
      <c r="A25" s="4" t="s">
        <v>7633</v>
      </c>
      <c r="B25" s="4" t="s">
        <v>7634</v>
      </c>
      <c r="C25" s="4" t="s">
        <v>7623</v>
      </c>
    </row>
    <row r="26" customFormat="false" ht="15" hidden="false" customHeight="false" outlineLevel="0" collapsed="false">
      <c r="A26" s="4" t="s">
        <v>7635</v>
      </c>
      <c r="B26" s="4" t="s">
        <v>7636</v>
      </c>
      <c r="C26" s="4" t="s">
        <v>7637</v>
      </c>
    </row>
    <row r="27" customFormat="false" ht="15" hidden="false" customHeight="false" outlineLevel="0" collapsed="false">
      <c r="A27" s="4" t="s">
        <v>7638</v>
      </c>
      <c r="B27" s="4" t="s">
        <v>7639</v>
      </c>
      <c r="C27" s="4" t="s">
        <v>1023</v>
      </c>
    </row>
    <row r="28" customFormat="false" ht="15" hidden="false" customHeight="false" outlineLevel="0" collapsed="false">
      <c r="A28" s="4" t="s">
        <v>7640</v>
      </c>
      <c r="B28" s="4" t="s">
        <v>7641</v>
      </c>
      <c r="C28" s="4" t="s">
        <v>7642</v>
      </c>
    </row>
    <row r="29" customFormat="false" ht="15" hidden="false" customHeight="false" outlineLevel="0" collapsed="false">
      <c r="A29" s="4" t="s">
        <v>7643</v>
      </c>
      <c r="B29" s="4" t="s">
        <v>7644</v>
      </c>
      <c r="C29" s="4" t="s">
        <v>7645</v>
      </c>
    </row>
    <row r="30" customFormat="false" ht="15" hidden="false" customHeight="false" outlineLevel="0" collapsed="false">
      <c r="A30" s="4" t="s">
        <v>7646</v>
      </c>
      <c r="B30" s="4" t="s">
        <v>7647</v>
      </c>
      <c r="C30" s="4" t="s">
        <v>7648</v>
      </c>
    </row>
    <row r="31" customFormat="false" ht="15" hidden="false" customHeight="false" outlineLevel="0" collapsed="false">
      <c r="A31" s="4" t="s">
        <v>7649</v>
      </c>
      <c r="B31" s="4" t="s">
        <v>7650</v>
      </c>
      <c r="C31" s="4" t="s">
        <v>7651</v>
      </c>
    </row>
    <row r="32" customFormat="false" ht="15" hidden="false" customHeight="false" outlineLevel="0" collapsed="false">
      <c r="A32" s="4" t="s">
        <v>7652</v>
      </c>
      <c r="B32" s="4" t="s">
        <v>7653</v>
      </c>
      <c r="C32" s="4" t="s">
        <v>7651</v>
      </c>
    </row>
    <row r="33" customFormat="false" ht="15" hidden="false" customHeight="false" outlineLevel="0" collapsed="false">
      <c r="A33" s="4" t="s">
        <v>7654</v>
      </c>
      <c r="B33" s="4" t="s">
        <v>7655</v>
      </c>
      <c r="C33" s="4" t="s">
        <v>7656</v>
      </c>
    </row>
    <row r="34" customFormat="false" ht="15" hidden="false" customHeight="false" outlineLevel="0" collapsed="false">
      <c r="A34" s="4" t="s">
        <v>7657</v>
      </c>
      <c r="B34" s="4" t="s">
        <v>7658</v>
      </c>
      <c r="C34" s="4" t="s">
        <v>7618</v>
      </c>
    </row>
    <row r="35" customFormat="false" ht="15" hidden="false" customHeight="false" outlineLevel="0" collapsed="false">
      <c r="A35" s="4" t="s">
        <v>7659</v>
      </c>
      <c r="B35" s="4" t="s">
        <v>7660</v>
      </c>
      <c r="C35" s="4" t="s">
        <v>7661</v>
      </c>
    </row>
    <row r="36" customFormat="false" ht="15" hidden="false" customHeight="false" outlineLevel="0" collapsed="false">
      <c r="A36" s="4" t="s">
        <v>7662</v>
      </c>
      <c r="B36" s="4" t="s">
        <v>7663</v>
      </c>
      <c r="C36" s="4" t="s">
        <v>7548</v>
      </c>
    </row>
    <row r="37" customFormat="false" ht="15" hidden="false" customHeight="false" outlineLevel="0" collapsed="false">
      <c r="A37" s="4" t="s">
        <v>7664</v>
      </c>
      <c r="B37" s="4" t="s">
        <v>7665</v>
      </c>
      <c r="C37" s="4" t="s">
        <v>7608</v>
      </c>
    </row>
    <row r="38" customFormat="false" ht="15" hidden="false" customHeight="false" outlineLevel="0" collapsed="false">
      <c r="A38" s="4" t="s">
        <v>7666</v>
      </c>
      <c r="B38" s="4" t="s">
        <v>7667</v>
      </c>
      <c r="C38" s="4" t="s">
        <v>7548</v>
      </c>
    </row>
    <row r="39" customFormat="false" ht="15" hidden="false" customHeight="false" outlineLevel="0" collapsed="false">
      <c r="A39" s="4" t="s">
        <v>7668</v>
      </c>
      <c r="B39" s="4" t="s">
        <v>7669</v>
      </c>
      <c r="C39" s="4" t="s">
        <v>7670</v>
      </c>
    </row>
    <row r="40" customFormat="false" ht="15" hidden="false" customHeight="false" outlineLevel="0" collapsed="false">
      <c r="A40" s="4" t="s">
        <v>7671</v>
      </c>
      <c r="B40" s="4" t="s">
        <v>7672</v>
      </c>
      <c r="C40" s="4" t="s">
        <v>7673</v>
      </c>
    </row>
    <row r="41" customFormat="false" ht="15" hidden="false" customHeight="false" outlineLevel="0" collapsed="false">
      <c r="A41" s="4" t="s">
        <v>7674</v>
      </c>
      <c r="B41" s="4" t="s">
        <v>7675</v>
      </c>
      <c r="C41" s="4" t="s">
        <v>7676</v>
      </c>
    </row>
    <row r="42" customFormat="false" ht="15" hidden="false" customHeight="false" outlineLevel="0" collapsed="false">
      <c r="A42" s="4" t="s">
        <v>7677</v>
      </c>
      <c r="B42" s="4" t="s">
        <v>7678</v>
      </c>
      <c r="C42" s="4" t="s">
        <v>7679</v>
      </c>
    </row>
    <row r="43" customFormat="false" ht="15" hidden="false" customHeight="false" outlineLevel="0" collapsed="false">
      <c r="A43" s="4" t="s">
        <v>7680</v>
      </c>
      <c r="B43" s="4" t="s">
        <v>7681</v>
      </c>
      <c r="C43" s="4" t="s">
        <v>7679</v>
      </c>
    </row>
    <row r="44" customFormat="false" ht="15" hidden="false" customHeight="false" outlineLevel="0" collapsed="false">
      <c r="A44" s="4" t="s">
        <v>7682</v>
      </c>
      <c r="B44" s="4" t="s">
        <v>7683</v>
      </c>
      <c r="C44" s="4" t="s">
        <v>7684</v>
      </c>
    </row>
    <row r="45" customFormat="false" ht="15" hidden="false" customHeight="false" outlineLevel="0" collapsed="false">
      <c r="A45" s="4" t="s">
        <v>7685</v>
      </c>
      <c r="B45" s="4" t="s">
        <v>7686</v>
      </c>
      <c r="C45" s="4" t="s">
        <v>7687</v>
      </c>
    </row>
    <row r="46" customFormat="false" ht="15" hidden="false" customHeight="false" outlineLevel="0" collapsed="false">
      <c r="A46" s="4" t="s">
        <v>7688</v>
      </c>
      <c r="B46" s="4" t="s">
        <v>6895</v>
      </c>
      <c r="C46" s="4" t="s">
        <v>7689</v>
      </c>
    </row>
    <row r="47" customFormat="false" ht="15" hidden="false" customHeight="false" outlineLevel="0" collapsed="false">
      <c r="A47" s="4" t="s">
        <v>7690</v>
      </c>
      <c r="B47" s="4" t="s">
        <v>7691</v>
      </c>
      <c r="C47" s="4" t="s">
        <v>7692</v>
      </c>
    </row>
    <row r="48" customFormat="false" ht="15" hidden="false" customHeight="false" outlineLevel="0" collapsed="false">
      <c r="A48" s="4" t="s">
        <v>7693</v>
      </c>
      <c r="B48" s="4" t="s">
        <v>7694</v>
      </c>
      <c r="C48" s="4" t="s">
        <v>7695</v>
      </c>
    </row>
    <row r="49" customFormat="false" ht="15" hidden="false" customHeight="false" outlineLevel="0" collapsed="false">
      <c r="A49" s="4" t="s">
        <v>7696</v>
      </c>
      <c r="B49" s="4" t="s">
        <v>7697</v>
      </c>
      <c r="C49" s="4" t="s">
        <v>7698</v>
      </c>
    </row>
    <row r="50" customFormat="false" ht="15" hidden="false" customHeight="false" outlineLevel="0" collapsed="false">
      <c r="A50" s="4" t="s">
        <v>7699</v>
      </c>
      <c r="B50" s="4" t="s">
        <v>7700</v>
      </c>
      <c r="C50" s="4" t="s">
        <v>7701</v>
      </c>
    </row>
    <row r="51" customFormat="false" ht="15" hidden="false" customHeight="false" outlineLevel="0" collapsed="false">
      <c r="A51" s="4" t="s">
        <v>7702</v>
      </c>
      <c r="B51" s="4" t="s">
        <v>7703</v>
      </c>
      <c r="C51" s="4" t="s">
        <v>7704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2026-10-08T07:04:17Z</dcterms:created>
  <dc:creator>openpyxl</dc:creator>
  <dc:description/>
  <dc:language>en-US</dc:language>
  <cp:lastModifiedBy/>
  <dcterms:modified xsi:type="dcterms:W3CDTF">2026-10-08T07:04:18Z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