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ettings" sheetId="2" state="visible" r:id="rId4"/>
    <sheet name="Model" sheetId="3" state="visible" r:id="rId5"/>
    <sheet name="Walkthrough" sheetId="4" state="visible" r:id="rId6"/>
    <sheet name="MonteCarl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<sst xmlns="http://schemas.openxmlformats.org/spreadsheetml/2006/main" count="472" uniqueCount="252">
  <si>
    <t xml:space="preserve">India data-centre site ranking: worked example (Mysuru) with live formulas</t>
  </si>
  <si>
    <t xml:space="preserve">What this is: the exact model behind Chapter 10 of the India Data Centre Atlas, laid out in cells so every number can be traced.</t>
  </si>
  <si>
    <t xml:space="preserve">Sheets</t>
  </si>
  <si>
    <t xml:space="preserve">  Settings: hub coordinates, hard-filter limits, weights (blue = inputs you can change).</t>
  </si>
  <si>
    <t xml:space="preserve">  Model: all 50 candidate cities. Columns run left to right through Steps A, latency, B, C and tiering.</t>
  </si>
  <si>
    <t xml:space="preserve">  Walkthrough: pick any city in cell B2 (default Mysuru) and read its calculation line by line.</t>
  </si>
  <si>
    <t xml:space="preserve">  MonteCarlo: Step E results from the 1,000-run seeded simulation (values, not formulas; see note on that sheet).</t>
  </si>
  <si>
    <t xml:space="preserve">Colour code: blue text = input; black = formula; yellow = the site's headline results.</t>
  </si>
  <si>
    <t xml:space="preserve">Evidence: factor scores, substation distances and seismic zones are Report 10 rubric values and estimates; latency is computed from coordinates.</t>
  </si>
  <si>
    <t xml:space="preserve">Excel 2019 or later (or LibreOffice) is needed for MINIFS / MAXIFS.</t>
  </si>
  <si>
    <t xml:space="preserve">Settings and weights</t>
  </si>
  <si>
    <t xml:space="preserve">Hub</t>
  </si>
  <si>
    <t xml:space="preserve">Lat</t>
  </si>
  <si>
    <t xml:space="preserve">Lon</t>
  </si>
  <si>
    <t xml:space="preserve">Mumbai</t>
  </si>
  <si>
    <t xml:space="preserve">Delhi</t>
  </si>
  <si>
    <t xml:space="preserve">Chennai</t>
  </si>
  <si>
    <t xml:space="preserve">Bengaluru</t>
  </si>
  <si>
    <t xml:space="preserve">Earth radius R (km)</t>
  </si>
  <si>
    <t xml:space="preserve">Latency factor (ms per km)</t>
  </si>
  <si>
    <t xml:space="preserve">Hard filters (Step A)</t>
  </si>
  <si>
    <t xml:space="preserve">Max distance to 220 kV+ substation (km)</t>
  </si>
  <si>
    <t xml:space="preserve">Exclude seismic zone V (1 = yes)</t>
  </si>
  <si>
    <t xml:space="preserve">Allow over-exploited groundwater with treated-water contract (1 = yes)</t>
  </si>
  <si>
    <t xml:space="preserve">Exclude very-high cyclone / flood sites (1 = yes)</t>
  </si>
  <si>
    <t xml:space="preserve">Weights (Step C)</t>
  </si>
  <si>
    <t xml:space="preserve">Power</t>
  </si>
  <si>
    <t xml:space="preserve">Connectivity</t>
  </si>
  <si>
    <t xml:space="preserve">Latency</t>
  </si>
  <si>
    <t xml:space="preserve">Water</t>
  </si>
  <si>
    <t xml:space="preserve">Climate</t>
  </si>
  <si>
    <t xml:space="preserve">Hazards</t>
  </si>
  <si>
    <t xml:space="preserve">Land</t>
  </si>
  <si>
    <t xml:space="preserve">Policy</t>
  </si>
  <si>
    <t xml:space="preserve">Demand &amp; talent</t>
  </si>
  <si>
    <t xml:space="preserve">Sum</t>
  </si>
  <si>
    <t xml:space="preserve">Raw weight</t>
  </si>
  <si>
    <t xml:space="preserve">Normalised weight (÷ sum)</t>
  </si>
  <si>
    <t xml:space="preserve">Presets to paste into row 20 (order as above)</t>
  </si>
  <si>
    <t xml:space="preserve">Balanced</t>
  </si>
  <si>
    <t xml:space="preserve">AI training campus</t>
  </si>
  <si>
    <t xml:space="preserve">Interconnection colo</t>
  </si>
  <si>
    <t xml:space="preserve">Sustainability-first</t>
  </si>
  <si>
    <t xml:space="preserve">Tier cut-offs</t>
  </si>
  <si>
    <t xml:space="preserve">Share of passing cities in Tier A</t>
  </si>
  <si>
    <t xml:space="preserve">Cumulative share in Tiers A+B</t>
  </si>
  <si>
    <t xml:space="preserve">Model: Steps A to C for every candidate city</t>
  </si>
  <si>
    <t xml:space="preserve">Row 3 and 4 hold the min and max of each raw factor over the cities that pass the filters (Step B).</t>
  </si>
  <si>
    <t xml:space="preserve">Min</t>
  </si>
  <si>
    <t xml:space="preserve">Max</t>
  </si>
  <si>
    <t xml:space="preserve">id</t>
  </si>
  <si>
    <t xml:space="preserve">City</t>
  </si>
  <si>
    <t xml:space="preserve">State</t>
  </si>
  <si>
    <t xml:space="preserve">Seismic zone</t>
  </si>
  <si>
    <t xml:space="preserve">Nearest 220kV+ (km)</t>
  </si>
  <si>
    <t xml:space="preserve">Water cond. (1=yes)</t>
  </si>
  <si>
    <t xml:space="preserve">Flood/cyclone flag (1=yes)</t>
  </si>
  <si>
    <t xml:space="preserve">km to Mumbai</t>
  </si>
  <si>
    <t xml:space="preserve">km to Delhi</t>
  </si>
  <si>
    <t xml:space="preserve">km to Chennai</t>
  </si>
  <si>
    <t xml:space="preserve">km to Bengaluru</t>
  </si>
  <si>
    <t xml:space="preserve">ms to Mumbai</t>
  </si>
  <si>
    <t xml:space="preserve">ms to Delhi</t>
  </si>
  <si>
    <t xml:space="preserve">ms to Chennai</t>
  </si>
  <si>
    <t xml:space="preserve">ms to Bengaluru</t>
  </si>
  <si>
    <t xml:space="preserve">Mean RTT (ms)</t>
  </si>
  <si>
    <t xml:space="preserve">Passes filters (1/0)</t>
  </si>
  <si>
    <t xml:space="preserve">Latency (ms)</t>
  </si>
  <si>
    <t xml:space="preserve">s·Power</t>
  </si>
  <si>
    <t xml:space="preserve">s·Connectivity</t>
  </si>
  <si>
    <t xml:space="preserve">s·Latency</t>
  </si>
  <si>
    <t xml:space="preserve">s·Water</t>
  </si>
  <si>
    <t xml:space="preserve">s·Climate</t>
  </si>
  <si>
    <t xml:space="preserve">s·Hazards</t>
  </si>
  <si>
    <t xml:space="preserve">s·Land</t>
  </si>
  <si>
    <t xml:space="preserve">s·Policy</t>
  </si>
  <si>
    <t xml:space="preserve">s·Demand &amp; talent</t>
  </si>
  <si>
    <t xml:space="preserve">Score: weighted sum</t>
  </si>
  <si>
    <t xml:space="preserve">Score: geometric</t>
  </si>
  <si>
    <t xml:space="preserve">Rank (of passers)</t>
  </si>
  <si>
    <t xml:space="preserve">Tier</t>
  </si>
  <si>
    <t xml:space="preserve">nmb</t>
  </si>
  <si>
    <t xml:space="preserve">Navi Mumbai</t>
  </si>
  <si>
    <t xml:space="preserve">Maharashtra</t>
  </si>
  <si>
    <t xml:space="preserve">pun</t>
  </si>
  <si>
    <t xml:space="preserve">Pune</t>
  </si>
  <si>
    <t xml:space="preserve">ngp</t>
  </si>
  <si>
    <t xml:space="preserve">Nagpur</t>
  </si>
  <si>
    <t xml:space="preserve">nsk</t>
  </si>
  <si>
    <t xml:space="preserve">Nashik</t>
  </si>
  <si>
    <t xml:space="preserve">hos</t>
  </si>
  <si>
    <t xml:space="preserve">Hosur</t>
  </si>
  <si>
    <t xml:space="preserve">Tamil Nadu</t>
  </si>
  <si>
    <t xml:space="preserve">che</t>
  </si>
  <si>
    <t xml:space="preserve">cbe</t>
  </si>
  <si>
    <t xml:space="preserve">Coimbatore</t>
  </si>
  <si>
    <t xml:space="preserve">tut</t>
  </si>
  <si>
    <t xml:space="preserve">Thoothukudi</t>
  </si>
  <si>
    <t xml:space="preserve">mys</t>
  </si>
  <si>
    <t xml:space="preserve">Mysuru</t>
  </si>
  <si>
    <t xml:space="preserve">Karnataka</t>
  </si>
  <si>
    <t xml:space="preserve">hsk</t>
  </si>
  <si>
    <t xml:space="preserve">Hoskote</t>
  </si>
  <si>
    <t xml:space="preserve">blr</t>
  </si>
  <si>
    <t xml:space="preserve">Bengaluru core</t>
  </si>
  <si>
    <t xml:space="preserve">mlr</t>
  </si>
  <si>
    <t xml:space="preserve">Mangaluru</t>
  </si>
  <si>
    <t xml:space="preserve">hyp</t>
  </si>
  <si>
    <t xml:space="preserve">Hyderabad periphery</t>
  </si>
  <si>
    <t xml:space="preserve">Telangana</t>
  </si>
  <si>
    <t xml:space="preserve">hyc</t>
  </si>
  <si>
    <t xml:space="preserve">Hyderabad core</t>
  </si>
  <si>
    <t xml:space="preserve">wgl</t>
  </si>
  <si>
    <t xml:space="preserve">Warangal</t>
  </si>
  <si>
    <t xml:space="preserve">viz</t>
  </si>
  <si>
    <t xml:space="preserve">Visakhapatnam</t>
  </si>
  <si>
    <t xml:space="preserve">Andhra Pradesh</t>
  </si>
  <si>
    <t xml:space="preserve">sri</t>
  </si>
  <si>
    <t xml:space="preserve">Sri City</t>
  </si>
  <si>
    <t xml:space="preserve">atp</t>
  </si>
  <si>
    <t xml:space="preserve">Anantapur</t>
  </si>
  <si>
    <t xml:space="preserve">amr</t>
  </si>
  <si>
    <t xml:space="preserve">Amaravati</t>
  </si>
  <si>
    <t xml:space="preserve">gno</t>
  </si>
  <si>
    <t xml:space="preserve">Greater Noida</t>
  </si>
  <si>
    <t xml:space="preserve">Uttar Pradesh</t>
  </si>
  <si>
    <t xml:space="preserve">noi</t>
  </si>
  <si>
    <t xml:space="preserve">Noida</t>
  </si>
  <si>
    <t xml:space="preserve">jew</t>
  </si>
  <si>
    <t xml:space="preserve">YEIDA / Jewar</t>
  </si>
  <si>
    <t xml:space="preserve">lko</t>
  </si>
  <si>
    <t xml:space="preserve">Lucknow</t>
  </si>
  <si>
    <t xml:space="preserve">knp</t>
  </si>
  <si>
    <t xml:space="preserve">Kanpur</t>
  </si>
  <si>
    <t xml:space="preserve">ggn</t>
  </si>
  <si>
    <t xml:space="preserve">Gurugram</t>
  </si>
  <si>
    <t xml:space="preserve">Haryana</t>
  </si>
  <si>
    <t xml:space="preserve">snp</t>
  </si>
  <si>
    <t xml:space="preserve">Sonipat</t>
  </si>
  <si>
    <t xml:space="preserve">del</t>
  </si>
  <si>
    <t xml:space="preserve">gft</t>
  </si>
  <si>
    <t xml:space="preserve">GIFT City</t>
  </si>
  <si>
    <t xml:space="preserve">Gujarat</t>
  </si>
  <si>
    <t xml:space="preserve">ahd</t>
  </si>
  <si>
    <t xml:space="preserve">Ahmedabad</t>
  </si>
  <si>
    <t xml:space="preserve">jam</t>
  </si>
  <si>
    <t xml:space="preserve">Jamnagar</t>
  </si>
  <si>
    <t xml:space="preserve">dho</t>
  </si>
  <si>
    <t xml:space="preserve">Dholera</t>
  </si>
  <si>
    <t xml:space="preserve">kgp</t>
  </si>
  <si>
    <t xml:space="preserve">Kharagpur</t>
  </si>
  <si>
    <t xml:space="preserve">West Bengal</t>
  </si>
  <si>
    <t xml:space="preserve">kol</t>
  </si>
  <si>
    <t xml:space="preserve">Kolkata</t>
  </si>
  <si>
    <t xml:space="preserve">dig</t>
  </si>
  <si>
    <t xml:space="preserve">Digha</t>
  </si>
  <si>
    <t xml:space="preserve">koc</t>
  </si>
  <si>
    <t xml:space="preserve">Kochi</t>
  </si>
  <si>
    <t xml:space="preserve">Kerala</t>
  </si>
  <si>
    <t xml:space="preserve">tvm</t>
  </si>
  <si>
    <t xml:space="preserve">Thiruvananthapuram</t>
  </si>
  <si>
    <t xml:space="preserve">jsg</t>
  </si>
  <si>
    <t xml:space="preserve">Jharsuguda</t>
  </si>
  <si>
    <t xml:space="preserve">Odisha</t>
  </si>
  <si>
    <t xml:space="preserve">bbs</t>
  </si>
  <si>
    <t xml:space="preserve">Bhubaneswar</t>
  </si>
  <si>
    <t xml:space="preserve">jai</t>
  </si>
  <si>
    <t xml:space="preserve">Jaipur</t>
  </si>
  <si>
    <t xml:space="preserve">Rajasthan</t>
  </si>
  <si>
    <t xml:space="preserve">jod</t>
  </si>
  <si>
    <t xml:space="preserve">Jodhpur</t>
  </si>
  <si>
    <t xml:space="preserve">bho</t>
  </si>
  <si>
    <t xml:space="preserve">Bhopal</t>
  </si>
  <si>
    <t xml:space="preserve">Madhya Pradesh</t>
  </si>
  <si>
    <t xml:space="preserve">ind</t>
  </si>
  <si>
    <t xml:space="preserve">Indore</t>
  </si>
  <si>
    <t xml:space="preserve">nvr</t>
  </si>
  <si>
    <t xml:space="preserve">Nava Raipur</t>
  </si>
  <si>
    <t xml:space="preserve">Chhattisgarh</t>
  </si>
  <si>
    <t xml:space="preserve">rnc</t>
  </si>
  <si>
    <t xml:space="preserve">Ranchi</t>
  </si>
  <si>
    <t xml:space="preserve">Jharkhand</t>
  </si>
  <si>
    <t xml:space="preserve">goa</t>
  </si>
  <si>
    <t xml:space="preserve">Goa (Verna)</t>
  </si>
  <si>
    <t xml:space="preserve">Goa</t>
  </si>
  <si>
    <t xml:space="preserve">ddn</t>
  </si>
  <si>
    <t xml:space="preserve">Dehradun</t>
  </si>
  <si>
    <t xml:space="preserve">Uttarakhand</t>
  </si>
  <si>
    <t xml:space="preserve">bdi</t>
  </si>
  <si>
    <t xml:space="preserve">Baddi</t>
  </si>
  <si>
    <t xml:space="preserve">Himachal Pradesh</t>
  </si>
  <si>
    <t xml:space="preserve">moh</t>
  </si>
  <si>
    <t xml:space="preserve">Mohali</t>
  </si>
  <si>
    <t xml:space="preserve">Punjab</t>
  </si>
  <si>
    <t xml:space="preserve">pat</t>
  </si>
  <si>
    <t xml:space="preserve">Patna</t>
  </si>
  <si>
    <t xml:space="preserve">Bihar</t>
  </si>
  <si>
    <t xml:space="preserve">guw</t>
  </si>
  <si>
    <t xml:space="preserve">Guwahati</t>
  </si>
  <si>
    <t xml:space="preserve">Assam</t>
  </si>
  <si>
    <t xml:space="preserve">Worked example: how one site is ranked</t>
  </si>
  <si>
    <t xml:space="preserve">Choose a city (blue cell)</t>
  </si>
  <si>
    <t xml:space="preserve">Row in Model</t>
  </si>
  <si>
    <t xml:space="preserve">STEP A: hard filters (all must pass)</t>
  </si>
  <si>
    <t xml:space="preserve">Test</t>
  </si>
  <si>
    <t xml:space="preserve">Site value</t>
  </si>
  <si>
    <t xml:space="preserve">Limit</t>
  </si>
  <si>
    <t xml:space="preserve">Pass?</t>
  </si>
  <si>
    <t xml:space="preserve">Seismic zone below V</t>
  </si>
  <si>
    <t xml:space="preserve">&lt;5</t>
  </si>
  <si>
    <t xml:space="preserve">Distance to nearest 220 kV+ substation (km)</t>
  </si>
  <si>
    <t xml:space="preserve">Groundwater: over-exploited without treated water? (1 = yes)</t>
  </si>
  <si>
    <t xml:space="preserve">Very-high cyclone / flood site? (1 = yes)</t>
  </si>
  <si>
    <t xml:space="preserve">Overall: passes all filters?</t>
  </si>
  <si>
    <t xml:space="preserve">1 = yes</t>
  </si>
  <si>
    <t xml:space="preserve">LATENCY: great-circle distance (haversine) to four hubs</t>
  </si>
  <si>
    <t xml:space="preserve">a = sin²(Δφ/2) + cos φ1 · cos φ2 · sin²(Δλ/2);  d = 2R · asin(√a);  ms = 0.014 × d</t>
  </si>
  <si>
    <t xml:space="preserve">Hub lat</t>
  </si>
  <si>
    <t xml:space="preserve">Hub lon</t>
  </si>
  <si>
    <t xml:space="preserve">Δφ (deg)</t>
  </si>
  <si>
    <t xml:space="preserve">Δλ (deg)</t>
  </si>
  <si>
    <t xml:space="preserve">a</t>
  </si>
  <si>
    <t xml:space="preserve">d (km)</t>
  </si>
  <si>
    <t xml:space="preserve">RTT (ms)</t>
  </si>
  <si>
    <t xml:space="preserve">Mean RTT (ms): the Latency raw value</t>
  </si>
  <si>
    <t xml:space="preserve">STEP B: min–max normalisation to 0–10 (over cities that pass the filters)</t>
  </si>
  <si>
    <t xml:space="preserve">s = 10 × (x − min) ÷ (max − min);  Latency flipped: s = 10 × (max − x) ÷ (max − min)</t>
  </si>
  <si>
    <t xml:space="preserve">Factor</t>
  </si>
  <si>
    <t xml:space="preserve">Raw x</t>
  </si>
  <si>
    <t xml:space="preserve">Score s</t>
  </si>
  <si>
    <t xml:space="preserve">STEP C: weights and the two ways of combining</t>
  </si>
  <si>
    <t xml:space="preserve">Weight w (÷ sum)</t>
  </si>
  <si>
    <t xml:space="preserve">Contribution w·s</t>
  </si>
  <si>
    <t xml:space="preserve">LN(max(s,0.5))</t>
  </si>
  <si>
    <t xml:space="preserve">w·LN(…)</t>
  </si>
  <si>
    <t xml:space="preserve">Totals</t>
  </si>
  <si>
    <t xml:space="preserve">Weighted-sum score = Σ w·s</t>
  </si>
  <si>
    <t xml:space="preserve">Geometric score = exp(Σ w·ln max(s, 0.5))</t>
  </si>
  <si>
    <t xml:space="preserve">Check against Model sheet</t>
  </si>
  <si>
    <t xml:space="preserve">RANK AND TIER</t>
  </si>
  <si>
    <t xml:space="preserve">Cities passing the filters</t>
  </si>
  <si>
    <t xml:space="preserve">Tier A cut: first ⌈30% × n⌉ ranks</t>
  </si>
  <si>
    <t xml:space="preserve">Tier B cut: first ⌈70% × n⌉ ranks</t>
  </si>
  <si>
    <t xml:space="preserve">Cities with a higher score than this site</t>
  </si>
  <si>
    <t xml:space="preserve">Rank = that count + 1</t>
  </si>
  <si>
    <t xml:space="preserve">STEP E: Monte Carlo stability (from the MonteCarlo sheet)</t>
  </si>
  <si>
    <t xml:space="preserve">Share of 1,000 runs in its state top 3 (%)</t>
  </si>
  <si>
    <t xml:space="preserve">Share of 1,000 runs in India top 10 (%)</t>
  </si>
  <si>
    <t xml:space="preserve">Step E: Monte Carlo stability (1,000 runs, balanced weights, weighted sum)</t>
  </si>
  <si>
    <t xml:space="preserve">Values copied from the atlas run with seed 20261007 (mulberry32 generator). Excel cannot reproduce that generator; the method is shown in the Walkthrough document. Cities excluded by the filters have no result.</t>
  </si>
  <si>
    <t xml:space="preserve">State top-3 (%)</t>
  </si>
  <si>
    <t xml:space="preserve">India top-10 (%)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</si>
</sst>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"/>
    <numFmt numFmtId="167" formatCode="0.00"/>
    <numFmt numFmtId="168" formatCode="0.0"/>
    <numFmt numFmtId="169" formatCode="0.000"/>
    <numFmt numFmtId="170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4CC"/>
        <bgColor rgb="FFFFFFFF"/>
      </patternFill>
    </fill>
    <fill>
      <patternFill patternType="solid">
        <fgColor rgb="FFE8EE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3"/>
  </cols>
  <sheetData>
    <row r="1" customFormat="false" ht="16.15" hidden="false" customHeight="false" outlineLevel="0" collapsed="false">
      <c r="A1" s="3" t="s">
        <v>10</v>
      </c>
    </row>
    <row r="3" customFormat="false" ht="15" hidden="false" customHeight="false" outlineLevel="0" collapsed="false">
      <c r="A3" s="4" t="s">
        <v>11</v>
      </c>
      <c r="B3" s="4" t="s">
        <v>12</v>
      </c>
      <c r="C3" s="4" t="s">
        <v>13</v>
      </c>
    </row>
    <row r="4" customFormat="false" ht="15" hidden="false" customHeight="false" outlineLevel="0" collapsed="false">
      <c r="A4" s="0" t="s">
        <v>14</v>
      </c>
      <c r="B4" s="5" t="n">
        <v>19.076</v>
      </c>
      <c r="C4" s="5" t="n">
        <v>72.878</v>
      </c>
    </row>
    <row r="5" customFormat="false" ht="15" hidden="false" customHeight="false" outlineLevel="0" collapsed="false">
      <c r="A5" s="0" t="s">
        <v>15</v>
      </c>
      <c r="B5" s="5" t="n">
        <v>28.614</v>
      </c>
      <c r="C5" s="5" t="n">
        <v>77.209</v>
      </c>
    </row>
    <row r="6" customFormat="false" ht="15" hidden="false" customHeight="false" outlineLevel="0" collapsed="false">
      <c r="A6" s="0" t="s">
        <v>16</v>
      </c>
      <c r="B6" s="5" t="n">
        <v>13.083</v>
      </c>
      <c r="C6" s="5" t="n">
        <v>80.27</v>
      </c>
    </row>
    <row r="7" customFormat="false" ht="15" hidden="false" customHeight="false" outlineLevel="0" collapsed="false">
      <c r="A7" s="0" t="s">
        <v>17</v>
      </c>
      <c r="B7" s="5" t="n">
        <v>12.972</v>
      </c>
      <c r="C7" s="5" t="n">
        <v>77.594</v>
      </c>
    </row>
    <row r="9" customFormat="false" ht="15" hidden="false" customHeight="false" outlineLevel="0" collapsed="false">
      <c r="A9" s="0" t="s">
        <v>18</v>
      </c>
      <c r="B9" s="5" t="n">
        <v>6371</v>
      </c>
    </row>
    <row r="10" customFormat="false" ht="15" hidden="false" customHeight="false" outlineLevel="0" collapsed="false">
      <c r="A10" s="0" t="s">
        <v>19</v>
      </c>
      <c r="B10" s="5" t="n">
        <v>0.014</v>
      </c>
      <c r="C10" s="6" t="e">
        <f aca="false">2 × 1.4 route factor ÷ 200 km/ms</f>
        <v>#N/A</v>
      </c>
    </row>
    <row r="12" customFormat="false" ht="15" hidden="false" customHeight="false" outlineLevel="0" collapsed="false">
      <c r="A12" s="2" t="s">
        <v>20</v>
      </c>
    </row>
    <row r="13" customFormat="false" ht="15" hidden="false" customHeight="false" outlineLevel="0" collapsed="false">
      <c r="A13" s="0" t="s">
        <v>21</v>
      </c>
      <c r="B13" s="5" t="n">
        <v>25</v>
      </c>
    </row>
    <row r="14" customFormat="false" ht="15" hidden="false" customHeight="false" outlineLevel="0" collapsed="false">
      <c r="A14" s="0" t="s">
        <v>22</v>
      </c>
      <c r="B14" s="5" t="n">
        <v>1</v>
      </c>
    </row>
    <row r="15" customFormat="false" ht="15" hidden="false" customHeight="false" outlineLevel="0" collapsed="false">
      <c r="A15" s="0" t="s">
        <v>23</v>
      </c>
      <c r="B15" s="5" t="n">
        <v>1</v>
      </c>
    </row>
    <row r="16" customFormat="false" ht="15" hidden="false" customHeight="false" outlineLevel="0" collapsed="false">
      <c r="A16" s="0" t="s">
        <v>24</v>
      </c>
      <c r="B16" s="5" t="n">
        <v>0</v>
      </c>
    </row>
    <row r="18" customFormat="false" ht="15" hidden="false" customHeight="false" outlineLevel="0" collapsed="false">
      <c r="A18" s="2" t="s">
        <v>25</v>
      </c>
    </row>
    <row r="19" customFormat="false" ht="28.35" hidden="false" customHeight="false" outlineLevel="0" collapsed="false">
      <c r="A19" s="4"/>
      <c r="B19" s="4" t="s">
        <v>26</v>
      </c>
      <c r="C19" s="4" t="s">
        <v>27</v>
      </c>
      <c r="D19" s="4" t="s">
        <v>28</v>
      </c>
      <c r="E19" s="4" t="s">
        <v>29</v>
      </c>
      <c r="F19" s="4" t="s">
        <v>30</v>
      </c>
      <c r="G19" s="4" t="s">
        <v>31</v>
      </c>
      <c r="H19" s="4" t="s">
        <v>32</v>
      </c>
      <c r="I19" s="4" t="s">
        <v>33</v>
      </c>
      <c r="J19" s="4" t="s">
        <v>34</v>
      </c>
      <c r="K19" s="6" t="s">
        <v>35</v>
      </c>
    </row>
    <row r="20" customFormat="false" ht="15" hidden="false" customHeight="false" outlineLevel="0" collapsed="false">
      <c r="A20" s="0" t="s">
        <v>36</v>
      </c>
      <c r="B20" s="5" t="n">
        <v>25</v>
      </c>
      <c r="C20" s="5" t="n">
        <v>15</v>
      </c>
      <c r="D20" s="5" t="n">
        <v>10</v>
      </c>
      <c r="E20" s="5" t="n">
        <v>15</v>
      </c>
      <c r="F20" s="5" t="n">
        <v>5</v>
      </c>
      <c r="G20" s="5" t="n">
        <v>10</v>
      </c>
      <c r="H20" s="5" t="n">
        <v>5</v>
      </c>
      <c r="I20" s="5" t="n">
        <v>10</v>
      </c>
      <c r="J20" s="5" t="n">
        <v>5</v>
      </c>
      <c r="K20" s="6" t="n">
        <f aca="false">SUM(B20:J20)</f>
        <v>100</v>
      </c>
    </row>
    <row r="21" customFormat="false" ht="15" hidden="false" customHeight="false" outlineLevel="0" collapsed="false">
      <c r="A21" s="0" t="s">
        <v>37</v>
      </c>
      <c r="B21" s="7" t="n">
        <f aca="false">B20/SUM($B$20:$J$20)</f>
        <v>0.25</v>
      </c>
      <c r="C21" s="7" t="n">
        <f aca="false">C20/SUM($B$20:$J$20)</f>
        <v>0.15</v>
      </c>
      <c r="D21" s="7" t="n">
        <f aca="false">D20/SUM($B$20:$J$20)</f>
        <v>0.1</v>
      </c>
      <c r="E21" s="7" t="n">
        <f aca="false">E20/SUM($B$20:$J$20)</f>
        <v>0.15</v>
      </c>
      <c r="F21" s="7" t="n">
        <f aca="false">F20/SUM($B$20:$J$20)</f>
        <v>0.05</v>
      </c>
      <c r="G21" s="7" t="n">
        <f aca="false">G20/SUM($B$20:$J$20)</f>
        <v>0.1</v>
      </c>
      <c r="H21" s="7" t="n">
        <f aca="false">H20/SUM($B$20:$J$20)</f>
        <v>0.05</v>
      </c>
      <c r="I21" s="7" t="n">
        <f aca="false">I20/SUM($B$20:$J$20)</f>
        <v>0.1</v>
      </c>
      <c r="J21" s="7" t="n">
        <f aca="false">J20/SUM($B$20:$J$20)</f>
        <v>0.05</v>
      </c>
    </row>
    <row r="23" customFormat="false" ht="1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0" t="s">
        <v>39</v>
      </c>
      <c r="B24" s="0" t="n">
        <v>25</v>
      </c>
      <c r="C24" s="0" t="n">
        <v>15</v>
      </c>
      <c r="D24" s="0" t="n">
        <v>10</v>
      </c>
      <c r="E24" s="0" t="n">
        <v>15</v>
      </c>
      <c r="F24" s="0" t="n">
        <v>5</v>
      </c>
      <c r="G24" s="0" t="n">
        <v>10</v>
      </c>
      <c r="H24" s="0" t="n">
        <v>5</v>
      </c>
      <c r="I24" s="0" t="n">
        <v>10</v>
      </c>
      <c r="J24" s="0" t="n">
        <v>5</v>
      </c>
    </row>
    <row r="25" customFormat="false" ht="15" hidden="false" customHeight="false" outlineLevel="0" collapsed="false">
      <c r="A25" s="0" t="s">
        <v>40</v>
      </c>
      <c r="B25" s="0" t="n">
        <v>40</v>
      </c>
      <c r="C25" s="0" t="n">
        <v>5</v>
      </c>
      <c r="D25" s="0" t="n">
        <v>5</v>
      </c>
      <c r="E25" s="0" t="n">
        <v>15</v>
      </c>
      <c r="F25" s="0" t="n">
        <v>5</v>
      </c>
      <c r="G25" s="0" t="n">
        <v>10</v>
      </c>
      <c r="H25" s="0" t="n">
        <v>10</v>
      </c>
      <c r="I25" s="0" t="n">
        <v>7</v>
      </c>
      <c r="J25" s="0" t="n">
        <v>3</v>
      </c>
    </row>
    <row r="26" customFormat="false" ht="15" hidden="false" customHeight="false" outlineLevel="0" collapsed="false">
      <c r="A26" s="0" t="s">
        <v>41</v>
      </c>
      <c r="B26" s="0" t="n">
        <v>15</v>
      </c>
      <c r="C26" s="0" t="n">
        <v>30</v>
      </c>
      <c r="D26" s="0" t="n">
        <v>20</v>
      </c>
      <c r="E26" s="0" t="n">
        <v>5</v>
      </c>
      <c r="F26" s="0" t="n">
        <v>0</v>
      </c>
      <c r="G26" s="0" t="n">
        <v>10</v>
      </c>
      <c r="H26" s="0" t="n">
        <v>2</v>
      </c>
      <c r="I26" s="0" t="n">
        <v>5</v>
      </c>
      <c r="J26" s="0" t="n">
        <v>13</v>
      </c>
    </row>
    <row r="27" customFormat="false" ht="15" hidden="false" customHeight="false" outlineLevel="0" collapsed="false">
      <c r="A27" s="0" t="s">
        <v>42</v>
      </c>
      <c r="B27" s="0" t="n">
        <v>20</v>
      </c>
      <c r="C27" s="0" t="n">
        <v>5</v>
      </c>
      <c r="D27" s="0" t="n">
        <v>5</v>
      </c>
      <c r="E27" s="0" t="n">
        <v>30</v>
      </c>
      <c r="F27" s="0" t="n">
        <v>15</v>
      </c>
      <c r="G27" s="0" t="n">
        <v>10</v>
      </c>
      <c r="H27" s="0" t="n">
        <v>5</v>
      </c>
      <c r="I27" s="0" t="n">
        <v>5</v>
      </c>
      <c r="J27" s="0" t="n">
        <v>5</v>
      </c>
    </row>
    <row r="29" customFormat="false" ht="15" hidden="false" customHeight="false" outlineLevel="0" collapsed="false">
      <c r="A29" s="2" t="s">
        <v>43</v>
      </c>
    </row>
    <row r="30" customFormat="false" ht="15" hidden="false" customHeight="false" outlineLevel="0" collapsed="false">
      <c r="A30" s="0" t="s">
        <v>44</v>
      </c>
      <c r="B30" s="5" t="n">
        <v>0.3</v>
      </c>
    </row>
    <row r="31" customFormat="false" ht="15" hidden="false" customHeight="false" outlineLevel="0" collapsed="false">
      <c r="A31" s="0" t="s">
        <v>45</v>
      </c>
      <c r="B31" s="5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1" min="4" style="0" width="11"/>
  </cols>
  <sheetData>
    <row r="1" customFormat="false" ht="16.15" hidden="false" customHeight="false" outlineLevel="0" collapsed="false">
      <c r="A1" s="3" t="s">
        <v>46</v>
      </c>
    </row>
    <row r="2" customFormat="false" ht="15" hidden="false" customHeight="false" outlineLevel="0" collapsed="false">
      <c r="A2" s="0" t="s">
        <v>47</v>
      </c>
    </row>
    <row r="3" customFormat="false" ht="15" hidden="false" customHeight="false" outlineLevel="0" collapsed="false">
      <c r="S3" s="2" t="s">
        <v>48</v>
      </c>
      <c r="T3" s="8" t="n">
        <f aca="false">_xlfn.MINIFS(T$6:T$55,$S$6:$S$55,1)</f>
        <v>3</v>
      </c>
      <c r="U3" s="8" t="n">
        <f aca="false">_xlfn.MINIFS(U$6:U$55,$S$6:$S$55,1)</f>
        <v>2</v>
      </c>
      <c r="V3" s="8" t="n">
        <f aca="false">_xlfn.MINIFS(V$6:V$55,$S$6:$S$55,1)</f>
        <v>9.72729744373227</v>
      </c>
      <c r="W3" s="8" t="n">
        <f aca="false">_xlfn.MINIFS(W$6:W$55,$S$6:$S$55,1)</f>
        <v>1</v>
      </c>
      <c r="X3" s="8" t="n">
        <f aca="false">_xlfn.MINIFS(X$6:X$55,$S$6:$S$55,1)</f>
        <v>1</v>
      </c>
      <c r="Y3" s="8" t="n">
        <f aca="false">_xlfn.MINIFS(Y$6:Y$55,$S$6:$S$55,1)</f>
        <v>3</v>
      </c>
      <c r="Z3" s="8" t="n">
        <f aca="false">_xlfn.MINIFS(Z$6:Z$55,$S$6:$S$55,1)</f>
        <v>1</v>
      </c>
      <c r="AA3" s="8" t="n">
        <f aca="false">_xlfn.MINIFS(AA$6:AA$55,$S$6:$S$55,1)</f>
        <v>3</v>
      </c>
      <c r="AB3" s="8" t="n">
        <f aca="false">_xlfn.MINIFS(AB$6:AB$55,$S$6:$S$55,1)</f>
        <v>1</v>
      </c>
    </row>
    <row r="4" customFormat="false" ht="15" hidden="false" customHeight="false" outlineLevel="0" collapsed="false">
      <c r="S4" s="2" t="s">
        <v>49</v>
      </c>
      <c r="T4" s="8" t="n">
        <f aca="false">_xlfn.MAXIFS(T$6:T$55,$S$6:$S$55,1)</f>
        <v>9</v>
      </c>
      <c r="U4" s="8" t="n">
        <f aca="false">_xlfn.MAXIFS(U$6:U$55,$S$6:$S$55,1)</f>
        <v>10</v>
      </c>
      <c r="V4" s="8" t="n">
        <f aca="false">_xlfn.MAXIFS(V$6:V$55,$S$6:$S$55,1)</f>
        <v>20.5665105070216</v>
      </c>
      <c r="W4" s="8" t="n">
        <f aca="false">_xlfn.MAXIFS(W$6:W$55,$S$6:$S$55,1)</f>
        <v>7</v>
      </c>
      <c r="X4" s="8" t="n">
        <f aca="false">_xlfn.MAXIFS(X$6:X$55,$S$6:$S$55,1)</f>
        <v>8</v>
      </c>
      <c r="Y4" s="8" t="n">
        <f aca="false">_xlfn.MAXIFS(Y$6:Y$55,$S$6:$S$55,1)</f>
        <v>9</v>
      </c>
      <c r="Z4" s="8" t="n">
        <f aca="false">_xlfn.MAXIFS(Z$6:Z$55,$S$6:$S$55,1)</f>
        <v>10</v>
      </c>
      <c r="AA4" s="8" t="n">
        <f aca="false">_xlfn.MAXIFS(AA$6:AA$55,$S$6:$S$55,1)</f>
        <v>9</v>
      </c>
      <c r="AB4" s="8" t="n">
        <f aca="false">_xlfn.MAXIFS(AB$6:AB$55,$S$6:$S$55,1)</f>
        <v>10</v>
      </c>
    </row>
    <row r="5" customFormat="false" ht="45" hidden="false" customHeight="true" outlineLevel="0" collapsed="false">
      <c r="A5" s="4" t="s">
        <v>50</v>
      </c>
      <c r="B5" s="4" t="s">
        <v>51</v>
      </c>
      <c r="C5" s="4" t="s">
        <v>52</v>
      </c>
      <c r="D5" s="4" t="s">
        <v>12</v>
      </c>
      <c r="E5" s="4" t="s">
        <v>13</v>
      </c>
      <c r="F5" s="4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59</v>
      </c>
      <c r="M5" s="4" t="s">
        <v>60</v>
      </c>
      <c r="N5" s="4" t="s">
        <v>61</v>
      </c>
      <c r="O5" s="4" t="s">
        <v>62</v>
      </c>
      <c r="P5" s="4" t="s">
        <v>63</v>
      </c>
      <c r="Q5" s="4" t="s">
        <v>64</v>
      </c>
      <c r="R5" s="4" t="s">
        <v>65</v>
      </c>
      <c r="S5" s="4" t="s">
        <v>66</v>
      </c>
      <c r="T5" s="4" t="s">
        <v>26</v>
      </c>
      <c r="U5" s="4" t="s">
        <v>27</v>
      </c>
      <c r="V5" s="4" t="s">
        <v>67</v>
      </c>
      <c r="W5" s="4" t="s">
        <v>29</v>
      </c>
      <c r="X5" s="4" t="s">
        <v>30</v>
      </c>
      <c r="Y5" s="4" t="s">
        <v>31</v>
      </c>
      <c r="Z5" s="4" t="s">
        <v>32</v>
      </c>
      <c r="AA5" s="4" t="s">
        <v>33</v>
      </c>
      <c r="AB5" s="4" t="s">
        <v>34</v>
      </c>
      <c r="AC5" s="4" t="s">
        <v>68</v>
      </c>
      <c r="AD5" s="4" t="s">
        <v>69</v>
      </c>
      <c r="AE5" s="4" t="s">
        <v>70</v>
      </c>
      <c r="AF5" s="4" t="s">
        <v>71</v>
      </c>
      <c r="AG5" s="4" t="s">
        <v>72</v>
      </c>
      <c r="AH5" s="4" t="s">
        <v>73</v>
      </c>
      <c r="AI5" s="4" t="s">
        <v>74</v>
      </c>
      <c r="AJ5" s="4" t="s">
        <v>75</v>
      </c>
      <c r="AK5" s="4" t="s">
        <v>76</v>
      </c>
      <c r="AL5" s="4" t="s">
        <v>77</v>
      </c>
      <c r="AM5" s="4" t="s">
        <v>78</v>
      </c>
      <c r="AN5" s="4" t="s">
        <v>79</v>
      </c>
      <c r="AO5" s="4" t="s">
        <v>80</v>
      </c>
    </row>
    <row r="6" customFormat="false" ht="15" hidden="false" customHeight="false" outlineLevel="0" collapsed="false">
      <c r="A6" s="0" t="s">
        <v>81</v>
      </c>
      <c r="B6" s="2" t="s">
        <v>82</v>
      </c>
      <c r="C6" s="6" t="s">
        <v>83</v>
      </c>
      <c r="D6" s="5" t="n">
        <v>19.03</v>
      </c>
      <c r="E6" s="5" t="n">
        <v>73.03</v>
      </c>
      <c r="F6" s="5" t="n">
        <v>3</v>
      </c>
      <c r="G6" s="5" t="n">
        <v>10</v>
      </c>
      <c r="H6" s="5" t="n">
        <v>0</v>
      </c>
      <c r="I6" s="5" t="n">
        <v>0</v>
      </c>
      <c r="J6" s="9" t="n">
        <f aca="false">2*Settings!$B$9*ASIN(SQRT(SIN(RADIANS(Settings!$B$4-$D6)/2)^2+COS(RADIANS($D6))*COS(RADIANS(Settings!$B$4))*SIN(RADIANS(Settings!$C$4-$E6)/2)^2))</f>
        <v>16.7745660839728</v>
      </c>
      <c r="K6" s="9" t="n">
        <f aca="false">2*Settings!$B$9*ASIN(SQRT(SIN(RADIANS(Settings!$B$5-$D6)/2)^2+COS(RADIANS($D6))*COS(RADIANS(Settings!$B$5))*SIN(RADIANS(Settings!$C$5-$E6)/2)^2))</f>
        <v>1147.04998404352</v>
      </c>
      <c r="L6" s="9" t="n">
        <f aca="false">2*Settings!$B$9*ASIN(SQRT(SIN(RADIANS(Settings!$B$6-$D6)/2)^2+COS(RADIANS($D6))*COS(RADIANS(Settings!$B$6))*SIN(RADIANS(Settings!$C$6-$E6)/2)^2))</f>
        <v>1017.38963164119</v>
      </c>
      <c r="M6" s="9" t="n">
        <f aca="false">2*Settings!$B$9*ASIN(SQRT(SIN(RADIANS(Settings!$B$7-$D6)/2)^2+COS(RADIANS($D6))*COS(RADIANS(Settings!$B$7))*SIN(RADIANS(Settings!$C$7-$E6)/2)^2))</f>
        <v>831.53839850157</v>
      </c>
      <c r="N6" s="8" t="n">
        <f aca="false">J6*Settings!$B$10</f>
        <v>0.234843925175619</v>
      </c>
      <c r="O6" s="8" t="n">
        <f aca="false">K6*Settings!$B$10</f>
        <v>16.0586997766093</v>
      </c>
      <c r="P6" s="8" t="n">
        <f aca="false">L6*Settings!$B$10</f>
        <v>14.2434548429766</v>
      </c>
      <c r="Q6" s="8" t="n">
        <f aca="false">M6*Settings!$B$10</f>
        <v>11.641537579022</v>
      </c>
      <c r="R6" s="8" t="n">
        <f aca="false">AVERAGE(N6:Q6)</f>
        <v>10.5446340309459</v>
      </c>
      <c r="S6" s="6" t="n">
        <f aca="false">IF(AND(OR(Settings!$B$14=0,F6&lt;5),G6&lt;=Settings!$B$13,OR(H6=0,Settings!$B$15=1),OR(Settings!$B$16=0,I6=0)),1,0)</f>
        <v>1</v>
      </c>
      <c r="T6" s="5" t="n">
        <v>4.5</v>
      </c>
      <c r="U6" s="5" t="n">
        <v>10</v>
      </c>
      <c r="V6" s="8" t="n">
        <f aca="false">R6</f>
        <v>10.5446340309459</v>
      </c>
      <c r="W6" s="5" t="n">
        <v>7</v>
      </c>
      <c r="X6" s="5" t="n">
        <v>2</v>
      </c>
      <c r="Y6" s="5" t="n">
        <v>5</v>
      </c>
      <c r="Z6" s="5" t="n">
        <v>2</v>
      </c>
      <c r="AA6" s="5" t="n">
        <v>8</v>
      </c>
      <c r="AB6" s="5" t="n">
        <v>10</v>
      </c>
      <c r="AC6" s="8" t="n">
        <f aca="false">IF($S6=1,IF(T$4=T$3,5,10*(T6-T$3)/(T$4-T$3)),"")</f>
        <v>2.5</v>
      </c>
      <c r="AD6" s="8" t="n">
        <f aca="false">IF($S6=1,IF(U$4=U$3,5,10*(U6-U$3)/(U$4-U$3)),"")</f>
        <v>10</v>
      </c>
      <c r="AE6" s="8" t="n">
        <f aca="false">IF($S6=1,IF(V$4=V$3,5,10*(V$4-V6)/(V$4-V$3)),"")</f>
        <v>9.24594471716605</v>
      </c>
      <c r="AF6" s="8" t="n">
        <f aca="false">IF($S6=1,IF(W$4=W$3,5,10*(W6-W$3)/(W$4-W$3)),"")</f>
        <v>10</v>
      </c>
      <c r="AG6" s="8" t="n">
        <f aca="false">IF($S6=1,IF(X$4=X$3,5,10*(X6-X$3)/(X$4-X$3)),"")</f>
        <v>1.42857142857143</v>
      </c>
      <c r="AH6" s="8" t="n">
        <f aca="false">IF($S6=1,IF(Y$4=Y$3,5,10*(Y6-Y$3)/(Y$4-Y$3)),"")</f>
        <v>3.33333333333333</v>
      </c>
      <c r="AI6" s="8" t="n">
        <f aca="false">IF($S6=1,IF(Z$4=Z$3,5,10*(Z6-Z$3)/(Z$4-Z$3)),"")</f>
        <v>1.11111111111111</v>
      </c>
      <c r="AJ6" s="8" t="n">
        <f aca="false">IF($S6=1,IF(AA$4=AA$3,5,10*(AA6-AA$3)/(AA$4-AA$3)),"")</f>
        <v>8.33333333333333</v>
      </c>
      <c r="AK6" s="8" t="n">
        <f aca="false">IF($S6=1,IF(AB$4=AB$3,5,10*(AB6-AB$3)/(AB$4-AB$3)),"")</f>
        <v>10</v>
      </c>
      <c r="AL6" s="10" t="n">
        <f aca="false">IF($S6=1,SUMPRODUCT(AC6:AK6,Settings!$B$21:$J$21),"")</f>
        <v>6.3432452653674</v>
      </c>
      <c r="AM6" s="10" t="n">
        <f aca="false">IF($S6=1,EXP(Settings!$B$21*LN(MAX(AC6,0.5))+Settings!$C$21*LN(MAX(AD6,0.5))+Settings!$D$21*LN(MAX(AE6,0.5))+Settings!$E$21*LN(MAX(AF6,0.5))+Settings!$F$21*LN(MAX(AG6,0.5))+Settings!$G$21*LN(MAX(AH6,0.5))+Settings!$H$21*LN(MAX(AI6,0.5))+Settings!$I$21*LN(MAX(AJ6,0.5))+Settings!$J$21*LN(MAX(AK6,0.5))),"")</f>
        <v>5.01744769536661</v>
      </c>
      <c r="AN6" s="6" t="n">
        <f aca="false">IF($S6=1,COUNTIFS($S$6:$S$55,1,$AL$6:$AL$55,"&gt;"&amp;AL6)+1,"")</f>
        <v>6</v>
      </c>
      <c r="AO6" s="0" t="str">
        <f aca="false">IF($S6=1,IF(AN6&lt;=CEILING(SUM($S$6:$S$55)*Settings!$B$30,1),"A",IF(AN6&lt;=CEILING(SUM($S$6:$S$55)*Settings!$B$31,1),"B","C")),"Excluded")</f>
        <v>A</v>
      </c>
    </row>
    <row r="7" customFormat="false" ht="15" hidden="false" customHeight="false" outlineLevel="0" collapsed="false">
      <c r="A7" s="0" t="s">
        <v>84</v>
      </c>
      <c r="B7" s="2" t="s">
        <v>85</v>
      </c>
      <c r="C7" s="6" t="s">
        <v>83</v>
      </c>
      <c r="D7" s="5" t="n">
        <v>18.52</v>
      </c>
      <c r="E7" s="5" t="n">
        <v>73.86</v>
      </c>
      <c r="F7" s="5" t="n">
        <v>3</v>
      </c>
      <c r="G7" s="5" t="n">
        <v>15</v>
      </c>
      <c r="H7" s="5" t="n">
        <v>0</v>
      </c>
      <c r="I7" s="5" t="n">
        <v>0</v>
      </c>
      <c r="J7" s="9" t="n">
        <f aca="false">2*Settings!$B$9*ASIN(SQRT(SIN(RADIANS(Settings!$B$4-$D7)/2)^2+COS(RADIANS($D7))*COS(RADIANS(Settings!$B$4))*SIN(RADIANS(Settings!$C$4-$E7)/2)^2))</f>
        <v>120.4461864913</v>
      </c>
      <c r="K7" s="9" t="n">
        <f aca="false">2*Settings!$B$9*ASIN(SQRT(SIN(RADIANS(Settings!$B$5-$D7)/2)^2+COS(RADIANS($D7))*COS(RADIANS(Settings!$B$5))*SIN(RADIANS(Settings!$C$5-$E7)/2)^2))</f>
        <v>1172.95073577797</v>
      </c>
      <c r="L7" s="9" t="n">
        <f aca="false">2*Settings!$B$9*ASIN(SQRT(SIN(RADIANS(Settings!$B$6-$D7)/2)^2+COS(RADIANS($D7))*COS(RADIANS(Settings!$B$6))*SIN(RADIANS(Settings!$C$6-$E7)/2)^2))</f>
        <v>913.992582688134</v>
      </c>
      <c r="M7" s="9" t="n">
        <f aca="false">2*Settings!$B$9*ASIN(SQRT(SIN(RADIANS(Settings!$B$7-$D7)/2)^2+COS(RADIANS($D7))*COS(RADIANS(Settings!$B$7))*SIN(RADIANS(Settings!$C$7-$E7)/2)^2))</f>
        <v>734.925514337331</v>
      </c>
      <c r="N7" s="8" t="n">
        <f aca="false">J7*Settings!$B$10</f>
        <v>1.6862466108782</v>
      </c>
      <c r="O7" s="8" t="n">
        <f aca="false">K7*Settings!$B$10</f>
        <v>16.4213103008916</v>
      </c>
      <c r="P7" s="8" t="n">
        <f aca="false">L7*Settings!$B$10</f>
        <v>12.7958961576339</v>
      </c>
      <c r="Q7" s="8" t="n">
        <f aca="false">M7*Settings!$B$10</f>
        <v>10.2889572007226</v>
      </c>
      <c r="R7" s="8" t="n">
        <f aca="false">AVERAGE(N7:Q7)</f>
        <v>10.2981025675316</v>
      </c>
      <c r="S7" s="6" t="n">
        <f aca="false">IF(AND(OR(Settings!$B$14=0,F7&lt;5),G7&lt;=Settings!$B$13,OR(H7=0,Settings!$B$15=1),OR(Settings!$B$16=0,I7=0)),1,0)</f>
        <v>1</v>
      </c>
      <c r="T7" s="5" t="n">
        <v>4</v>
      </c>
      <c r="U7" s="5" t="n">
        <v>7</v>
      </c>
      <c r="V7" s="8" t="n">
        <f aca="false">R7</f>
        <v>10.2981025675316</v>
      </c>
      <c r="W7" s="5" t="n">
        <v>6</v>
      </c>
      <c r="X7" s="5" t="n">
        <v>5</v>
      </c>
      <c r="Y7" s="5" t="n">
        <v>7</v>
      </c>
      <c r="Z7" s="5" t="n">
        <v>5</v>
      </c>
      <c r="AA7" s="5" t="n">
        <v>8</v>
      </c>
      <c r="AB7" s="5" t="n">
        <v>8</v>
      </c>
      <c r="AC7" s="8" t="n">
        <f aca="false">IF($S7=1,IF(T$4=T$3,5,10*(T7-T$3)/(T$4-T$3)),"")</f>
        <v>1.66666666666667</v>
      </c>
      <c r="AD7" s="8" t="n">
        <f aca="false">IF($S7=1,IF(U$4=U$3,5,10*(U7-U$3)/(U$4-U$3)),"")</f>
        <v>6.25</v>
      </c>
      <c r="AE7" s="8" t="n">
        <f aca="false">IF($S7=1,IF(V$4=V$3,5,10*(V$4-V7)/(V$4-V$3)),"")</f>
        <v>9.47338877788784</v>
      </c>
      <c r="AF7" s="8" t="n">
        <f aca="false">IF($S7=1,IF(W$4=W$3,5,10*(W7-W$3)/(W$4-W$3)),"")</f>
        <v>8.33333333333333</v>
      </c>
      <c r="AG7" s="8" t="n">
        <f aca="false">IF($S7=1,IF(X$4=X$3,5,10*(X7-X$3)/(X$4-X$3)),"")</f>
        <v>5.71428571428571</v>
      </c>
      <c r="AH7" s="8" t="n">
        <f aca="false">IF($S7=1,IF(Y$4=Y$3,5,10*(Y7-Y$3)/(Y$4-Y$3)),"")</f>
        <v>6.66666666666667</v>
      </c>
      <c r="AI7" s="8" t="n">
        <f aca="false">IF($S7=1,IF(Z$4=Z$3,5,10*(Z7-Z$3)/(Z$4-Z$3)),"")</f>
        <v>4.44444444444445</v>
      </c>
      <c r="AJ7" s="8" t="n">
        <f aca="false">IF($S7=1,IF(AA$4=AA$3,5,10*(AA7-AA$3)/(AA$4-AA$3)),"")</f>
        <v>8.33333333333333</v>
      </c>
      <c r="AK7" s="8" t="n">
        <f aca="false">IF($S7=1,IF(AB$4=AB$3,5,10*(AB7-AB$3)/(AB$4-AB$3)),"")</f>
        <v>7.77777777777778</v>
      </c>
      <c r="AL7" s="10" t="n">
        <f aca="false">IF($S7=1,SUMPRODUCT(AC7:AK7,Settings!$B$21:$J$21),"")</f>
        <v>5.94833094128085</v>
      </c>
      <c r="AM7" s="10" t="n">
        <f aca="false">IF($S7=1,EXP(Settings!$B$21*LN(MAX(AC7,0.5))+Settings!$C$21*LN(MAX(AD7,0.5))+Settings!$D$21*LN(MAX(AE7,0.5))+Settings!$E$21*LN(MAX(AF7,0.5))+Settings!$F$21*LN(MAX(AG7,0.5))+Settings!$G$21*LN(MAX(AH7,0.5))+Settings!$H$21*LN(MAX(AI7,0.5))+Settings!$I$21*LN(MAX(AJ7,0.5))+Settings!$J$21*LN(MAX(AK7,0.5))),"")</f>
        <v>5.01039582538099</v>
      </c>
      <c r="AN7" s="6" t="n">
        <f aca="false">IF($S7=1,COUNTIFS($S$6:$S$55,1,$AL$6:$AL$55,"&gt;"&amp;AL7)+1,"")</f>
        <v>17</v>
      </c>
      <c r="AO7" s="0" t="str">
        <f aca="false">IF($S7=1,IF(AN7&lt;=CEILING(SUM($S$6:$S$55)*Settings!$B$30,1),"A",IF(AN7&lt;=CEILING(SUM($S$6:$S$55)*Settings!$B$31,1),"B","C")),"Excluded")</f>
        <v>B</v>
      </c>
    </row>
    <row r="8" customFormat="false" ht="15" hidden="false" customHeight="false" outlineLevel="0" collapsed="false">
      <c r="A8" s="0" t="s">
        <v>86</v>
      </c>
      <c r="B8" s="2" t="s">
        <v>87</v>
      </c>
      <c r="C8" s="6" t="s">
        <v>83</v>
      </c>
      <c r="D8" s="5" t="n">
        <v>21.15</v>
      </c>
      <c r="E8" s="5" t="n">
        <v>79.09</v>
      </c>
      <c r="F8" s="5" t="n">
        <v>2</v>
      </c>
      <c r="G8" s="5" t="n">
        <v>8</v>
      </c>
      <c r="H8" s="5" t="n">
        <v>0</v>
      </c>
      <c r="I8" s="5" t="n">
        <v>0</v>
      </c>
      <c r="J8" s="9" t="n">
        <f aca="false">2*Settings!$B$9*ASIN(SQRT(SIN(RADIANS(Settings!$B$4-$D8)/2)^2+COS(RADIANS($D8))*COS(RADIANS(Settings!$B$4))*SIN(RADIANS(Settings!$C$4-$E8)/2)^2))</f>
        <v>688.315271813397</v>
      </c>
      <c r="K8" s="9" t="n">
        <f aca="false">2*Settings!$B$9*ASIN(SQRT(SIN(RADIANS(Settings!$B$5-$D8)/2)^2+COS(RADIANS($D8))*COS(RADIANS(Settings!$B$5))*SIN(RADIANS(Settings!$C$5-$E8)/2)^2))</f>
        <v>851.32236748694</v>
      </c>
      <c r="L8" s="9" t="n">
        <f aca="false">2*Settings!$B$9*ASIN(SQRT(SIN(RADIANS(Settings!$B$6-$D8)/2)^2+COS(RADIANS($D8))*COS(RADIANS(Settings!$B$6))*SIN(RADIANS(Settings!$C$6-$E8)/2)^2))</f>
        <v>905.713719709309</v>
      </c>
      <c r="M8" s="9" t="n">
        <f aca="false">2*Settings!$B$9*ASIN(SQRT(SIN(RADIANS(Settings!$B$7-$D8)/2)^2+COS(RADIANS($D8))*COS(RADIANS(Settings!$B$7))*SIN(RADIANS(Settings!$C$7-$E8)/2)^2))</f>
        <v>923.12277933272</v>
      </c>
      <c r="N8" s="8" t="n">
        <f aca="false">J8*Settings!$B$10</f>
        <v>9.63641380538755</v>
      </c>
      <c r="O8" s="8" t="n">
        <f aca="false">K8*Settings!$B$10</f>
        <v>11.9185131448172</v>
      </c>
      <c r="P8" s="8" t="n">
        <f aca="false">L8*Settings!$B$10</f>
        <v>12.6799920759303</v>
      </c>
      <c r="Q8" s="8" t="n">
        <f aca="false">M8*Settings!$B$10</f>
        <v>12.9237189106581</v>
      </c>
      <c r="R8" s="8" t="n">
        <f aca="false">AVERAGE(N8:Q8)</f>
        <v>11.7896594841983</v>
      </c>
      <c r="S8" s="6" t="n">
        <f aca="false">IF(AND(OR(Settings!$B$14=0,F8&lt;5),G8&lt;=Settings!$B$13,OR(H8=0,Settings!$B$15=1),OR(Settings!$B$16=0,I8=0)),1,0)</f>
        <v>1</v>
      </c>
      <c r="T8" s="5" t="n">
        <v>4</v>
      </c>
      <c r="U8" s="5" t="n">
        <v>5</v>
      </c>
      <c r="V8" s="8" t="n">
        <f aca="false">R8</f>
        <v>11.7896594841983</v>
      </c>
      <c r="W8" s="5" t="n">
        <v>7</v>
      </c>
      <c r="X8" s="5" t="n">
        <v>5</v>
      </c>
      <c r="Y8" s="5" t="n">
        <v>9</v>
      </c>
      <c r="Z8" s="5" t="n">
        <v>8</v>
      </c>
      <c r="AA8" s="5" t="n">
        <v>8</v>
      </c>
      <c r="AB8" s="5" t="n">
        <v>4</v>
      </c>
      <c r="AC8" s="8" t="n">
        <f aca="false">IF($S8=1,IF(T$4=T$3,5,10*(T8-T$3)/(T$4-T$3)),"")</f>
        <v>1.66666666666667</v>
      </c>
      <c r="AD8" s="8" t="n">
        <f aca="false">IF($S8=1,IF(U$4=U$3,5,10*(U8-U$3)/(U$4-U$3)),"")</f>
        <v>3.75</v>
      </c>
      <c r="AE8" s="8" t="n">
        <f aca="false">IF($S8=1,IF(V$4=V$3,5,10*(V$4-V8)/(V$4-V$3)),"")</f>
        <v>8.0973138654771</v>
      </c>
      <c r="AF8" s="8" t="n">
        <f aca="false">IF($S8=1,IF(W$4=W$3,5,10*(W8-W$3)/(W$4-W$3)),"")</f>
        <v>10</v>
      </c>
      <c r="AG8" s="8" t="n">
        <f aca="false">IF($S8=1,IF(X$4=X$3,5,10*(X8-X$3)/(X$4-X$3)),"")</f>
        <v>5.71428571428571</v>
      </c>
      <c r="AH8" s="8" t="n">
        <f aca="false">IF($S8=1,IF(Y$4=Y$3,5,10*(Y8-Y$3)/(Y$4-Y$3)),"")</f>
        <v>10</v>
      </c>
      <c r="AI8" s="8" t="n">
        <f aca="false">IF($S8=1,IF(Z$4=Z$3,5,10*(Z8-Z$3)/(Z$4-Z$3)),"")</f>
        <v>7.77777777777778</v>
      </c>
      <c r="AJ8" s="8" t="n">
        <f aca="false">IF($S8=1,IF(AA$4=AA$3,5,10*(AA8-AA$3)/(AA$4-AA$3)),"")</f>
        <v>8.33333333333333</v>
      </c>
      <c r="AK8" s="8" t="n">
        <f aca="false">IF($S8=1,IF(AB$4=AB$3,5,10*(AB8-AB$3)/(AB$4-AB$3)),"")</f>
        <v>3.33333333333333</v>
      </c>
      <c r="AL8" s="10" t="n">
        <f aca="false">IF($S8=1,SUMPRODUCT(AC8:AK8,Settings!$B$21:$J$21),"")</f>
        <v>5.96350122781755</v>
      </c>
      <c r="AM8" s="10" t="n">
        <f aca="false">IF($S8=1,EXP(Settings!$B$21*LN(MAX(AC8,0.5))+Settings!$C$21*LN(MAX(AD8,0.5))+Settings!$D$21*LN(MAX(AE8,0.5))+Settings!$E$21*LN(MAX(AF8,0.5))+Settings!$F$21*LN(MAX(AG8,0.5))+Settings!$G$21*LN(MAX(AH8,0.5))+Settings!$H$21*LN(MAX(AI8,0.5))+Settings!$I$21*LN(MAX(AJ8,0.5))+Settings!$J$21*LN(MAX(AK8,0.5))),"")</f>
        <v>4.81967397640881</v>
      </c>
      <c r="AN8" s="6" t="n">
        <f aca="false">IF($S8=1,COUNTIFS($S$6:$S$55,1,$AL$6:$AL$55,"&gt;"&amp;AL8)+1,"")</f>
        <v>16</v>
      </c>
      <c r="AO8" s="0" t="str">
        <f aca="false">IF($S8=1,IF(AN8&lt;=CEILING(SUM($S$6:$S$55)*Settings!$B$30,1),"A",IF(AN8&lt;=CEILING(SUM($S$6:$S$55)*Settings!$B$31,1),"B","C")),"Excluded")</f>
        <v>B</v>
      </c>
    </row>
    <row r="9" customFormat="false" ht="15" hidden="false" customHeight="false" outlineLevel="0" collapsed="false">
      <c r="A9" s="0" t="s">
        <v>88</v>
      </c>
      <c r="B9" s="2" t="s">
        <v>89</v>
      </c>
      <c r="C9" s="6" t="s">
        <v>83</v>
      </c>
      <c r="D9" s="5" t="n">
        <v>20</v>
      </c>
      <c r="E9" s="5" t="n">
        <v>73.79</v>
      </c>
      <c r="F9" s="5" t="n">
        <v>3</v>
      </c>
      <c r="G9" s="5" t="n">
        <v>15</v>
      </c>
      <c r="H9" s="5" t="n">
        <v>0</v>
      </c>
      <c r="I9" s="5" t="n">
        <v>0</v>
      </c>
      <c r="J9" s="9" t="n">
        <f aca="false">2*Settings!$B$9*ASIN(SQRT(SIN(RADIANS(Settings!$B$4-$D9)/2)^2+COS(RADIANS($D9))*COS(RADIANS(Settings!$B$4))*SIN(RADIANS(Settings!$C$4-$E9)/2)^2))</f>
        <v>140.320331789348</v>
      </c>
      <c r="K9" s="9" t="n">
        <f aca="false">2*Settings!$B$9*ASIN(SQRT(SIN(RADIANS(Settings!$B$5-$D9)/2)^2+COS(RADIANS($D9))*COS(RADIANS(Settings!$B$5))*SIN(RADIANS(Settings!$C$5-$E9)/2)^2))</f>
        <v>1018.38970862629</v>
      </c>
      <c r="L9" s="9" t="n">
        <f aca="false">2*Settings!$B$9*ASIN(SQRT(SIN(RADIANS(Settings!$B$6-$D9)/2)^2+COS(RADIANS($D9))*COS(RADIANS(Settings!$B$6))*SIN(RADIANS(Settings!$C$6-$E9)/2)^2))</f>
        <v>1033.38869160792</v>
      </c>
      <c r="M9" s="9" t="n">
        <f aca="false">2*Settings!$B$9*ASIN(SQRT(SIN(RADIANS(Settings!$B$7-$D9)/2)^2+COS(RADIANS($D9))*COS(RADIANS(Settings!$B$7))*SIN(RADIANS(Settings!$C$7-$E9)/2)^2))</f>
        <v>880.312768929647</v>
      </c>
      <c r="N9" s="8" t="n">
        <f aca="false">J9*Settings!$B$10</f>
        <v>1.96448464505087</v>
      </c>
      <c r="O9" s="8" t="n">
        <f aca="false">K9*Settings!$B$10</f>
        <v>14.2574559207681</v>
      </c>
      <c r="P9" s="8" t="n">
        <f aca="false">L9*Settings!$B$10</f>
        <v>14.4674416825109</v>
      </c>
      <c r="Q9" s="8" t="n">
        <f aca="false">M9*Settings!$B$10</f>
        <v>12.3243787650151</v>
      </c>
      <c r="R9" s="8" t="n">
        <f aca="false">AVERAGE(N9:Q9)</f>
        <v>10.7534402533362</v>
      </c>
      <c r="S9" s="6" t="n">
        <f aca="false">IF(AND(OR(Settings!$B$14=0,F9&lt;5),G9&lt;=Settings!$B$13,OR(H9=0,Settings!$B$15=1),OR(Settings!$B$16=0,I9=0)),1,0)</f>
        <v>1</v>
      </c>
      <c r="T9" s="5" t="n">
        <v>3</v>
      </c>
      <c r="U9" s="5" t="n">
        <v>5</v>
      </c>
      <c r="V9" s="8" t="n">
        <f aca="false">R9</f>
        <v>10.7534402533362</v>
      </c>
      <c r="W9" s="5" t="n">
        <v>7</v>
      </c>
      <c r="X9" s="5" t="n">
        <v>6</v>
      </c>
      <c r="Y9" s="5" t="n">
        <v>7</v>
      </c>
      <c r="Z9" s="5" t="n">
        <v>7</v>
      </c>
      <c r="AA9" s="5" t="n">
        <v>8</v>
      </c>
      <c r="AB9" s="5" t="n">
        <v>3</v>
      </c>
      <c r="AC9" s="8" t="n">
        <f aca="false">IF($S9=1,IF(T$4=T$3,5,10*(T9-T$3)/(T$4-T$3)),"")</f>
        <v>0</v>
      </c>
      <c r="AD9" s="8" t="n">
        <f aca="false">IF($S9=1,IF(U$4=U$3,5,10*(U9-U$3)/(U$4-U$3)),"")</f>
        <v>3.75</v>
      </c>
      <c r="AE9" s="8" t="n">
        <f aca="false">IF($S9=1,IF(V$4=V$3,5,10*(V$4-V9)/(V$4-V$3)),"")</f>
        <v>9.053305065956</v>
      </c>
      <c r="AF9" s="8" t="n">
        <f aca="false">IF($S9=1,IF(W$4=W$3,5,10*(W9-W$3)/(W$4-W$3)),"")</f>
        <v>10</v>
      </c>
      <c r="AG9" s="8" t="n">
        <f aca="false">IF($S9=1,IF(X$4=X$3,5,10*(X9-X$3)/(X$4-X$3)),"")</f>
        <v>7.14285714285714</v>
      </c>
      <c r="AH9" s="8" t="n">
        <f aca="false">IF($S9=1,IF(Y$4=Y$3,5,10*(Y9-Y$3)/(Y$4-Y$3)),"")</f>
        <v>6.66666666666667</v>
      </c>
      <c r="AI9" s="8" t="n">
        <f aca="false">IF($S9=1,IF(Z$4=Z$3,5,10*(Z9-Z$3)/(Z$4-Z$3)),"")</f>
        <v>6.66666666666667</v>
      </c>
      <c r="AJ9" s="8" t="n">
        <f aca="false">IF($S9=1,IF(AA$4=AA$3,5,10*(AA9-AA$3)/(AA$4-AA$3)),"")</f>
        <v>8.33333333333333</v>
      </c>
      <c r="AK9" s="8" t="n">
        <f aca="false">IF($S9=1,IF(AB$4=AB$3,5,10*(AB9-AB$3)/(AB$4-AB$3)),"")</f>
        <v>2.22222222222222</v>
      </c>
      <c r="AL9" s="10" t="n">
        <f aca="false">IF($S9=1,SUMPRODUCT(AC9:AK9,Settings!$B$21:$J$21),"")</f>
        <v>5.2694178081829</v>
      </c>
      <c r="AM9" s="10" t="n">
        <f aca="false">IF($S9=1,EXP(Settings!$B$21*LN(MAX(AC9,0.5))+Settings!$C$21*LN(MAX(AD9,0.5))+Settings!$D$21*LN(MAX(AE9,0.5))+Settings!$E$21*LN(MAX(AF9,0.5))+Settings!$F$21*LN(MAX(AG9,0.5))+Settings!$G$21*LN(MAX(AH9,0.5))+Settings!$H$21*LN(MAX(AI9,0.5))+Settings!$I$21*LN(MAX(AJ9,0.5))+Settings!$J$21*LN(MAX(AK9,0.5))),"")</f>
        <v>3.40587783141806</v>
      </c>
      <c r="AN9" s="6" t="n">
        <f aca="false">IF($S9=1,COUNTIFS($S$6:$S$55,1,$AL$6:$AL$55,"&gt;"&amp;AL9)+1,"")</f>
        <v>25</v>
      </c>
      <c r="AO9" s="0" t="str">
        <f aca="false">IF($S9=1,IF(AN9&lt;=CEILING(SUM($S$6:$S$55)*Settings!$B$30,1),"A",IF(AN9&lt;=CEILING(SUM($S$6:$S$55)*Settings!$B$31,1),"B","C")),"Excluded")</f>
        <v>B</v>
      </c>
    </row>
    <row r="10" customFormat="false" ht="15" hidden="false" customHeight="false" outlineLevel="0" collapsed="false">
      <c r="A10" s="0" t="s">
        <v>90</v>
      </c>
      <c r="B10" s="2" t="s">
        <v>91</v>
      </c>
      <c r="C10" s="6" t="s">
        <v>92</v>
      </c>
      <c r="D10" s="5" t="n">
        <v>12.74</v>
      </c>
      <c r="E10" s="5" t="n">
        <v>77.83</v>
      </c>
      <c r="F10" s="5" t="n">
        <v>2</v>
      </c>
      <c r="G10" s="5" t="n">
        <v>10</v>
      </c>
      <c r="H10" s="5" t="n">
        <v>0</v>
      </c>
      <c r="I10" s="5" t="n">
        <v>0</v>
      </c>
      <c r="J10" s="9" t="n">
        <f aca="false">2*Settings!$B$9*ASIN(SQRT(SIN(RADIANS(Settings!$B$4-$D10)/2)^2+COS(RADIANS($D10))*COS(RADIANS(Settings!$B$4))*SIN(RADIANS(Settings!$C$4-$E10)/2)^2))</f>
        <v>881.145852153496</v>
      </c>
      <c r="K10" s="9" t="n">
        <f aca="false">2*Settings!$B$9*ASIN(SQRT(SIN(RADIANS(Settings!$B$5-$D10)/2)^2+COS(RADIANS($D10))*COS(RADIANS(Settings!$B$5))*SIN(RADIANS(Settings!$C$5-$E10)/2)^2))</f>
        <v>1766.27932761651</v>
      </c>
      <c r="L10" s="9" t="n">
        <f aca="false">2*Settings!$B$9*ASIN(SQRT(SIN(RADIANS(Settings!$B$6-$D10)/2)^2+COS(RADIANS($D10))*COS(RADIANS(Settings!$B$6))*SIN(RADIANS(Settings!$C$6-$E10)/2)^2))</f>
        <v>267.1904503303</v>
      </c>
      <c r="M10" s="9" t="n">
        <f aca="false">2*Settings!$B$9*ASIN(SQRT(SIN(RADIANS(Settings!$B$7-$D10)/2)^2+COS(RADIANS($D10))*COS(RADIANS(Settings!$B$7))*SIN(RADIANS(Settings!$C$7-$E10)/2)^2))</f>
        <v>36.3324340643201</v>
      </c>
      <c r="N10" s="8" t="n">
        <f aca="false">J10*Settings!$B$10</f>
        <v>12.3360419301489</v>
      </c>
      <c r="O10" s="8" t="n">
        <f aca="false">K10*Settings!$B$10</f>
        <v>24.7279105866312</v>
      </c>
      <c r="P10" s="8" t="n">
        <f aca="false">L10*Settings!$B$10</f>
        <v>3.7406663046242</v>
      </c>
      <c r="Q10" s="8" t="n">
        <f aca="false">M10*Settings!$B$10</f>
        <v>0.508654076900481</v>
      </c>
      <c r="R10" s="8" t="n">
        <f aca="false">AVERAGE(N10:Q10)</f>
        <v>10.3283182245762</v>
      </c>
      <c r="S10" s="6" t="n">
        <f aca="false">IF(AND(OR(Settings!$B$14=0,F10&lt;5),G10&lt;=Settings!$B$13,OR(H10=0,Settings!$B$15=1),OR(Settings!$B$16=0,I10=0)),1,0)</f>
        <v>1</v>
      </c>
      <c r="T10" s="5" t="n">
        <v>3.8</v>
      </c>
      <c r="U10" s="5" t="n">
        <v>6</v>
      </c>
      <c r="V10" s="8" t="n">
        <f aca="false">R10</f>
        <v>10.3283182245762</v>
      </c>
      <c r="W10" s="5" t="n">
        <v>4</v>
      </c>
      <c r="X10" s="5" t="n">
        <v>6</v>
      </c>
      <c r="Y10" s="5" t="n">
        <v>9</v>
      </c>
      <c r="Z10" s="5" t="n">
        <v>7</v>
      </c>
      <c r="AA10" s="5" t="n">
        <v>4</v>
      </c>
      <c r="AB10" s="5" t="n">
        <v>6</v>
      </c>
      <c r="AC10" s="8" t="n">
        <f aca="false">IF($S10=1,IF(T$4=T$3,5,10*(T10-T$3)/(T$4-T$3)),"")</f>
        <v>1.33333333333333</v>
      </c>
      <c r="AD10" s="8" t="n">
        <f aca="false">IF($S10=1,IF(U$4=U$3,5,10*(U10-U$3)/(U$4-U$3)),"")</f>
        <v>5</v>
      </c>
      <c r="AE10" s="8" t="n">
        <f aca="false">IF($S10=1,IF(V$4=V$3,5,10*(V$4-V10)/(V$4-V$3)),"")</f>
        <v>9.44551253182808</v>
      </c>
      <c r="AF10" s="8" t="n">
        <f aca="false">IF($S10=1,IF(W$4=W$3,5,10*(W10-W$3)/(W$4-W$3)),"")</f>
        <v>5</v>
      </c>
      <c r="AG10" s="8" t="n">
        <f aca="false">IF($S10=1,IF(X$4=X$3,5,10*(X10-X$3)/(X$4-X$3)),"")</f>
        <v>7.14285714285714</v>
      </c>
      <c r="AH10" s="8" t="n">
        <f aca="false">IF($S10=1,IF(Y$4=Y$3,5,10*(Y10-Y$3)/(Y$4-Y$3)),"")</f>
        <v>10</v>
      </c>
      <c r="AI10" s="8" t="n">
        <f aca="false">IF($S10=1,IF(Z$4=Z$3,5,10*(Z10-Z$3)/(Z$4-Z$3)),"")</f>
        <v>6.66666666666667</v>
      </c>
      <c r="AJ10" s="8" t="n">
        <f aca="false">IF($S10=1,IF(AA$4=AA$3,5,10*(AA10-AA$3)/(AA$4-AA$3)),"")</f>
        <v>1.66666666666667</v>
      </c>
      <c r="AK10" s="8" t="n">
        <f aca="false">IF($S10=1,IF(AB$4=AB$3,5,10*(AB10-AB$3)/(AB$4-AB$3)),"")</f>
        <v>5.55555555555556</v>
      </c>
      <c r="AL10" s="10" t="n">
        <f aca="false">IF($S10=1,SUMPRODUCT(AC10:AK10,Settings!$B$21:$J$21),"")</f>
        <v>4.91280522143678</v>
      </c>
      <c r="AM10" s="10" t="n">
        <f aca="false">IF($S10=1,EXP(Settings!$B$21*LN(MAX(AC10,0.5))+Settings!$C$21*LN(MAX(AD10,0.5))+Settings!$D$21*LN(MAX(AE10,0.5))+Settings!$E$21*LN(MAX(AF10,0.5))+Settings!$F$21*LN(MAX(AG10,0.5))+Settings!$G$21*LN(MAX(AH10,0.5))+Settings!$H$21*LN(MAX(AI10,0.5))+Settings!$I$21*LN(MAX(AJ10,0.5))+Settings!$J$21*LN(MAX(AK10,0.5))),"")</f>
        <v>3.8173196094929</v>
      </c>
      <c r="AN10" s="6" t="n">
        <f aca="false">IF($S10=1,COUNTIFS($S$6:$S$55,1,$AL$6:$AL$55,"&gt;"&amp;AL10)+1,"")</f>
        <v>27</v>
      </c>
      <c r="AO10" s="0" t="str">
        <f aca="false">IF($S10=1,IF(AN10&lt;=CEILING(SUM($S$6:$S$55)*Settings!$B$30,1),"A",IF(AN10&lt;=CEILING(SUM($S$6:$S$55)*Settings!$B$31,1),"B","C")),"Excluded")</f>
        <v>B</v>
      </c>
    </row>
    <row r="11" customFormat="false" ht="15" hidden="false" customHeight="false" outlineLevel="0" collapsed="false">
      <c r="A11" s="0" t="s">
        <v>93</v>
      </c>
      <c r="B11" s="2" t="s">
        <v>16</v>
      </c>
      <c r="C11" s="6" t="s">
        <v>92</v>
      </c>
      <c r="D11" s="5" t="n">
        <v>13.08</v>
      </c>
      <c r="E11" s="5" t="n">
        <v>80.27</v>
      </c>
      <c r="F11" s="5" t="n">
        <v>3</v>
      </c>
      <c r="G11" s="5" t="n">
        <v>12</v>
      </c>
      <c r="H11" s="5" t="n">
        <v>1</v>
      </c>
      <c r="I11" s="5" t="n">
        <v>1</v>
      </c>
      <c r="J11" s="9" t="n">
        <f aca="false">2*Settings!$B$9*ASIN(SQRT(SIN(RADIANS(Settings!$B$4-$D11)/2)^2+COS(RADIANS($D11))*COS(RADIANS(Settings!$B$4))*SIN(RADIANS(Settings!$C$4-$E11)/2)^2))</f>
        <v>1033.21444295205</v>
      </c>
      <c r="K11" s="9" t="n">
        <f aca="false">2*Settings!$B$9*ASIN(SQRT(SIN(RADIANS(Settings!$B$5-$D11)/2)^2+COS(RADIANS($D11))*COS(RADIANS(Settings!$B$5))*SIN(RADIANS(Settings!$C$5-$E11)/2)^2))</f>
        <v>1756.09095405559</v>
      </c>
      <c r="L11" s="9" t="n">
        <f aca="false">2*Settings!$B$9*ASIN(SQRT(SIN(RADIANS(Settings!$B$6-$D11)/2)^2+COS(RADIANS($D11))*COS(RADIANS(Settings!$B$6))*SIN(RADIANS(Settings!$C$6-$E11)/2)^2))</f>
        <v>0.333584779933689</v>
      </c>
      <c r="M11" s="9" t="n">
        <f aca="false">2*Settings!$B$9*ASIN(SQRT(SIN(RADIANS(Settings!$B$7-$D11)/2)^2+COS(RADIANS($D11))*COS(RADIANS(Settings!$B$7))*SIN(RADIANS(Settings!$C$7-$E11)/2)^2))</f>
        <v>290.148078208262</v>
      </c>
      <c r="N11" s="8" t="n">
        <f aca="false">J11*Settings!$B$10</f>
        <v>14.4650022013287</v>
      </c>
      <c r="O11" s="8" t="n">
        <f aca="false">K11*Settings!$B$10</f>
        <v>24.5852733567783</v>
      </c>
      <c r="P11" s="8" t="n">
        <f aca="false">L11*Settings!$B$10</f>
        <v>0.00467018691907164</v>
      </c>
      <c r="Q11" s="8" t="n">
        <f aca="false">M11*Settings!$B$10</f>
        <v>4.06207309491567</v>
      </c>
      <c r="R11" s="8" t="n">
        <f aca="false">AVERAGE(N11:Q11)</f>
        <v>10.7792547099854</v>
      </c>
      <c r="S11" s="6" t="n">
        <f aca="false">IF(AND(OR(Settings!$B$14=0,F11&lt;5),G11&lt;=Settings!$B$13,OR(H11=0,Settings!$B$15=1),OR(Settings!$B$16=0,I11=0)),1,0)</f>
        <v>1</v>
      </c>
      <c r="T11" s="5" t="n">
        <v>4.3</v>
      </c>
      <c r="U11" s="5" t="n">
        <v>10</v>
      </c>
      <c r="V11" s="8" t="n">
        <f aca="false">R11</f>
        <v>10.7792547099854</v>
      </c>
      <c r="W11" s="5" t="n">
        <v>3</v>
      </c>
      <c r="X11" s="5" t="n">
        <v>1</v>
      </c>
      <c r="Y11" s="5" t="n">
        <v>4</v>
      </c>
      <c r="Z11" s="5" t="n">
        <v>4</v>
      </c>
      <c r="AA11" s="5" t="n">
        <v>4</v>
      </c>
      <c r="AB11" s="5" t="n">
        <v>9</v>
      </c>
      <c r="AC11" s="8" t="n">
        <f aca="false">IF($S11=1,IF(T$4=T$3,5,10*(T11-T$3)/(T$4-T$3)),"")</f>
        <v>2.16666666666667</v>
      </c>
      <c r="AD11" s="8" t="n">
        <f aca="false">IF($S11=1,IF(U$4=U$3,5,10*(U11-U$3)/(U$4-U$3)),"")</f>
        <v>10</v>
      </c>
      <c r="AE11" s="8" t="n">
        <f aca="false">IF($S11=1,IF(V$4=V$3,5,10*(V$4-V11)/(V$4-V$3)),"")</f>
        <v>9.02948926263293</v>
      </c>
      <c r="AF11" s="8" t="n">
        <f aca="false">IF($S11=1,IF(W$4=W$3,5,10*(W11-W$3)/(W$4-W$3)),"")</f>
        <v>3.33333333333333</v>
      </c>
      <c r="AG11" s="8" t="n">
        <f aca="false">IF($S11=1,IF(X$4=X$3,5,10*(X11-X$3)/(X$4-X$3)),"")</f>
        <v>0</v>
      </c>
      <c r="AH11" s="8" t="n">
        <f aca="false">IF($S11=1,IF(Y$4=Y$3,5,10*(Y11-Y$3)/(Y$4-Y$3)),"")</f>
        <v>1.66666666666667</v>
      </c>
      <c r="AI11" s="8" t="n">
        <f aca="false">IF($S11=1,IF(Z$4=Z$3,5,10*(Z11-Z$3)/(Z$4-Z$3)),"")</f>
        <v>3.33333333333333</v>
      </c>
      <c r="AJ11" s="8" t="n">
        <f aca="false">IF($S11=1,IF(AA$4=AA$3,5,10*(AA11-AA$3)/(AA$4-AA$3)),"")</f>
        <v>1.66666666666667</v>
      </c>
      <c r="AK11" s="8" t="n">
        <f aca="false">IF($S11=1,IF(AB$4=AB$3,5,10*(AB11-AB$3)/(AB$4-AB$3)),"")</f>
        <v>8.88888888888889</v>
      </c>
      <c r="AL11" s="10" t="n">
        <f aca="false">IF($S11=1,SUMPRODUCT(AC11:AK11,Settings!$B$21:$J$21),"")</f>
        <v>4.3890600373744</v>
      </c>
      <c r="AM11" s="10" t="n">
        <f aca="false">IF($S11=1,EXP(Settings!$B$21*LN(MAX(AC11,0.5))+Settings!$C$21*LN(MAX(AD11,0.5))+Settings!$D$21*LN(MAX(AE11,0.5))+Settings!$E$21*LN(MAX(AF11,0.5))+Settings!$F$21*LN(MAX(AG11,0.5))+Settings!$G$21*LN(MAX(AH11,0.5))+Settings!$H$21*LN(MAX(AI11,0.5))+Settings!$I$21*LN(MAX(AJ11,0.5))+Settings!$J$21*LN(MAX(AK11,0.5))),"")</f>
        <v>3.24228149150366</v>
      </c>
      <c r="AN11" s="6" t="n">
        <f aca="false">IF($S11=1,COUNTIFS($S$6:$S$55,1,$AL$6:$AL$55,"&gt;"&amp;AL11)+1,"")</f>
        <v>38</v>
      </c>
      <c r="AO11" s="0" t="str">
        <f aca="false">IF($S11=1,IF(AN11&lt;=CEILING(SUM($S$6:$S$55)*Settings!$B$30,1),"A",IF(AN11&lt;=CEILING(SUM($S$6:$S$55)*Settings!$B$31,1),"B","C")),"Excluded")</f>
        <v>C</v>
      </c>
    </row>
    <row r="12" customFormat="false" ht="15" hidden="false" customHeight="false" outlineLevel="0" collapsed="false">
      <c r="A12" s="0" t="s">
        <v>94</v>
      </c>
      <c r="B12" s="2" t="s">
        <v>95</v>
      </c>
      <c r="C12" s="6" t="s">
        <v>92</v>
      </c>
      <c r="D12" s="5" t="n">
        <v>11.02</v>
      </c>
      <c r="E12" s="5" t="n">
        <v>76.96</v>
      </c>
      <c r="F12" s="5" t="n">
        <v>3</v>
      </c>
      <c r="G12" s="5" t="n">
        <v>20</v>
      </c>
      <c r="H12" s="5" t="n">
        <v>0</v>
      </c>
      <c r="I12" s="5" t="n">
        <v>0</v>
      </c>
      <c r="J12" s="9" t="n">
        <f aca="false">2*Settings!$B$9*ASIN(SQRT(SIN(RADIANS(Settings!$B$4-$D12)/2)^2+COS(RADIANS($D12))*COS(RADIANS(Settings!$B$4))*SIN(RADIANS(Settings!$C$4-$E12)/2)^2))</f>
        <v>997.084748365783</v>
      </c>
      <c r="K12" s="9" t="n">
        <f aca="false">2*Settings!$B$9*ASIN(SQRT(SIN(RADIANS(Settings!$B$5-$D12)/2)^2+COS(RADIANS($D12))*COS(RADIANS(Settings!$B$5))*SIN(RADIANS(Settings!$C$5-$E12)/2)^2))</f>
        <v>1956.5350385754</v>
      </c>
      <c r="L12" s="9" t="n">
        <f aca="false">2*Settings!$B$9*ASIN(SQRT(SIN(RADIANS(Settings!$B$6-$D12)/2)^2+COS(RADIANS($D12))*COS(RADIANS(Settings!$B$6))*SIN(RADIANS(Settings!$C$6-$E12)/2)^2))</f>
        <v>426.806615973649</v>
      </c>
      <c r="M12" s="9" t="n">
        <f aca="false">2*Settings!$B$9*ASIN(SQRT(SIN(RADIANS(Settings!$B$7-$D12)/2)^2+COS(RADIANS($D12))*COS(RADIANS(Settings!$B$7))*SIN(RADIANS(Settings!$C$7-$E12)/2)^2))</f>
        <v>227.742127816574</v>
      </c>
      <c r="N12" s="8" t="n">
        <f aca="false">J12*Settings!$B$10</f>
        <v>13.959186477121</v>
      </c>
      <c r="O12" s="8" t="n">
        <f aca="false">K12*Settings!$B$10</f>
        <v>27.3914905400557</v>
      </c>
      <c r="P12" s="8" t="n">
        <f aca="false">L12*Settings!$B$10</f>
        <v>5.97529262363109</v>
      </c>
      <c r="Q12" s="8" t="n">
        <f aca="false">M12*Settings!$B$10</f>
        <v>3.18838978943204</v>
      </c>
      <c r="R12" s="8" t="n">
        <f aca="false">AVERAGE(N12:Q12)</f>
        <v>12.6285898575599</v>
      </c>
      <c r="S12" s="6" t="n">
        <f aca="false">IF(AND(OR(Settings!$B$14=0,F12&lt;5),G12&lt;=Settings!$B$13,OR(H12=0,Settings!$B$15=1),OR(Settings!$B$16=0,I12=0)),1,0)</f>
        <v>1</v>
      </c>
      <c r="T12" s="5" t="n">
        <v>4.3</v>
      </c>
      <c r="U12" s="5" t="n">
        <v>5</v>
      </c>
      <c r="V12" s="8" t="n">
        <f aca="false">R12</f>
        <v>12.6285898575599</v>
      </c>
      <c r="W12" s="5" t="n">
        <v>5</v>
      </c>
      <c r="X12" s="5" t="n">
        <v>5</v>
      </c>
      <c r="Y12" s="5" t="n">
        <v>7</v>
      </c>
      <c r="Z12" s="5" t="n">
        <v>7</v>
      </c>
      <c r="AA12" s="5" t="n">
        <v>4</v>
      </c>
      <c r="AB12" s="5" t="n">
        <v>6</v>
      </c>
      <c r="AC12" s="8" t="n">
        <f aca="false">IF($S12=1,IF(T$4=T$3,5,10*(T12-T$3)/(T$4-T$3)),"")</f>
        <v>2.16666666666667</v>
      </c>
      <c r="AD12" s="8" t="n">
        <f aca="false">IF($S12=1,IF(U$4=U$3,5,10*(U12-U$3)/(U$4-U$3)),"")</f>
        <v>3.75</v>
      </c>
      <c r="AE12" s="8" t="n">
        <f aca="false">IF($S12=1,IF(V$4=V$3,5,10*(V$4-V12)/(V$4-V$3)),"")</f>
        <v>7.32333666947292</v>
      </c>
      <c r="AF12" s="8" t="n">
        <f aca="false">IF($S12=1,IF(W$4=W$3,5,10*(W12-W$3)/(W$4-W$3)),"")</f>
        <v>6.66666666666667</v>
      </c>
      <c r="AG12" s="8" t="n">
        <f aca="false">IF($S12=1,IF(X$4=X$3,5,10*(X12-X$3)/(X$4-X$3)),"")</f>
        <v>5.71428571428571</v>
      </c>
      <c r="AH12" s="8" t="n">
        <f aca="false">IF($S12=1,IF(Y$4=Y$3,5,10*(Y12-Y$3)/(Y$4-Y$3)),"")</f>
        <v>6.66666666666667</v>
      </c>
      <c r="AI12" s="8" t="n">
        <f aca="false">IF($S12=1,IF(Z$4=Z$3,5,10*(Z12-Z$3)/(Z$4-Z$3)),"")</f>
        <v>6.66666666666667</v>
      </c>
      <c r="AJ12" s="8" t="n">
        <f aca="false">IF($S12=1,IF(AA$4=AA$3,5,10*(AA12-AA$3)/(AA$4-AA$3)),"")</f>
        <v>1.66666666666667</v>
      </c>
      <c r="AK12" s="8" t="n">
        <f aca="false">IF($S12=1,IF(AB$4=AB$3,5,10*(AB12-AB$3)/(AB$4-AB$3)),"")</f>
        <v>5.55555555555556</v>
      </c>
      <c r="AL12" s="10" t="n">
        <f aca="false">IF($S12=1,SUMPRODUCT(AC12:AK12,Settings!$B$21:$J$21),"")</f>
        <v>4.56665906377269</v>
      </c>
      <c r="AM12" s="10" t="n">
        <f aca="false">IF($S12=1,EXP(Settings!$B$21*LN(MAX(AC12,0.5))+Settings!$C$21*LN(MAX(AD12,0.5))+Settings!$D$21*LN(MAX(AE12,0.5))+Settings!$E$21*LN(MAX(AF12,0.5))+Settings!$F$21*LN(MAX(AG12,0.5))+Settings!$G$21*LN(MAX(AH12,0.5))+Settings!$H$21*LN(MAX(AI12,0.5))+Settings!$I$21*LN(MAX(AJ12,0.5))+Settings!$J$21*LN(MAX(AK12,0.5))),"")</f>
        <v>3.98993283682187</v>
      </c>
      <c r="AN12" s="6" t="n">
        <f aca="false">IF($S12=1,COUNTIFS($S$6:$S$55,1,$AL$6:$AL$55,"&gt;"&amp;AL12)+1,"")</f>
        <v>32</v>
      </c>
      <c r="AO12" s="0" t="str">
        <f aca="false">IF($S12=1,IF(AN12&lt;=CEILING(SUM($S$6:$S$55)*Settings!$B$30,1),"A",IF(AN12&lt;=CEILING(SUM($S$6:$S$55)*Settings!$B$31,1),"B","C")),"Excluded")</f>
        <v>B</v>
      </c>
    </row>
    <row r="13" customFormat="false" ht="15" hidden="false" customHeight="false" outlineLevel="0" collapsed="false">
      <c r="A13" s="0" t="s">
        <v>96</v>
      </c>
      <c r="B13" s="2" t="s">
        <v>97</v>
      </c>
      <c r="C13" s="6" t="s">
        <v>92</v>
      </c>
      <c r="D13" s="5" t="n">
        <v>8.76</v>
      </c>
      <c r="E13" s="5" t="n">
        <v>78.13</v>
      </c>
      <c r="F13" s="5" t="n">
        <v>2</v>
      </c>
      <c r="G13" s="5" t="n">
        <v>20</v>
      </c>
      <c r="H13" s="5" t="n">
        <v>0</v>
      </c>
      <c r="I13" s="5" t="n">
        <v>0</v>
      </c>
      <c r="J13" s="9" t="n">
        <f aca="false">2*Settings!$B$9*ASIN(SQRT(SIN(RADIANS(Settings!$B$4-$D13)/2)^2+COS(RADIANS($D13))*COS(RADIANS(Settings!$B$4))*SIN(RADIANS(Settings!$C$4-$E13)/2)^2))</f>
        <v>1279.09553028925</v>
      </c>
      <c r="K13" s="9" t="n">
        <f aca="false">2*Settings!$B$9*ASIN(SQRT(SIN(RADIANS(Settings!$B$5-$D13)/2)^2+COS(RADIANS($D13))*COS(RADIANS(Settings!$B$5))*SIN(RADIANS(Settings!$C$5-$E13)/2)^2))</f>
        <v>2209.76580514739</v>
      </c>
      <c r="L13" s="9" t="n">
        <f aca="false">2*Settings!$B$9*ASIN(SQRT(SIN(RADIANS(Settings!$B$6-$D13)/2)^2+COS(RADIANS($D13))*COS(RADIANS(Settings!$B$6))*SIN(RADIANS(Settings!$C$6-$E13)/2)^2))</f>
        <v>534.443926611459</v>
      </c>
      <c r="M13" s="9" t="n">
        <f aca="false">2*Settings!$B$9*ASIN(SQRT(SIN(RADIANS(Settings!$B$7-$D13)/2)^2+COS(RADIANS($D13))*COS(RADIANS(Settings!$B$7))*SIN(RADIANS(Settings!$C$7-$E13)/2)^2))</f>
        <v>471.994522357227</v>
      </c>
      <c r="N13" s="8" t="n">
        <f aca="false">J13*Settings!$B$10</f>
        <v>17.9073374240494</v>
      </c>
      <c r="O13" s="8" t="n">
        <f aca="false">K13*Settings!$B$10</f>
        <v>30.9367212720634</v>
      </c>
      <c r="P13" s="8" t="n">
        <f aca="false">L13*Settings!$B$10</f>
        <v>7.48221497256043</v>
      </c>
      <c r="Q13" s="8" t="n">
        <f aca="false">M13*Settings!$B$10</f>
        <v>6.60792331300118</v>
      </c>
      <c r="R13" s="8" t="n">
        <f aca="false">AVERAGE(N13:Q13)</f>
        <v>15.7335492454186</v>
      </c>
      <c r="S13" s="6" t="n">
        <f aca="false">IF(AND(OR(Settings!$B$14=0,F13&lt;5),G13&lt;=Settings!$B$13,OR(H13=0,Settings!$B$15=1),OR(Settings!$B$16=0,I13=0)),1,0)</f>
        <v>1</v>
      </c>
      <c r="T13" s="5" t="n">
        <v>4.8</v>
      </c>
      <c r="U13" s="5" t="n">
        <v>7</v>
      </c>
      <c r="V13" s="8" t="n">
        <f aca="false">R13</f>
        <v>15.7335492454186</v>
      </c>
      <c r="W13" s="5" t="n">
        <v>5</v>
      </c>
      <c r="X13" s="5" t="n">
        <v>1</v>
      </c>
      <c r="Y13" s="5" t="n">
        <v>6</v>
      </c>
      <c r="Z13" s="5" t="n">
        <v>8</v>
      </c>
      <c r="AA13" s="5" t="n">
        <v>4</v>
      </c>
      <c r="AB13" s="5" t="n">
        <v>2</v>
      </c>
      <c r="AC13" s="8" t="n">
        <f aca="false">IF($S13=1,IF(T$4=T$3,5,10*(T13-T$3)/(T$4-T$3)),"")</f>
        <v>3</v>
      </c>
      <c r="AD13" s="8" t="n">
        <f aca="false">IF($S13=1,IF(U$4=U$3,5,10*(U13-U$3)/(U$4-U$3)),"")</f>
        <v>6.25</v>
      </c>
      <c r="AE13" s="8" t="n">
        <f aca="false">IF($S13=1,IF(V$4=V$3,5,10*(V$4-V13)/(V$4-V$3)),"")</f>
        <v>4.45877503595851</v>
      </c>
      <c r="AF13" s="8" t="n">
        <f aca="false">IF($S13=1,IF(W$4=W$3,5,10*(W13-W$3)/(W$4-W$3)),"")</f>
        <v>6.66666666666667</v>
      </c>
      <c r="AG13" s="8" t="n">
        <f aca="false">IF($S13=1,IF(X$4=X$3,5,10*(X13-X$3)/(X$4-X$3)),"")</f>
        <v>0</v>
      </c>
      <c r="AH13" s="8" t="n">
        <f aca="false">IF($S13=1,IF(Y$4=Y$3,5,10*(Y13-Y$3)/(Y$4-Y$3)),"")</f>
        <v>5</v>
      </c>
      <c r="AI13" s="8" t="n">
        <f aca="false">IF($S13=1,IF(Z$4=Z$3,5,10*(Z13-Z$3)/(Z$4-Z$3)),"")</f>
        <v>7.77777777777778</v>
      </c>
      <c r="AJ13" s="8" t="n">
        <f aca="false">IF($S13=1,IF(AA$4=AA$3,5,10*(AA13-AA$3)/(AA$4-AA$3)),"")</f>
        <v>1.66666666666667</v>
      </c>
      <c r="AK13" s="8" t="n">
        <f aca="false">IF($S13=1,IF(AB$4=AB$3,5,10*(AB13-AB$3)/(AB$4-AB$3)),"")</f>
        <v>1.11111111111111</v>
      </c>
      <c r="AL13" s="10" t="n">
        <f aca="false">IF($S13=1,SUMPRODUCT(AC13:AK13,Settings!$B$21:$J$21),"")</f>
        <v>4.24448861470696</v>
      </c>
      <c r="AM13" s="10" t="n">
        <f aca="false">IF($S13=1,EXP(Settings!$B$21*LN(MAX(AC13,0.5))+Settings!$C$21*LN(MAX(AD13,0.5))+Settings!$D$21*LN(MAX(AE13,0.5))+Settings!$E$21*LN(MAX(AF13,0.5))+Settings!$F$21*LN(MAX(AG13,0.5))+Settings!$G$21*LN(MAX(AH13,0.5))+Settings!$H$21*LN(MAX(AI13,0.5))+Settings!$I$21*LN(MAX(AJ13,0.5))+Settings!$J$21*LN(MAX(AK13,0.5))),"")</f>
        <v>3.55656876612768</v>
      </c>
      <c r="AN13" s="6" t="n">
        <f aca="false">IF($S13=1,COUNTIFS($S$6:$S$55,1,$AL$6:$AL$55,"&gt;"&amp;AL13)+1,"")</f>
        <v>39</v>
      </c>
      <c r="AO13" s="0" t="str">
        <f aca="false">IF($S13=1,IF(AN13&lt;=CEILING(SUM($S$6:$S$55)*Settings!$B$30,1),"A",IF(AN13&lt;=CEILING(SUM($S$6:$S$55)*Settings!$B$31,1),"B","C")),"Excluded")</f>
        <v>C</v>
      </c>
    </row>
    <row r="14" customFormat="false" ht="15" hidden="false" customHeight="false" outlineLevel="0" collapsed="false">
      <c r="A14" s="0" t="s">
        <v>98</v>
      </c>
      <c r="B14" s="2" t="s">
        <v>99</v>
      </c>
      <c r="C14" s="6" t="s">
        <v>100</v>
      </c>
      <c r="D14" s="5" t="n">
        <v>12.3</v>
      </c>
      <c r="E14" s="5" t="n">
        <v>76.64</v>
      </c>
      <c r="F14" s="5" t="n">
        <v>2</v>
      </c>
      <c r="G14" s="5" t="n">
        <v>15</v>
      </c>
      <c r="H14" s="5" t="n">
        <v>0</v>
      </c>
      <c r="I14" s="5" t="n">
        <v>0</v>
      </c>
      <c r="J14" s="9" t="n">
        <f aca="false">2*Settings!$B$9*ASIN(SQRT(SIN(RADIANS(Settings!$B$4-$D14)/2)^2+COS(RADIANS($D14))*COS(RADIANS(Settings!$B$4))*SIN(RADIANS(Settings!$C$4-$E14)/2)^2))</f>
        <v>854.196940772882</v>
      </c>
      <c r="K14" s="9" t="n">
        <f aca="false">2*Settings!$B$9*ASIN(SQRT(SIN(RADIANS(Settings!$B$5-$D14)/2)^2+COS(RADIANS($D14))*COS(RADIANS(Settings!$B$5))*SIN(RADIANS(Settings!$C$5-$E14)/2)^2))</f>
        <v>1814.99306076186</v>
      </c>
      <c r="L14" s="9" t="n">
        <f aca="false">2*Settings!$B$9*ASIN(SQRT(SIN(RADIANS(Settings!$B$6-$D14)/2)^2+COS(RADIANS($D14))*COS(RADIANS(Settings!$B$6))*SIN(RADIANS(Settings!$C$6-$E14)/2)^2))</f>
        <v>403.279475205052</v>
      </c>
      <c r="M14" s="9" t="n">
        <f aca="false">2*Settings!$B$9*ASIN(SQRT(SIN(RADIANS(Settings!$B$7-$D14)/2)^2+COS(RADIANS($D14))*COS(RADIANS(Settings!$B$7))*SIN(RADIANS(Settings!$C$7-$E14)/2)^2))</f>
        <v>127.662942994211</v>
      </c>
      <c r="N14" s="8" t="n">
        <f aca="false">J14*Settings!$B$10</f>
        <v>11.9587571708204</v>
      </c>
      <c r="O14" s="8" t="n">
        <f aca="false">K14*Settings!$B$10</f>
        <v>25.409902850666</v>
      </c>
      <c r="P14" s="8" t="n">
        <f aca="false">L14*Settings!$B$10</f>
        <v>5.64591265287073</v>
      </c>
      <c r="Q14" s="8" t="n">
        <f aca="false">M14*Settings!$B$10</f>
        <v>1.78728120191895</v>
      </c>
      <c r="R14" s="8" t="n">
        <f aca="false">AVERAGE(N14:Q14)</f>
        <v>11.200463469069</v>
      </c>
      <c r="S14" s="6" t="n">
        <f aca="false">IF(AND(OR(Settings!$B$14=0,F14&lt;5),G14&lt;=Settings!$B$13,OR(H14=0,Settings!$B$15=1),OR(Settings!$B$16=0,I14=0)),1,0)</f>
        <v>1</v>
      </c>
      <c r="T14" s="5" t="n">
        <v>5</v>
      </c>
      <c r="U14" s="5" t="n">
        <v>4</v>
      </c>
      <c r="V14" s="8" t="n">
        <f aca="false">R14</f>
        <v>11.200463469069</v>
      </c>
      <c r="W14" s="5" t="n">
        <v>7</v>
      </c>
      <c r="X14" s="5" t="n">
        <v>8</v>
      </c>
      <c r="Y14" s="5" t="n">
        <v>9</v>
      </c>
      <c r="Z14" s="5" t="n">
        <v>7</v>
      </c>
      <c r="AA14" s="5" t="n">
        <v>8</v>
      </c>
      <c r="AB14" s="5" t="n">
        <v>3</v>
      </c>
      <c r="AC14" s="8" t="n">
        <f aca="false">IF($S14=1,IF(T$4=T$3,5,10*(T14-T$3)/(T$4-T$3)),"")</f>
        <v>3.33333333333333</v>
      </c>
      <c r="AD14" s="8" t="n">
        <f aca="false">IF($S14=1,IF(U$4=U$3,5,10*(U14-U$3)/(U$4-U$3)),"")</f>
        <v>2.5</v>
      </c>
      <c r="AE14" s="8" t="n">
        <f aca="false">IF($S14=1,IF(V$4=V$3,5,10*(V$4-V14)/(V$4-V$3)),"")</f>
        <v>8.64089208622892</v>
      </c>
      <c r="AF14" s="8" t="n">
        <f aca="false">IF($S14=1,IF(W$4=W$3,5,10*(W14-W$3)/(W$4-W$3)),"")</f>
        <v>10</v>
      </c>
      <c r="AG14" s="8" t="n">
        <f aca="false">IF($S14=1,IF(X$4=X$3,5,10*(X14-X$3)/(X$4-X$3)),"")</f>
        <v>10</v>
      </c>
      <c r="AH14" s="8" t="n">
        <f aca="false">IF($S14=1,IF(Y$4=Y$3,5,10*(Y14-Y$3)/(Y$4-Y$3)),"")</f>
        <v>10</v>
      </c>
      <c r="AI14" s="8" t="n">
        <f aca="false">IF($S14=1,IF(Z$4=Z$3,5,10*(Z14-Z$3)/(Z$4-Z$3)),"")</f>
        <v>6.66666666666667</v>
      </c>
      <c r="AJ14" s="8" t="n">
        <f aca="false">IF($S14=1,IF(AA$4=AA$3,5,10*(AA14-AA$3)/(AA$4-AA$3)),"")</f>
        <v>8.33333333333333</v>
      </c>
      <c r="AK14" s="8" t="n">
        <f aca="false">IF($S14=1,IF(AB$4=AB$3,5,10*(AB14-AB$3)/(AB$4-AB$3)),"")</f>
        <v>2.22222222222222</v>
      </c>
      <c r="AL14" s="10" t="n">
        <f aca="false">IF($S14=1,SUMPRODUCT(AC14:AK14,Settings!$B$21:$J$21),"")</f>
        <v>6.350200319734</v>
      </c>
      <c r="AM14" s="10" t="n">
        <f aca="false">IF($S14=1,EXP(Settings!$B$21*LN(MAX(AC14,0.5))+Settings!$C$21*LN(MAX(AD14,0.5))+Settings!$D$21*LN(MAX(AE14,0.5))+Settings!$E$21*LN(MAX(AF14,0.5))+Settings!$F$21*LN(MAX(AG14,0.5))+Settings!$G$21*LN(MAX(AH14,0.5))+Settings!$H$21*LN(MAX(AI14,0.5))+Settings!$I$21*LN(MAX(AJ14,0.5))+Settings!$J$21*LN(MAX(AK14,0.5))),"")</f>
        <v>5.42854237811402</v>
      </c>
      <c r="AN14" s="6" t="n">
        <f aca="false">IF($S14=1,COUNTIFS($S$6:$S$55,1,$AL$6:$AL$55,"&gt;"&amp;AL14)+1,"")</f>
        <v>5</v>
      </c>
      <c r="AO14" s="0" t="str">
        <f aca="false">IF($S14=1,IF(AN14&lt;=CEILING(SUM($S$6:$S$55)*Settings!$B$30,1),"A",IF(AN14&lt;=CEILING(SUM($S$6:$S$55)*Settings!$B$31,1),"B","C")),"Excluded")</f>
        <v>A</v>
      </c>
    </row>
    <row r="15" customFormat="false" ht="15" hidden="false" customHeight="false" outlineLevel="0" collapsed="false">
      <c r="A15" s="0" t="s">
        <v>101</v>
      </c>
      <c r="B15" s="2" t="s">
        <v>102</v>
      </c>
      <c r="C15" s="6" t="s">
        <v>100</v>
      </c>
      <c r="D15" s="5" t="n">
        <v>13.07</v>
      </c>
      <c r="E15" s="5" t="n">
        <v>77.8</v>
      </c>
      <c r="F15" s="5" t="n">
        <v>2</v>
      </c>
      <c r="G15" s="5" t="n">
        <v>20</v>
      </c>
      <c r="H15" s="5" t="n">
        <v>1</v>
      </c>
      <c r="I15" s="5" t="n">
        <v>0</v>
      </c>
      <c r="J15" s="9" t="n">
        <f aca="false">2*Settings!$B$9*ASIN(SQRT(SIN(RADIANS(Settings!$B$4-$D15)/2)^2+COS(RADIANS($D15))*COS(RADIANS(Settings!$B$4))*SIN(RADIANS(Settings!$C$4-$E15)/2)^2))</f>
        <v>849.855764460492</v>
      </c>
      <c r="K15" s="9" t="n">
        <f aca="false">2*Settings!$B$9*ASIN(SQRT(SIN(RADIANS(Settings!$B$5-$D15)/2)^2+COS(RADIANS($D15))*COS(RADIANS(Settings!$B$5))*SIN(RADIANS(Settings!$C$5-$E15)/2)^2))</f>
        <v>1729.49512637926</v>
      </c>
      <c r="L15" s="9" t="n">
        <f aca="false">2*Settings!$B$9*ASIN(SQRT(SIN(RADIANS(Settings!$B$6-$D15)/2)^2+COS(RADIANS($D15))*COS(RADIANS(Settings!$B$6))*SIN(RADIANS(Settings!$C$6-$E15)/2)^2))</f>
        <v>267.532283515376</v>
      </c>
      <c r="M15" s="9" t="n">
        <f aca="false">2*Settings!$B$9*ASIN(SQRT(SIN(RADIANS(Settings!$B$7-$D15)/2)^2+COS(RADIANS($D15))*COS(RADIANS(Settings!$B$7))*SIN(RADIANS(Settings!$C$7-$E15)/2)^2))</f>
        <v>24.8355244218268</v>
      </c>
      <c r="N15" s="8" t="n">
        <f aca="false">J15*Settings!$B$10</f>
        <v>11.8979807024469</v>
      </c>
      <c r="O15" s="8" t="n">
        <f aca="false">K15*Settings!$B$10</f>
        <v>24.2129317693096</v>
      </c>
      <c r="P15" s="8" t="n">
        <f aca="false">L15*Settings!$B$10</f>
        <v>3.74545196921526</v>
      </c>
      <c r="Q15" s="8" t="n">
        <f aca="false">M15*Settings!$B$10</f>
        <v>0.347697341905575</v>
      </c>
      <c r="R15" s="8" t="n">
        <f aca="false">AVERAGE(N15:Q15)</f>
        <v>10.0510154457193</v>
      </c>
      <c r="S15" s="6" t="n">
        <f aca="false">IF(AND(OR(Settings!$B$14=0,F15&lt;5),G15&lt;=Settings!$B$13,OR(H15=0,Settings!$B$15=1),OR(Settings!$B$16=0,I15=0)),1,0)</f>
        <v>1</v>
      </c>
      <c r="T15" s="5" t="n">
        <v>5.5</v>
      </c>
      <c r="U15" s="5" t="n">
        <v>6</v>
      </c>
      <c r="V15" s="8" t="n">
        <f aca="false">R15</f>
        <v>10.0510154457193</v>
      </c>
      <c r="W15" s="5" t="n">
        <v>2</v>
      </c>
      <c r="X15" s="5" t="n">
        <v>8</v>
      </c>
      <c r="Y15" s="5" t="n">
        <v>9</v>
      </c>
      <c r="Z15" s="5" t="n">
        <v>6</v>
      </c>
      <c r="AA15" s="5" t="n">
        <v>8</v>
      </c>
      <c r="AB15" s="5" t="n">
        <v>8</v>
      </c>
      <c r="AC15" s="8" t="n">
        <f aca="false">IF($S15=1,IF(T$4=T$3,5,10*(T15-T$3)/(T$4-T$3)),"")</f>
        <v>4.16666666666667</v>
      </c>
      <c r="AD15" s="8" t="n">
        <f aca="false">IF($S15=1,IF(U$4=U$3,5,10*(U15-U$3)/(U$4-U$3)),"")</f>
        <v>5</v>
      </c>
      <c r="AE15" s="8" t="n">
        <f aca="false">IF($S15=1,IF(V$4=V$3,5,10*(V$4-V15)/(V$4-V$3)),"")</f>
        <v>9.70134547582292</v>
      </c>
      <c r="AF15" s="8" t="n">
        <f aca="false">IF($S15=1,IF(W$4=W$3,5,10*(W15-W$3)/(W$4-W$3)),"")</f>
        <v>1.66666666666667</v>
      </c>
      <c r="AG15" s="8" t="n">
        <f aca="false">IF($S15=1,IF(X$4=X$3,5,10*(X15-X$3)/(X$4-X$3)),"")</f>
        <v>10</v>
      </c>
      <c r="AH15" s="8" t="n">
        <f aca="false">IF($S15=1,IF(Y$4=Y$3,5,10*(Y15-Y$3)/(Y$4-Y$3)),"")</f>
        <v>10</v>
      </c>
      <c r="AI15" s="8" t="n">
        <f aca="false">IF($S15=1,IF(Z$4=Z$3,5,10*(Z15-Z$3)/(Z$4-Z$3)),"")</f>
        <v>5.55555555555556</v>
      </c>
      <c r="AJ15" s="8" t="n">
        <f aca="false">IF($S15=1,IF(AA$4=AA$3,5,10*(AA15-AA$3)/(AA$4-AA$3)),"")</f>
        <v>8.33333333333333</v>
      </c>
      <c r="AK15" s="8" t="n">
        <f aca="false">IF($S15=1,IF(AB$4=AB$3,5,10*(AB15-AB$3)/(AB$4-AB$3)),"")</f>
        <v>7.77777777777778</v>
      </c>
      <c r="AL15" s="10" t="n">
        <f aca="false">IF($S15=1,SUMPRODUCT(AC15:AK15,Settings!$B$21:$J$21),"")</f>
        <v>6.01180121424896</v>
      </c>
      <c r="AM15" s="10" t="n">
        <f aca="false">IF($S15=1,EXP(Settings!$B$21*LN(MAX(AC15,0.5))+Settings!$C$21*LN(MAX(AD15,0.5))+Settings!$D$21*LN(MAX(AE15,0.5))+Settings!$E$21*LN(MAX(AF15,0.5))+Settings!$F$21*LN(MAX(AG15,0.5))+Settings!$G$21*LN(MAX(AH15,0.5))+Settings!$H$21*LN(MAX(AI15,0.5))+Settings!$I$21*LN(MAX(AJ15,0.5))+Settings!$J$21*LN(MAX(AK15,0.5))),"")</f>
        <v>5.19534301365082</v>
      </c>
      <c r="AN15" s="6" t="n">
        <f aca="false">IF($S15=1,COUNTIFS($S$6:$S$55,1,$AL$6:$AL$55,"&gt;"&amp;AL15)+1,"")</f>
        <v>14</v>
      </c>
      <c r="AO15" s="0" t="str">
        <f aca="false">IF($S15=1,IF(AN15&lt;=CEILING(SUM($S$6:$S$55)*Settings!$B$30,1),"A",IF(AN15&lt;=CEILING(SUM($S$6:$S$55)*Settings!$B$31,1),"B","C")),"Excluded")</f>
        <v>A</v>
      </c>
    </row>
    <row r="16" customFormat="false" ht="15" hidden="false" customHeight="false" outlineLevel="0" collapsed="false">
      <c r="A16" s="0" t="s">
        <v>103</v>
      </c>
      <c r="B16" s="2" t="s">
        <v>104</v>
      </c>
      <c r="C16" s="6" t="s">
        <v>100</v>
      </c>
      <c r="D16" s="5" t="n">
        <v>12.97</v>
      </c>
      <c r="E16" s="5" t="n">
        <v>77.59</v>
      </c>
      <c r="F16" s="5" t="n">
        <v>2</v>
      </c>
      <c r="G16" s="5" t="n">
        <v>15</v>
      </c>
      <c r="H16" s="5" t="n">
        <v>1</v>
      </c>
      <c r="I16" s="5" t="n">
        <v>0</v>
      </c>
      <c r="J16" s="9" t="n">
        <f aca="false">2*Settings!$B$9*ASIN(SQRT(SIN(RADIANS(Settings!$B$4-$D16)/2)^2+COS(RADIANS($D16))*COS(RADIANS(Settings!$B$4))*SIN(RADIANS(Settings!$C$4-$E16)/2)^2))</f>
        <v>845.150611727311</v>
      </c>
      <c r="K16" s="9" t="n">
        <f aca="false">2*Settings!$B$9*ASIN(SQRT(SIN(RADIANS(Settings!$B$5-$D16)/2)^2+COS(RADIANS($D16))*COS(RADIANS(Settings!$B$5))*SIN(RADIANS(Settings!$C$5-$E16)/2)^2))</f>
        <v>1739.98023467365</v>
      </c>
      <c r="L16" s="9" t="n">
        <f aca="false">2*Settings!$B$9*ASIN(SQRT(SIN(RADIANS(Settings!$B$6-$D16)/2)^2+COS(RADIANS($D16))*COS(RADIANS(Settings!$B$6))*SIN(RADIANS(Settings!$C$6-$E16)/2)^2))</f>
        <v>290.603953595104</v>
      </c>
      <c r="M16" s="9" t="n">
        <f aca="false">2*Settings!$B$9*ASIN(SQRT(SIN(RADIANS(Settings!$B$7-$D16)/2)^2+COS(RADIANS($D16))*COS(RADIANS(Settings!$B$7))*SIN(RADIANS(Settings!$C$7-$E16)/2)^2))</f>
        <v>0.487154336106103</v>
      </c>
      <c r="N16" s="8" t="n">
        <f aca="false">J16*Settings!$B$10</f>
        <v>11.8321085641824</v>
      </c>
      <c r="O16" s="8" t="n">
        <f aca="false">K16*Settings!$B$10</f>
        <v>24.3597232854311</v>
      </c>
      <c r="P16" s="8" t="n">
        <f aca="false">L16*Settings!$B$10</f>
        <v>4.06845535033145</v>
      </c>
      <c r="Q16" s="8" t="n">
        <f aca="false">M16*Settings!$B$10</f>
        <v>0.00682016070548545</v>
      </c>
      <c r="R16" s="8" t="n">
        <f aca="false">AVERAGE(N16:Q16)</f>
        <v>10.0667768401626</v>
      </c>
      <c r="S16" s="6" t="n">
        <f aca="false">IF(AND(OR(Settings!$B$14=0,F16&lt;5),G16&lt;=Settings!$B$13,OR(H16=0,Settings!$B$15=1),OR(Settings!$B$16=0,I16=0)),1,0)</f>
        <v>1</v>
      </c>
      <c r="T16" s="5" t="n">
        <v>5</v>
      </c>
      <c r="U16" s="5" t="n">
        <v>7</v>
      </c>
      <c r="V16" s="8" t="n">
        <f aca="false">R16</f>
        <v>10.0667768401626</v>
      </c>
      <c r="W16" s="5" t="n">
        <v>1</v>
      </c>
      <c r="X16" s="5" t="n">
        <v>8</v>
      </c>
      <c r="Y16" s="5" t="n">
        <v>8</v>
      </c>
      <c r="Z16" s="5" t="n">
        <v>3</v>
      </c>
      <c r="AA16" s="5" t="n">
        <v>8</v>
      </c>
      <c r="AB16" s="5" t="n">
        <v>10</v>
      </c>
      <c r="AC16" s="8" t="n">
        <f aca="false">IF($S16=1,IF(T$4=T$3,5,10*(T16-T$3)/(T$4-T$3)),"")</f>
        <v>3.33333333333333</v>
      </c>
      <c r="AD16" s="8" t="n">
        <f aca="false">IF($S16=1,IF(U$4=U$3,5,10*(U16-U$3)/(U$4-U$3)),"")</f>
        <v>6.25</v>
      </c>
      <c r="AE16" s="8" t="n">
        <f aca="false">IF($S16=1,IF(V$4=V$3,5,10*(V$4-V16)/(V$4-V$3)),"")</f>
        <v>9.68680438842918</v>
      </c>
      <c r="AF16" s="8" t="n">
        <f aca="false">IF($S16=1,IF(W$4=W$3,5,10*(W16-W$3)/(W$4-W$3)),"")</f>
        <v>0</v>
      </c>
      <c r="AG16" s="8" t="n">
        <f aca="false">IF($S16=1,IF(X$4=X$3,5,10*(X16-X$3)/(X$4-X$3)),"")</f>
        <v>10</v>
      </c>
      <c r="AH16" s="8" t="n">
        <f aca="false">IF($S16=1,IF(Y$4=Y$3,5,10*(Y16-Y$3)/(Y$4-Y$3)),"")</f>
        <v>8.33333333333333</v>
      </c>
      <c r="AI16" s="8" t="n">
        <f aca="false">IF($S16=1,IF(Z$4=Z$3,5,10*(Z16-Z$3)/(Z$4-Z$3)),"")</f>
        <v>2.22222222222222</v>
      </c>
      <c r="AJ16" s="8" t="n">
        <f aca="false">IF($S16=1,IF(AA$4=AA$3,5,10*(AA16-AA$3)/(AA$4-AA$3)),"")</f>
        <v>8.33333333333333</v>
      </c>
      <c r="AK16" s="8" t="n">
        <f aca="false">IF($S16=1,IF(AB$4=AB$3,5,10*(AB16-AB$3)/(AB$4-AB$3)),"")</f>
        <v>10</v>
      </c>
      <c r="AL16" s="10" t="n">
        <f aca="false">IF($S16=1,SUMPRODUCT(AC16:AK16,Settings!$B$21:$J$21),"")</f>
        <v>5.51729154995403</v>
      </c>
      <c r="AM16" s="10" t="n">
        <f aca="false">IF($S16=1,EXP(Settings!$B$21*LN(MAX(AC16,0.5))+Settings!$C$21*LN(MAX(AD16,0.5))+Settings!$D$21*LN(MAX(AE16,0.5))+Settings!$E$21*LN(MAX(AF16,0.5))+Settings!$F$21*LN(MAX(AG16,0.5))+Settings!$G$21*LN(MAX(AH16,0.5))+Settings!$H$21*LN(MAX(AI16,0.5))+Settings!$I$21*LN(MAX(AJ16,0.5))+Settings!$J$21*LN(MAX(AK16,0.5))),"")</f>
        <v>4.02780435978582</v>
      </c>
      <c r="AN16" s="6" t="n">
        <f aca="false">IF($S16=1,COUNTIFS($S$6:$S$55,1,$AL$6:$AL$55,"&gt;"&amp;AL16)+1,"")</f>
        <v>22</v>
      </c>
      <c r="AO16" s="0" t="str">
        <f aca="false">IF($S16=1,IF(AN16&lt;=CEILING(SUM($S$6:$S$55)*Settings!$B$30,1),"A",IF(AN16&lt;=CEILING(SUM($S$6:$S$55)*Settings!$B$31,1),"B","C")),"Excluded")</f>
        <v>B</v>
      </c>
    </row>
    <row r="17" customFormat="false" ht="15" hidden="false" customHeight="false" outlineLevel="0" collapsed="false">
      <c r="A17" s="0" t="s">
        <v>105</v>
      </c>
      <c r="B17" s="2" t="s">
        <v>106</v>
      </c>
      <c r="C17" s="6" t="s">
        <v>100</v>
      </c>
      <c r="D17" s="5" t="n">
        <v>12.91</v>
      </c>
      <c r="E17" s="5" t="n">
        <v>74.86</v>
      </c>
      <c r="F17" s="5" t="n">
        <v>3</v>
      </c>
      <c r="G17" s="5" t="n">
        <v>15</v>
      </c>
      <c r="H17" s="5" t="n">
        <v>0</v>
      </c>
      <c r="I17" s="5" t="n">
        <v>0</v>
      </c>
      <c r="J17" s="9" t="n">
        <f aca="false">2*Settings!$B$9*ASIN(SQRT(SIN(RADIANS(Settings!$B$4-$D17)/2)^2+COS(RADIANS($D17))*COS(RADIANS(Settings!$B$4))*SIN(RADIANS(Settings!$C$4-$E17)/2)^2))</f>
        <v>717.575936520276</v>
      </c>
      <c r="K17" s="9" t="n">
        <f aca="false">2*Settings!$B$9*ASIN(SQRT(SIN(RADIANS(Settings!$B$5-$D17)/2)^2+COS(RADIANS($D17))*COS(RADIANS(Settings!$B$5))*SIN(RADIANS(Settings!$C$5-$E17)/2)^2))</f>
        <v>1763.05022559656</v>
      </c>
      <c r="L17" s="9" t="n">
        <f aca="false">2*Settings!$B$9*ASIN(SQRT(SIN(RADIANS(Settings!$B$6-$D17)/2)^2+COS(RADIANS($D17))*COS(RADIANS(Settings!$B$6))*SIN(RADIANS(Settings!$C$6-$E17)/2)^2))</f>
        <v>586.459058924116</v>
      </c>
      <c r="M17" s="9" t="n">
        <f aca="false">2*Settings!$B$9*ASIN(SQRT(SIN(RADIANS(Settings!$B$7-$D17)/2)^2+COS(RADIANS($D17))*COS(RADIANS(Settings!$B$7))*SIN(RADIANS(Settings!$C$7-$E17)/2)^2))</f>
        <v>296.364285113914</v>
      </c>
      <c r="N17" s="8" t="n">
        <f aca="false">J17*Settings!$B$10</f>
        <v>10.0460631112839</v>
      </c>
      <c r="O17" s="8" t="n">
        <f aca="false">K17*Settings!$B$10</f>
        <v>24.6827031583518</v>
      </c>
      <c r="P17" s="8" t="n">
        <f aca="false">L17*Settings!$B$10</f>
        <v>8.21042682493762</v>
      </c>
      <c r="Q17" s="8" t="n">
        <f aca="false">M17*Settings!$B$10</f>
        <v>4.1490999915948</v>
      </c>
      <c r="R17" s="8" t="n">
        <f aca="false">AVERAGE(N17:Q17)</f>
        <v>11.772073271542</v>
      </c>
      <c r="S17" s="6" t="n">
        <f aca="false">IF(AND(OR(Settings!$B$14=0,F17&lt;5),G17&lt;=Settings!$B$13,OR(H17=0,Settings!$B$15=1),OR(Settings!$B$16=0,I17=0)),1,0)</f>
        <v>1</v>
      </c>
      <c r="T17" s="5" t="n">
        <v>5</v>
      </c>
      <c r="U17" s="5" t="n">
        <v>6</v>
      </c>
      <c r="V17" s="8" t="n">
        <f aca="false">R17</f>
        <v>11.772073271542</v>
      </c>
      <c r="W17" s="5" t="n">
        <v>7</v>
      </c>
      <c r="X17" s="5" t="n">
        <v>2</v>
      </c>
      <c r="Y17" s="5" t="n">
        <v>6</v>
      </c>
      <c r="Z17" s="5" t="n">
        <v>6</v>
      </c>
      <c r="AA17" s="5" t="n">
        <v>8</v>
      </c>
      <c r="AB17" s="5" t="n">
        <v>3</v>
      </c>
      <c r="AC17" s="8" t="n">
        <f aca="false">IF($S17=1,IF(T$4=T$3,5,10*(T17-T$3)/(T$4-T$3)),"")</f>
        <v>3.33333333333333</v>
      </c>
      <c r="AD17" s="8" t="n">
        <f aca="false">IF($S17=1,IF(U$4=U$3,5,10*(U17-U$3)/(U$4-U$3)),"")</f>
        <v>5</v>
      </c>
      <c r="AE17" s="8" t="n">
        <f aca="false">IF($S17=1,IF(V$4=V$3,5,10*(V$4-V17)/(V$4-V$3)),"")</f>
        <v>8.11353848672366</v>
      </c>
      <c r="AF17" s="8" t="n">
        <f aca="false">IF($S17=1,IF(W$4=W$3,5,10*(W17-W$3)/(W$4-W$3)),"")</f>
        <v>10</v>
      </c>
      <c r="AG17" s="8" t="n">
        <f aca="false">IF($S17=1,IF(X$4=X$3,5,10*(X17-X$3)/(X$4-X$3)),"")</f>
        <v>1.42857142857143</v>
      </c>
      <c r="AH17" s="8" t="n">
        <f aca="false">IF($S17=1,IF(Y$4=Y$3,5,10*(Y17-Y$3)/(Y$4-Y$3)),"")</f>
        <v>5</v>
      </c>
      <c r="AI17" s="8" t="n">
        <f aca="false">IF($S17=1,IF(Z$4=Z$3,5,10*(Z17-Z$3)/(Z$4-Z$3)),"")</f>
        <v>5.55555555555556</v>
      </c>
      <c r="AJ17" s="8" t="n">
        <f aca="false">IF($S17=1,IF(AA$4=AA$3,5,10*(AA17-AA$3)/(AA$4-AA$3)),"")</f>
        <v>8.33333333333333</v>
      </c>
      <c r="AK17" s="8" t="n">
        <f aca="false">IF($S17=1,IF(AB$4=AB$3,5,10*(AB17-AB$3)/(AB$4-AB$3)),"")</f>
        <v>2.22222222222222</v>
      </c>
      <c r="AL17" s="10" t="n">
        <f aca="false">IF($S17=1,SUMPRODUCT(AC17:AK17,Settings!$B$21:$J$21),"")</f>
        <v>5.68833797565649</v>
      </c>
      <c r="AM17" s="10" t="n">
        <f aca="false">IF($S17=1,EXP(Settings!$B$21*LN(MAX(AC17,0.5))+Settings!$C$21*LN(MAX(AD17,0.5))+Settings!$D$21*LN(MAX(AE17,0.5))+Settings!$E$21*LN(MAX(AF17,0.5))+Settings!$F$21*LN(MAX(AG17,0.5))+Settings!$G$21*LN(MAX(AH17,0.5))+Settings!$H$21*LN(MAX(AI17,0.5))+Settings!$I$21*LN(MAX(AJ17,0.5))+Settings!$J$21*LN(MAX(AK17,0.5))),"")</f>
        <v>5.02095050107572</v>
      </c>
      <c r="AN17" s="6" t="n">
        <f aca="false">IF($S17=1,COUNTIFS($S$6:$S$55,1,$AL$6:$AL$55,"&gt;"&amp;AL17)+1,"")</f>
        <v>18</v>
      </c>
      <c r="AO17" s="0" t="str">
        <f aca="false">IF($S17=1,IF(AN17&lt;=CEILING(SUM($S$6:$S$55)*Settings!$B$30,1),"A",IF(AN17&lt;=CEILING(SUM($S$6:$S$55)*Settings!$B$31,1),"B","C")),"Excluded")</f>
        <v>B</v>
      </c>
    </row>
    <row r="18" customFormat="false" ht="15" hidden="false" customHeight="false" outlineLevel="0" collapsed="false">
      <c r="A18" s="0" t="s">
        <v>107</v>
      </c>
      <c r="B18" s="2" t="s">
        <v>108</v>
      </c>
      <c r="C18" s="6" t="s">
        <v>109</v>
      </c>
      <c r="D18" s="5" t="n">
        <v>17.1</v>
      </c>
      <c r="E18" s="5" t="n">
        <v>78.2</v>
      </c>
      <c r="F18" s="5" t="n">
        <v>2</v>
      </c>
      <c r="G18" s="5" t="n">
        <v>18</v>
      </c>
      <c r="H18" s="5" t="n">
        <v>0</v>
      </c>
      <c r="I18" s="5" t="n">
        <v>0</v>
      </c>
      <c r="J18" s="9" t="n">
        <f aca="false">2*Settings!$B$9*ASIN(SQRT(SIN(RADIANS(Settings!$B$4-$D18)/2)^2+COS(RADIANS($D18))*COS(RADIANS(Settings!$B$4))*SIN(RADIANS(Settings!$C$4-$E18)/2)^2))</f>
        <v>603.869748162047</v>
      </c>
      <c r="K18" s="9" t="n">
        <f aca="false">2*Settings!$B$9*ASIN(SQRT(SIN(RADIANS(Settings!$B$5-$D18)/2)^2+COS(RADIANS($D18))*COS(RADIANS(Settings!$B$5))*SIN(RADIANS(Settings!$C$5-$E18)/2)^2))</f>
        <v>1284.29797719688</v>
      </c>
      <c r="L18" s="9" t="n">
        <f aca="false">2*Settings!$B$9*ASIN(SQRT(SIN(RADIANS(Settings!$B$6-$D18)/2)^2+COS(RADIANS($D18))*COS(RADIANS(Settings!$B$6))*SIN(RADIANS(Settings!$C$6-$E18)/2)^2))</f>
        <v>498.876274619486</v>
      </c>
      <c r="M18" s="9" t="n">
        <f aca="false">2*Settings!$B$9*ASIN(SQRT(SIN(RADIANS(Settings!$B$7-$D18)/2)^2+COS(RADIANS($D18))*COS(RADIANS(Settings!$B$7))*SIN(RADIANS(Settings!$C$7-$E18)/2)^2))</f>
        <v>463.600492260478</v>
      </c>
      <c r="N18" s="8" t="n">
        <f aca="false">J18*Settings!$B$10</f>
        <v>8.45417647426865</v>
      </c>
      <c r="O18" s="8" t="n">
        <f aca="false">K18*Settings!$B$10</f>
        <v>17.9801716807563</v>
      </c>
      <c r="P18" s="8" t="n">
        <f aca="false">L18*Settings!$B$10</f>
        <v>6.9842678446728</v>
      </c>
      <c r="Q18" s="8" t="n">
        <f aca="false">M18*Settings!$B$10</f>
        <v>6.49040689164669</v>
      </c>
      <c r="R18" s="8" t="n">
        <f aca="false">AVERAGE(N18:Q18)</f>
        <v>9.97725572283611</v>
      </c>
      <c r="S18" s="6" t="n">
        <f aca="false">IF(AND(OR(Settings!$B$14=0,F18&lt;5),G18&lt;=Settings!$B$13,OR(H18=0,Settings!$B$15=1),OR(Settings!$B$16=0,I18=0)),1,0)</f>
        <v>1</v>
      </c>
      <c r="T18" s="5" t="n">
        <v>6.7</v>
      </c>
      <c r="U18" s="5" t="n">
        <v>7</v>
      </c>
      <c r="V18" s="8" t="n">
        <f aca="false">R18</f>
        <v>9.97725572283611</v>
      </c>
      <c r="W18" s="5" t="n">
        <v>6</v>
      </c>
      <c r="X18" s="5" t="n">
        <v>5</v>
      </c>
      <c r="Y18" s="5" t="n">
        <v>9</v>
      </c>
      <c r="Z18" s="5" t="n">
        <v>7</v>
      </c>
      <c r="AA18" s="5" t="n">
        <v>6</v>
      </c>
      <c r="AB18" s="5" t="n">
        <v>9</v>
      </c>
      <c r="AC18" s="8" t="n">
        <f aca="false">IF($S18=1,IF(T$4=T$3,5,10*(T18-T$3)/(T$4-T$3)),"")</f>
        <v>6.16666666666667</v>
      </c>
      <c r="AD18" s="8" t="n">
        <f aca="false">IF($S18=1,IF(U$4=U$3,5,10*(U18-U$3)/(U$4-U$3)),"")</f>
        <v>6.25</v>
      </c>
      <c r="AE18" s="8" t="n">
        <f aca="false">IF($S18=1,IF(V$4=V$3,5,10*(V$4-V18)/(V$4-V$3)),"")</f>
        <v>9.76939444068093</v>
      </c>
      <c r="AF18" s="8" t="n">
        <f aca="false">IF($S18=1,IF(W$4=W$3,5,10*(W18-W$3)/(W$4-W$3)),"")</f>
        <v>8.33333333333333</v>
      </c>
      <c r="AG18" s="8" t="n">
        <f aca="false">IF($S18=1,IF(X$4=X$3,5,10*(X18-X$3)/(X$4-X$3)),"")</f>
        <v>5.71428571428571</v>
      </c>
      <c r="AH18" s="8" t="n">
        <f aca="false">IF($S18=1,IF(Y$4=Y$3,5,10*(Y18-Y$3)/(Y$4-Y$3)),"")</f>
        <v>10</v>
      </c>
      <c r="AI18" s="8" t="n">
        <f aca="false">IF($S18=1,IF(Z$4=Z$3,5,10*(Z18-Z$3)/(Z$4-Z$3)),"")</f>
        <v>6.66666666666667</v>
      </c>
      <c r="AJ18" s="8" t="n">
        <f aca="false">IF($S18=1,IF(AA$4=AA$3,5,10*(AA18-AA$3)/(AA$4-AA$3)),"")</f>
        <v>5</v>
      </c>
      <c r="AK18" s="8" t="n">
        <f aca="false">IF($S18=1,IF(AB$4=AB$3,5,10*(AB18-AB$3)/(AB$4-AB$3)),"")</f>
        <v>8.88888888888889</v>
      </c>
      <c r="AL18" s="10" t="n">
        <f aca="false">IF($S18=1,SUMPRODUCT(AC18:AK18,Settings!$B$21:$J$21),"")</f>
        <v>7.26959817422682</v>
      </c>
      <c r="AM18" s="10" t="n">
        <f aca="false">IF($S18=1,EXP(Settings!$B$21*LN(MAX(AC18,0.5))+Settings!$C$21*LN(MAX(AD18,0.5))+Settings!$D$21*LN(MAX(AE18,0.5))+Settings!$E$21*LN(MAX(AF18,0.5))+Settings!$F$21*LN(MAX(AG18,0.5))+Settings!$G$21*LN(MAX(AH18,0.5))+Settings!$H$21*LN(MAX(AI18,0.5))+Settings!$I$21*LN(MAX(AJ18,0.5))+Settings!$J$21*LN(MAX(AK18,0.5))),"")</f>
        <v>7.08577091738098</v>
      </c>
      <c r="AN18" s="6" t="n">
        <f aca="false">IF($S18=1,COUNTIFS($S$6:$S$55,1,$AL$6:$AL$55,"&gt;"&amp;AL18)+1,"")</f>
        <v>1</v>
      </c>
      <c r="AO18" s="0" t="str">
        <f aca="false">IF($S18=1,IF(AN18&lt;=CEILING(SUM($S$6:$S$55)*Settings!$B$30,1),"A",IF(AN18&lt;=CEILING(SUM($S$6:$S$55)*Settings!$B$31,1),"B","C")),"Excluded")</f>
        <v>A</v>
      </c>
    </row>
    <row r="19" customFormat="false" ht="15" hidden="false" customHeight="false" outlineLevel="0" collapsed="false">
      <c r="A19" s="0" t="s">
        <v>110</v>
      </c>
      <c r="B19" s="2" t="s">
        <v>111</v>
      </c>
      <c r="C19" s="6" t="s">
        <v>109</v>
      </c>
      <c r="D19" s="5" t="n">
        <v>17.44</v>
      </c>
      <c r="E19" s="5" t="n">
        <v>78.35</v>
      </c>
      <c r="F19" s="5" t="n">
        <v>2</v>
      </c>
      <c r="G19" s="5" t="n">
        <v>15</v>
      </c>
      <c r="H19" s="5" t="n">
        <v>0</v>
      </c>
      <c r="I19" s="5" t="n">
        <v>0</v>
      </c>
      <c r="J19" s="9" t="n">
        <f aca="false">2*Settings!$B$9*ASIN(SQRT(SIN(RADIANS(Settings!$B$4-$D19)/2)^2+COS(RADIANS($D19))*COS(RADIANS(Settings!$B$4))*SIN(RADIANS(Settings!$C$4-$E19)/2)^2))</f>
        <v>605.739976896152</v>
      </c>
      <c r="K19" s="9" t="n">
        <f aca="false">2*Settings!$B$9*ASIN(SQRT(SIN(RADIANS(Settings!$B$5-$D19)/2)^2+COS(RADIANS($D19))*COS(RADIANS(Settings!$B$5))*SIN(RADIANS(Settings!$C$5-$E19)/2)^2))</f>
        <v>1247.93979154282</v>
      </c>
      <c r="L19" s="9" t="n">
        <f aca="false">2*Settings!$B$9*ASIN(SQRT(SIN(RADIANS(Settings!$B$6-$D19)/2)^2+COS(RADIANS($D19))*COS(RADIANS(Settings!$B$6))*SIN(RADIANS(Settings!$C$6-$E19)/2)^2))</f>
        <v>526.415889919416</v>
      </c>
      <c r="M19" s="9" t="n">
        <f aca="false">2*Settings!$B$9*ASIN(SQRT(SIN(RADIANS(Settings!$B$7-$D19)/2)^2+COS(RADIANS($D19))*COS(RADIANS(Settings!$B$7))*SIN(RADIANS(Settings!$C$7-$E19)/2)^2))</f>
        <v>503.393942375036</v>
      </c>
      <c r="N19" s="8" t="n">
        <f aca="false">J19*Settings!$B$10</f>
        <v>8.48035967654613</v>
      </c>
      <c r="O19" s="8" t="n">
        <f aca="false">K19*Settings!$B$10</f>
        <v>17.4711570815995</v>
      </c>
      <c r="P19" s="8" t="n">
        <f aca="false">L19*Settings!$B$10</f>
        <v>7.36982245887182</v>
      </c>
      <c r="Q19" s="8" t="n">
        <f aca="false">M19*Settings!$B$10</f>
        <v>7.0475151932505</v>
      </c>
      <c r="R19" s="8" t="n">
        <f aca="false">AVERAGE(N19:Q19)</f>
        <v>10.092213602567</v>
      </c>
      <c r="S19" s="6" t="n">
        <f aca="false">IF(AND(OR(Settings!$B$14=0,F19&lt;5),G19&lt;=Settings!$B$13,OR(H19=0,Settings!$B$15=1),OR(Settings!$B$16=0,I19=0)),1,0)</f>
        <v>1</v>
      </c>
      <c r="T19" s="5" t="n">
        <v>6.5</v>
      </c>
      <c r="U19" s="5" t="n">
        <v>7</v>
      </c>
      <c r="V19" s="8" t="n">
        <f aca="false">R19</f>
        <v>10.092213602567</v>
      </c>
      <c r="W19" s="5" t="n">
        <v>4</v>
      </c>
      <c r="X19" s="5" t="n">
        <v>5</v>
      </c>
      <c r="Y19" s="5" t="n">
        <v>9</v>
      </c>
      <c r="Z19" s="5" t="n">
        <v>3</v>
      </c>
      <c r="AA19" s="5" t="n">
        <v>6</v>
      </c>
      <c r="AB19" s="5" t="n">
        <v>10</v>
      </c>
      <c r="AC19" s="8" t="n">
        <f aca="false">IF($S19=1,IF(T$4=T$3,5,10*(T19-T$3)/(T$4-T$3)),"")</f>
        <v>5.83333333333333</v>
      </c>
      <c r="AD19" s="8" t="n">
        <f aca="false">IF($S19=1,IF(U$4=U$3,5,10*(U19-U$3)/(U$4-U$3)),"")</f>
        <v>6.25</v>
      </c>
      <c r="AE19" s="8" t="n">
        <f aca="false">IF($S19=1,IF(V$4=V$3,5,10*(V$4-V19)/(V$4-V$3)),"")</f>
        <v>9.66333703682731</v>
      </c>
      <c r="AF19" s="8" t="n">
        <f aca="false">IF($S19=1,IF(W$4=W$3,5,10*(W19-W$3)/(W$4-W$3)),"")</f>
        <v>5</v>
      </c>
      <c r="AG19" s="8" t="n">
        <f aca="false">IF($S19=1,IF(X$4=X$3,5,10*(X19-X$3)/(X$4-X$3)),"")</f>
        <v>5.71428571428571</v>
      </c>
      <c r="AH19" s="8" t="n">
        <f aca="false">IF($S19=1,IF(Y$4=Y$3,5,10*(Y19-Y$3)/(Y$4-Y$3)),"")</f>
        <v>10</v>
      </c>
      <c r="AI19" s="8" t="n">
        <f aca="false">IF($S19=1,IF(Z$4=Z$3,5,10*(Z19-Z$3)/(Z$4-Z$3)),"")</f>
        <v>2.22222222222222</v>
      </c>
      <c r="AJ19" s="8" t="n">
        <f aca="false">IF($S19=1,IF(AA$4=AA$3,5,10*(AA19-AA$3)/(AA$4-AA$3)),"")</f>
        <v>5</v>
      </c>
      <c r="AK19" s="8" t="n">
        <f aca="false">IF($S19=1,IF(AB$4=AB$3,5,10*(AB19-AB$3)/(AB$4-AB$3)),"")</f>
        <v>10</v>
      </c>
      <c r="AL19" s="10" t="n">
        <f aca="false">IF($S19=1,SUMPRODUCT(AC19:AK19,Settings!$B$21:$J$21),"")</f>
        <v>6.50899243384146</v>
      </c>
      <c r="AM19" s="10" t="n">
        <f aca="false">IF($S19=1,EXP(Settings!$B$21*LN(MAX(AC19,0.5))+Settings!$C$21*LN(MAX(AD19,0.5))+Settings!$D$21*LN(MAX(AE19,0.5))+Settings!$E$21*LN(MAX(AF19,0.5))+Settings!$F$21*LN(MAX(AG19,0.5))+Settings!$G$21*LN(MAX(AH19,0.5))+Settings!$H$21*LN(MAX(AI19,0.5))+Settings!$I$21*LN(MAX(AJ19,0.5))+Settings!$J$21*LN(MAX(AK19,0.5))),"")</f>
        <v>6.15607478061296</v>
      </c>
      <c r="AN19" s="6" t="n">
        <f aca="false">IF($S19=1,COUNTIFS($S$6:$S$55,1,$AL$6:$AL$55,"&gt;"&amp;AL19)+1,"")</f>
        <v>3</v>
      </c>
      <c r="AO19" s="0" t="str">
        <f aca="false">IF($S19=1,IF(AN19&lt;=CEILING(SUM($S$6:$S$55)*Settings!$B$30,1),"A",IF(AN19&lt;=CEILING(SUM($S$6:$S$55)*Settings!$B$31,1),"B","C")),"Excluded")</f>
        <v>A</v>
      </c>
    </row>
    <row r="20" customFormat="false" ht="15" hidden="false" customHeight="false" outlineLevel="0" collapsed="false">
      <c r="A20" s="0" t="s">
        <v>112</v>
      </c>
      <c r="B20" s="2" t="s">
        <v>113</v>
      </c>
      <c r="C20" s="6" t="s">
        <v>109</v>
      </c>
      <c r="D20" s="5" t="n">
        <v>17.97</v>
      </c>
      <c r="E20" s="5" t="n">
        <v>79.59</v>
      </c>
      <c r="F20" s="5" t="n">
        <v>2</v>
      </c>
      <c r="G20" s="5" t="n">
        <v>10</v>
      </c>
      <c r="H20" s="5" t="n">
        <v>0</v>
      </c>
      <c r="I20" s="5" t="n">
        <v>0</v>
      </c>
      <c r="J20" s="9" t="n">
        <f aca="false">2*Settings!$B$9*ASIN(SQRT(SIN(RADIANS(Settings!$B$4-$D20)/2)^2+COS(RADIANS($D20))*COS(RADIANS(Settings!$B$4))*SIN(RADIANS(Settings!$C$4-$E20)/2)^2))</f>
        <v>718.228837460986</v>
      </c>
      <c r="K20" s="9" t="n">
        <f aca="false">2*Settings!$B$9*ASIN(SQRT(SIN(RADIANS(Settings!$B$5-$D20)/2)^2+COS(RADIANS($D20))*COS(RADIANS(Settings!$B$5))*SIN(RADIANS(Settings!$C$5-$E20)/2)^2))</f>
        <v>1208.17243372147</v>
      </c>
      <c r="L20" s="9" t="n">
        <f aca="false">2*Settings!$B$9*ASIN(SQRT(SIN(RADIANS(Settings!$B$6-$D20)/2)^2+COS(RADIANS($D20))*COS(RADIANS(Settings!$B$6))*SIN(RADIANS(Settings!$C$6-$E20)/2)^2))</f>
        <v>548.26783724352</v>
      </c>
      <c r="M20" s="9" t="n">
        <f aca="false">2*Settings!$B$9*ASIN(SQRT(SIN(RADIANS(Settings!$B$7-$D20)/2)^2+COS(RADIANS($D20))*COS(RADIANS(Settings!$B$7))*SIN(RADIANS(Settings!$C$7-$E20)/2)^2))</f>
        <v>595.465398356605</v>
      </c>
      <c r="N20" s="8" t="n">
        <f aca="false">J20*Settings!$B$10</f>
        <v>10.0552037244538</v>
      </c>
      <c r="O20" s="8" t="n">
        <f aca="false">K20*Settings!$B$10</f>
        <v>16.9144140721006</v>
      </c>
      <c r="P20" s="8" t="n">
        <f aca="false">L20*Settings!$B$10</f>
        <v>7.67574972140929</v>
      </c>
      <c r="Q20" s="8" t="n">
        <f aca="false">M20*Settings!$B$10</f>
        <v>8.33651557699248</v>
      </c>
      <c r="R20" s="8" t="n">
        <f aca="false">AVERAGE(N20:Q20)</f>
        <v>10.745470773739</v>
      </c>
      <c r="S20" s="6" t="n">
        <f aca="false">IF(AND(OR(Settings!$B$14=0,F20&lt;5),G20&lt;=Settings!$B$13,OR(H20=0,Settings!$B$15=1),OR(Settings!$B$16=0,I20=0)),1,0)</f>
        <v>1</v>
      </c>
      <c r="T20" s="5" t="n">
        <v>5.65</v>
      </c>
      <c r="U20" s="5" t="n">
        <v>4</v>
      </c>
      <c r="V20" s="8" t="n">
        <f aca="false">R20</f>
        <v>10.745470773739</v>
      </c>
      <c r="W20" s="5" t="n">
        <v>7</v>
      </c>
      <c r="X20" s="5" t="n">
        <v>5</v>
      </c>
      <c r="Y20" s="5" t="n">
        <v>9</v>
      </c>
      <c r="Z20" s="5" t="n">
        <v>9</v>
      </c>
      <c r="AA20" s="5" t="n">
        <v>6</v>
      </c>
      <c r="AB20" s="5" t="n">
        <v>3</v>
      </c>
      <c r="AC20" s="8" t="n">
        <f aca="false">IF($S20=1,IF(T$4=T$3,5,10*(T20-T$3)/(T$4-T$3)),"")</f>
        <v>4.41666666666667</v>
      </c>
      <c r="AD20" s="8" t="n">
        <f aca="false">IF($S20=1,IF(U$4=U$3,5,10*(U20-U$3)/(U$4-U$3)),"")</f>
        <v>2.5</v>
      </c>
      <c r="AE20" s="8" t="n">
        <f aca="false">IF($S20=1,IF(V$4=V$3,5,10*(V$4-V20)/(V$4-V$3)),"")</f>
        <v>9.06065751815954</v>
      </c>
      <c r="AF20" s="8" t="n">
        <f aca="false">IF($S20=1,IF(W$4=W$3,5,10*(W20-W$3)/(W$4-W$3)),"")</f>
        <v>10</v>
      </c>
      <c r="AG20" s="8" t="n">
        <f aca="false">IF($S20=1,IF(X$4=X$3,5,10*(X20-X$3)/(X$4-X$3)),"")</f>
        <v>5.71428571428571</v>
      </c>
      <c r="AH20" s="8" t="n">
        <f aca="false">IF($S20=1,IF(Y$4=Y$3,5,10*(Y20-Y$3)/(Y$4-Y$3)),"")</f>
        <v>10</v>
      </c>
      <c r="AI20" s="8" t="n">
        <f aca="false">IF($S20=1,IF(Z$4=Z$3,5,10*(Z20-Z$3)/(Z$4-Z$3)),"")</f>
        <v>8.88888888888889</v>
      </c>
      <c r="AJ20" s="8" t="n">
        <f aca="false">IF($S20=1,IF(AA$4=AA$3,5,10*(AA20-AA$3)/(AA$4-AA$3)),"")</f>
        <v>5</v>
      </c>
      <c r="AK20" s="8" t="n">
        <f aca="false">IF($S20=1,IF(AB$4=AB$3,5,10*(AB20-AB$3)/(AB$4-AB$3)),"")</f>
        <v>2.22222222222222</v>
      </c>
      <c r="AL20" s="10" t="n">
        <f aca="false">IF($S20=1,SUMPRODUCT(AC20:AK20,Settings!$B$21:$J$21),"")</f>
        <v>6.22650225975246</v>
      </c>
      <c r="AM20" s="10" t="n">
        <f aca="false">IF($S20=1,EXP(Settings!$B$21*LN(MAX(AC20,0.5))+Settings!$C$21*LN(MAX(AD20,0.5))+Settings!$D$21*LN(MAX(AE20,0.5))+Settings!$E$21*LN(MAX(AF20,0.5))+Settings!$F$21*LN(MAX(AG20,0.5))+Settings!$G$21*LN(MAX(AH20,0.5))+Settings!$H$21*LN(MAX(AI20,0.5))+Settings!$I$21*LN(MAX(AJ20,0.5))+Settings!$J$21*LN(MAX(AK20,0.5))),"")</f>
        <v>5.48538955049459</v>
      </c>
      <c r="AN20" s="6" t="n">
        <f aca="false">IF($S20=1,COUNTIFS($S$6:$S$55,1,$AL$6:$AL$55,"&gt;"&amp;AL20)+1,"")</f>
        <v>8</v>
      </c>
      <c r="AO20" s="0" t="str">
        <f aca="false">IF($S20=1,IF(AN20&lt;=CEILING(SUM($S$6:$S$55)*Settings!$B$30,1),"A",IF(AN20&lt;=CEILING(SUM($S$6:$S$55)*Settings!$B$31,1),"B","C")),"Excluded")</f>
        <v>A</v>
      </c>
    </row>
    <row r="21" customFormat="false" ht="15" hidden="false" customHeight="false" outlineLevel="0" collapsed="false">
      <c r="A21" s="0" t="s">
        <v>114</v>
      </c>
      <c r="B21" s="2" t="s">
        <v>115</v>
      </c>
      <c r="C21" s="6" t="s">
        <v>116</v>
      </c>
      <c r="D21" s="5" t="n">
        <v>17.69</v>
      </c>
      <c r="E21" s="5" t="n">
        <v>83.22</v>
      </c>
      <c r="F21" s="5" t="n">
        <v>2</v>
      </c>
      <c r="G21" s="5" t="n">
        <v>18</v>
      </c>
      <c r="H21" s="5" t="n">
        <v>0</v>
      </c>
      <c r="I21" s="5" t="n">
        <v>1</v>
      </c>
      <c r="J21" s="9" t="n">
        <f aca="false">2*Settings!$B$9*ASIN(SQRT(SIN(RADIANS(Settings!$B$4-$D21)/2)^2+COS(RADIANS($D21))*COS(RADIANS(Settings!$B$4))*SIN(RADIANS(Settings!$C$4-$E21)/2)^2))</f>
        <v>1101.94137405931</v>
      </c>
      <c r="K21" s="9" t="n">
        <f aca="false">2*Settings!$B$9*ASIN(SQRT(SIN(RADIANS(Settings!$B$5-$D21)/2)^2+COS(RADIANS($D21))*COS(RADIANS(Settings!$B$5))*SIN(RADIANS(Settings!$C$5-$E21)/2)^2))</f>
        <v>1360.6396455794</v>
      </c>
      <c r="L21" s="9" t="n">
        <f aca="false">2*Settings!$B$9*ASIN(SQRT(SIN(RADIANS(Settings!$B$6-$D21)/2)^2+COS(RADIANS($D21))*COS(RADIANS(Settings!$B$6))*SIN(RADIANS(Settings!$C$6-$E21)/2)^2))</f>
        <v>601.982896680068</v>
      </c>
      <c r="M21" s="9" t="n">
        <f aca="false">2*Settings!$B$9*ASIN(SQRT(SIN(RADIANS(Settings!$B$7-$D21)/2)^2+COS(RADIANS($D21))*COS(RADIANS(Settings!$B$7))*SIN(RADIANS(Settings!$C$7-$E21)/2)^2))</f>
        <v>799.341789011791</v>
      </c>
      <c r="N21" s="8" t="n">
        <f aca="false">J21*Settings!$B$10</f>
        <v>15.4271792368304</v>
      </c>
      <c r="O21" s="8" t="n">
        <f aca="false">K21*Settings!$B$10</f>
        <v>19.0489550381116</v>
      </c>
      <c r="P21" s="8" t="n">
        <f aca="false">L21*Settings!$B$10</f>
        <v>8.42776055352095</v>
      </c>
      <c r="Q21" s="8" t="n">
        <f aca="false">M21*Settings!$B$10</f>
        <v>11.1907850461651</v>
      </c>
      <c r="R21" s="8" t="n">
        <f aca="false">AVERAGE(N21:Q21)</f>
        <v>13.523669968657</v>
      </c>
      <c r="S21" s="6" t="n">
        <f aca="false">IF(AND(OR(Settings!$B$14=0,F21&lt;5),G21&lt;=Settings!$B$13,OR(H21=0,Settings!$B$15=1),OR(Settings!$B$16=0,I21=0)),1,0)</f>
        <v>1</v>
      </c>
      <c r="T21" s="5" t="n">
        <v>6.55</v>
      </c>
      <c r="U21" s="5" t="n">
        <v>8</v>
      </c>
      <c r="V21" s="8" t="n">
        <f aca="false">R21</f>
        <v>13.523669968657</v>
      </c>
      <c r="W21" s="5" t="n">
        <v>7</v>
      </c>
      <c r="X21" s="5" t="n">
        <v>1</v>
      </c>
      <c r="Y21" s="5" t="n">
        <v>4</v>
      </c>
      <c r="Z21" s="5" t="n">
        <v>9</v>
      </c>
      <c r="AA21" s="5" t="n">
        <v>9</v>
      </c>
      <c r="AB21" s="5" t="n">
        <v>6</v>
      </c>
      <c r="AC21" s="8" t="n">
        <f aca="false">IF($S21=1,IF(T$4=T$3,5,10*(T21-T$3)/(T$4-T$3)),"")</f>
        <v>5.91666666666667</v>
      </c>
      <c r="AD21" s="8" t="n">
        <f aca="false">IF($S21=1,IF(U$4=U$3,5,10*(U21-U$3)/(U$4-U$3)),"")</f>
        <v>7.5</v>
      </c>
      <c r="AE21" s="8" t="n">
        <f aca="false">IF($S21=1,IF(V$4=V$3,5,10*(V$4-V21)/(V$4-V$3)),"")</f>
        <v>6.49755706179222</v>
      </c>
      <c r="AF21" s="8" t="n">
        <f aca="false">IF($S21=1,IF(W$4=W$3,5,10*(W21-W$3)/(W$4-W$3)),"")</f>
        <v>10</v>
      </c>
      <c r="AG21" s="8" t="n">
        <f aca="false">IF($S21=1,IF(X$4=X$3,5,10*(X21-X$3)/(X$4-X$3)),"")</f>
        <v>0</v>
      </c>
      <c r="AH21" s="8" t="n">
        <f aca="false">IF($S21=1,IF(Y$4=Y$3,5,10*(Y21-Y$3)/(Y$4-Y$3)),"")</f>
        <v>1.66666666666667</v>
      </c>
      <c r="AI21" s="8" t="n">
        <f aca="false">IF($S21=1,IF(Z$4=Z$3,5,10*(Z21-Z$3)/(Z$4-Z$3)),"")</f>
        <v>8.88888888888889</v>
      </c>
      <c r="AJ21" s="8" t="n">
        <f aca="false">IF($S21=1,IF(AA$4=AA$3,5,10*(AA21-AA$3)/(AA$4-AA$3)),"")</f>
        <v>10</v>
      </c>
      <c r="AK21" s="8" t="n">
        <f aca="false">IF($S21=1,IF(AB$4=AB$3,5,10*(AB21-AB$3)/(AB$4-AB$3)),"")</f>
        <v>5.55555555555556</v>
      </c>
      <c r="AL21" s="10" t="n">
        <f aca="false">IF($S21=1,SUMPRODUCT(AC21:AK21,Settings!$B$21:$J$21),"")</f>
        <v>6.64281126173478</v>
      </c>
      <c r="AM21" s="10" t="n">
        <f aca="false">IF($S21=1,EXP(Settings!$B$21*LN(MAX(AC21,0.5))+Settings!$C$21*LN(MAX(AD21,0.5))+Settings!$D$21*LN(MAX(AE21,0.5))+Settings!$E$21*LN(MAX(AF21,0.5))+Settings!$F$21*LN(MAX(AG21,0.5))+Settings!$G$21*LN(MAX(AH21,0.5))+Settings!$H$21*LN(MAX(AI21,0.5))+Settings!$I$21*LN(MAX(AJ21,0.5))+Settings!$J$21*LN(MAX(AK21,0.5))),"")</f>
        <v>5.58940525875565</v>
      </c>
      <c r="AN21" s="6" t="n">
        <f aca="false">IF($S21=1,COUNTIFS($S$6:$S$55,1,$AL$6:$AL$55,"&gt;"&amp;AL21)+1,"")</f>
        <v>2</v>
      </c>
      <c r="AO21" s="0" t="str">
        <f aca="false">IF($S21=1,IF(AN21&lt;=CEILING(SUM($S$6:$S$55)*Settings!$B$30,1),"A",IF(AN21&lt;=CEILING(SUM($S$6:$S$55)*Settings!$B$31,1),"B","C")),"Excluded")</f>
        <v>A</v>
      </c>
    </row>
    <row r="22" customFormat="false" ht="15" hidden="false" customHeight="false" outlineLevel="0" collapsed="false">
      <c r="A22" s="0" t="s">
        <v>117</v>
      </c>
      <c r="B22" s="2" t="s">
        <v>118</v>
      </c>
      <c r="C22" s="6" t="s">
        <v>116</v>
      </c>
      <c r="D22" s="5" t="n">
        <v>13.53</v>
      </c>
      <c r="E22" s="5" t="n">
        <v>79.99</v>
      </c>
      <c r="F22" s="5" t="n">
        <v>3</v>
      </c>
      <c r="G22" s="5" t="n">
        <v>5</v>
      </c>
      <c r="H22" s="5" t="n">
        <v>0</v>
      </c>
      <c r="I22" s="5" t="n">
        <v>0</v>
      </c>
      <c r="J22" s="9" t="n">
        <f aca="false">2*Settings!$B$9*ASIN(SQRT(SIN(RADIANS(Settings!$B$4-$D22)/2)^2+COS(RADIANS($D22))*COS(RADIANS(Settings!$B$4))*SIN(RADIANS(Settings!$C$4-$E22)/2)^2))</f>
        <v>977.645280617295</v>
      </c>
      <c r="K22" s="9" t="n">
        <f aca="false">2*Settings!$B$9*ASIN(SQRT(SIN(RADIANS(Settings!$B$5-$D22)/2)^2+COS(RADIANS($D22))*COS(RADIANS(Settings!$B$5))*SIN(RADIANS(Settings!$C$5-$E22)/2)^2))</f>
        <v>1701.69917424453</v>
      </c>
      <c r="L22" s="9" t="n">
        <f aca="false">2*Settings!$B$9*ASIN(SQRT(SIN(RADIANS(Settings!$B$6-$D22)/2)^2+COS(RADIANS($D22))*COS(RADIANS(Settings!$B$6))*SIN(RADIANS(Settings!$C$6-$E22)/2)^2))</f>
        <v>58.210880242995</v>
      </c>
      <c r="M22" s="9" t="n">
        <f aca="false">2*Settings!$B$9*ASIN(SQRT(SIN(RADIANS(Settings!$B$7-$D22)/2)^2+COS(RADIANS($D22))*COS(RADIANS(Settings!$B$7))*SIN(RADIANS(Settings!$C$7-$E22)/2)^2))</f>
        <v>266.646784478717</v>
      </c>
      <c r="N22" s="8" t="n">
        <f aca="false">J22*Settings!$B$10</f>
        <v>13.6870339286421</v>
      </c>
      <c r="O22" s="8" t="n">
        <f aca="false">K22*Settings!$B$10</f>
        <v>23.8237884394235</v>
      </c>
      <c r="P22" s="8" t="n">
        <f aca="false">L22*Settings!$B$10</f>
        <v>0.814952323401929</v>
      </c>
      <c r="Q22" s="8" t="n">
        <f aca="false">M22*Settings!$B$10</f>
        <v>3.73305498270204</v>
      </c>
      <c r="R22" s="8" t="n">
        <f aca="false">AVERAGE(N22:Q22)</f>
        <v>10.5147074185424</v>
      </c>
      <c r="S22" s="6" t="n">
        <f aca="false">IF(AND(OR(Settings!$B$14=0,F22&lt;5),G22&lt;=Settings!$B$13,OR(H22=0,Settings!$B$15=1),OR(Settings!$B$16=0,I22=0)),1,0)</f>
        <v>1</v>
      </c>
      <c r="T22" s="5" t="n">
        <v>6.05</v>
      </c>
      <c r="U22" s="5" t="n">
        <v>7</v>
      </c>
      <c r="V22" s="8" t="n">
        <f aca="false">R22</f>
        <v>10.5147074185424</v>
      </c>
      <c r="W22" s="5" t="n">
        <v>5</v>
      </c>
      <c r="X22" s="5" t="n">
        <v>1</v>
      </c>
      <c r="Y22" s="5" t="n">
        <v>6</v>
      </c>
      <c r="Z22" s="5" t="n">
        <v>8</v>
      </c>
      <c r="AA22" s="5" t="n">
        <v>9</v>
      </c>
      <c r="AB22" s="5" t="n">
        <v>4</v>
      </c>
      <c r="AC22" s="8" t="n">
        <f aca="false">IF($S22=1,IF(T$4=T$3,5,10*(T22-T$3)/(T$4-T$3)),"")</f>
        <v>5.08333333333333</v>
      </c>
      <c r="AD22" s="8" t="n">
        <f aca="false">IF($S22=1,IF(U$4=U$3,5,10*(U22-U$3)/(U$4-U$3)),"")</f>
        <v>6.25</v>
      </c>
      <c r="AE22" s="8" t="n">
        <f aca="false">IF($S22=1,IF(V$4=V$3,5,10*(V$4-V22)/(V$4-V$3)),"")</f>
        <v>9.27355429751911</v>
      </c>
      <c r="AF22" s="8" t="n">
        <f aca="false">IF($S22=1,IF(W$4=W$3,5,10*(W22-W$3)/(W$4-W$3)),"")</f>
        <v>6.66666666666667</v>
      </c>
      <c r="AG22" s="8" t="n">
        <f aca="false">IF($S22=1,IF(X$4=X$3,5,10*(X22-X$3)/(X$4-X$3)),"")</f>
        <v>0</v>
      </c>
      <c r="AH22" s="8" t="n">
        <f aca="false">IF($S22=1,IF(Y$4=Y$3,5,10*(Y22-Y$3)/(Y$4-Y$3)),"")</f>
        <v>5</v>
      </c>
      <c r="AI22" s="8" t="n">
        <f aca="false">IF($S22=1,IF(Z$4=Z$3,5,10*(Z22-Z$3)/(Z$4-Z$3)),"")</f>
        <v>7.77777777777778</v>
      </c>
      <c r="AJ22" s="8" t="n">
        <f aca="false">IF($S22=1,IF(AA$4=AA$3,5,10*(AA22-AA$3)/(AA$4-AA$3)),"")</f>
        <v>10</v>
      </c>
      <c r="AK22" s="8" t="n">
        <f aca="false">IF($S22=1,IF(AB$4=AB$3,5,10*(AB22-AB$3)/(AB$4-AB$3)),"")</f>
        <v>3.33333333333333</v>
      </c>
      <c r="AL22" s="10" t="n">
        <f aca="false">IF($S22=1,SUMPRODUCT(AC22:AK22,Settings!$B$21:$J$21),"")</f>
        <v>6.1912443186408</v>
      </c>
      <c r="AM22" s="10" t="n">
        <f aca="false">IF($S22=1,EXP(Settings!$B$21*LN(MAX(AC22,0.5))+Settings!$C$21*LN(MAX(AD22,0.5))+Settings!$D$21*LN(MAX(AE22,0.5))+Settings!$E$21*LN(MAX(AF22,0.5))+Settings!$F$21*LN(MAX(AG22,0.5))+Settings!$G$21*LN(MAX(AH22,0.5))+Settings!$H$21*LN(MAX(AI22,0.5))+Settings!$I$21*LN(MAX(AJ22,0.5))+Settings!$J$21*LN(MAX(AK22,0.5))),"")</f>
        <v>5.51775353084012</v>
      </c>
      <c r="AN22" s="6" t="n">
        <f aca="false">IF($S22=1,COUNTIFS($S$6:$S$55,1,$AL$6:$AL$55,"&gt;"&amp;AL22)+1,"")</f>
        <v>9</v>
      </c>
      <c r="AO22" s="0" t="str">
        <f aca="false">IF($S22=1,IF(AN22&lt;=CEILING(SUM($S$6:$S$55)*Settings!$B$30,1),"A",IF(AN22&lt;=CEILING(SUM($S$6:$S$55)*Settings!$B$31,1),"B","C")),"Excluded")</f>
        <v>A</v>
      </c>
    </row>
    <row r="23" customFormat="false" ht="15" hidden="false" customHeight="false" outlineLevel="0" collapsed="false">
      <c r="A23" s="0" t="s">
        <v>119</v>
      </c>
      <c r="B23" s="2" t="s">
        <v>120</v>
      </c>
      <c r="C23" s="6" t="s">
        <v>116</v>
      </c>
      <c r="D23" s="5" t="n">
        <v>14.68</v>
      </c>
      <c r="E23" s="5" t="n">
        <v>77.6</v>
      </c>
      <c r="F23" s="5" t="n">
        <v>2</v>
      </c>
      <c r="G23" s="5" t="n">
        <v>15</v>
      </c>
      <c r="H23" s="5" t="n">
        <v>1</v>
      </c>
      <c r="I23" s="5" t="n">
        <v>0</v>
      </c>
      <c r="J23" s="9" t="n">
        <f aca="false">2*Settings!$B$9*ASIN(SQRT(SIN(RADIANS(Settings!$B$4-$D23)/2)^2+COS(RADIANS($D23))*COS(RADIANS(Settings!$B$4))*SIN(RADIANS(Settings!$C$4-$E23)/2)^2))</f>
        <v>700.870410842848</v>
      </c>
      <c r="K23" s="9" t="n">
        <f aca="false">2*Settings!$B$9*ASIN(SQRT(SIN(RADIANS(Settings!$B$5-$D23)/2)^2+COS(RADIANS($D23))*COS(RADIANS(Settings!$B$5))*SIN(RADIANS(Settings!$C$5-$E23)/2)^2))</f>
        <v>1549.91318198771</v>
      </c>
      <c r="L23" s="9" t="n">
        <f aca="false">2*Settings!$B$9*ASIN(SQRT(SIN(RADIANS(Settings!$B$6-$D23)/2)^2+COS(RADIANS($D23))*COS(RADIANS(Settings!$B$6))*SIN(RADIANS(Settings!$C$6-$E23)/2)^2))</f>
        <v>338.522208705699</v>
      </c>
      <c r="M23" s="9" t="n">
        <f aca="false">2*Settings!$B$9*ASIN(SQRT(SIN(RADIANS(Settings!$B$7-$D23)/2)^2+COS(RADIANS($D23))*COS(RADIANS(Settings!$B$7))*SIN(RADIANS(Settings!$C$7-$E23)/2)^2))</f>
        <v>189.922039530112</v>
      </c>
      <c r="N23" s="8" t="n">
        <f aca="false">J23*Settings!$B$10</f>
        <v>9.81218575179987</v>
      </c>
      <c r="O23" s="8" t="n">
        <f aca="false">K23*Settings!$B$10</f>
        <v>21.6987845478279</v>
      </c>
      <c r="P23" s="8" t="n">
        <f aca="false">L23*Settings!$B$10</f>
        <v>4.73931092187978</v>
      </c>
      <c r="Q23" s="8" t="n">
        <f aca="false">M23*Settings!$B$10</f>
        <v>2.65890855342157</v>
      </c>
      <c r="R23" s="8" t="n">
        <f aca="false">AVERAGE(N23:Q23)</f>
        <v>9.72729744373227</v>
      </c>
      <c r="S23" s="6" t="n">
        <f aca="false">IF(AND(OR(Settings!$B$14=0,F23&lt;5),G23&lt;=Settings!$B$13,OR(H23=0,Settings!$B$15=1),OR(Settings!$B$16=0,I23=0)),1,0)</f>
        <v>1</v>
      </c>
      <c r="T23" s="5" t="n">
        <v>7.05</v>
      </c>
      <c r="U23" s="5" t="n">
        <v>3</v>
      </c>
      <c r="V23" s="8" t="n">
        <f aca="false">R23</f>
        <v>9.72729744373227</v>
      </c>
      <c r="W23" s="5" t="n">
        <v>3</v>
      </c>
      <c r="X23" s="5" t="n">
        <v>4</v>
      </c>
      <c r="Y23" s="5" t="n">
        <v>9</v>
      </c>
      <c r="Z23" s="5" t="n">
        <v>10</v>
      </c>
      <c r="AA23" s="5" t="n">
        <v>9</v>
      </c>
      <c r="AB23" s="5" t="n">
        <v>2</v>
      </c>
      <c r="AC23" s="8" t="n">
        <f aca="false">IF($S23=1,IF(T$4=T$3,5,10*(T23-T$3)/(T$4-T$3)),"")</f>
        <v>6.75</v>
      </c>
      <c r="AD23" s="8" t="n">
        <f aca="false">IF($S23=1,IF(U$4=U$3,5,10*(U23-U$3)/(U$4-U$3)),"")</f>
        <v>1.25</v>
      </c>
      <c r="AE23" s="8" t="n">
        <f aca="false">IF($S23=1,IF(V$4=V$3,5,10*(V$4-V23)/(V$4-V$3)),"")</f>
        <v>10</v>
      </c>
      <c r="AF23" s="8" t="n">
        <f aca="false">IF($S23=1,IF(W$4=W$3,5,10*(W23-W$3)/(W$4-W$3)),"")</f>
        <v>3.33333333333333</v>
      </c>
      <c r="AG23" s="8" t="n">
        <f aca="false">IF($S23=1,IF(X$4=X$3,5,10*(X23-X$3)/(X$4-X$3)),"")</f>
        <v>4.28571428571429</v>
      </c>
      <c r="AH23" s="8" t="n">
        <f aca="false">IF($S23=1,IF(Y$4=Y$3,5,10*(Y23-Y$3)/(Y$4-Y$3)),"")</f>
        <v>10</v>
      </c>
      <c r="AI23" s="8" t="n">
        <f aca="false">IF($S23=1,IF(Z$4=Z$3,5,10*(Z23-Z$3)/(Z$4-Z$3)),"")</f>
        <v>10</v>
      </c>
      <c r="AJ23" s="8" t="n">
        <f aca="false">IF($S23=1,IF(AA$4=AA$3,5,10*(AA23-AA$3)/(AA$4-AA$3)),"")</f>
        <v>10</v>
      </c>
      <c r="AK23" s="8" t="n">
        <f aca="false">IF($S23=1,IF(AB$4=AB$3,5,10*(AB23-AB$3)/(AB$4-AB$3)),"")</f>
        <v>1.11111111111111</v>
      </c>
      <c r="AL23" s="10" t="n">
        <f aca="false">IF($S23=1,SUMPRODUCT(AC23:AK23,Settings!$B$21:$J$21),"")</f>
        <v>6.14484126984127</v>
      </c>
      <c r="AM23" s="10" t="n">
        <f aca="false">IF($S23=1,EXP(Settings!$B$21*LN(MAX(AC23,0.5))+Settings!$C$21*LN(MAX(AD23,0.5))+Settings!$D$21*LN(MAX(AE23,0.5))+Settings!$E$21*LN(MAX(AF23,0.5))+Settings!$F$21*LN(MAX(AG23,0.5))+Settings!$G$21*LN(MAX(AH23,0.5))+Settings!$H$21*LN(MAX(AI23,0.5))+Settings!$I$21*LN(MAX(AJ23,0.5))+Settings!$J$21*LN(MAX(AK23,0.5))),"")</f>
        <v>4.83262718064401</v>
      </c>
      <c r="AN23" s="6" t="n">
        <f aca="false">IF($S23=1,COUNTIFS($S$6:$S$55,1,$AL$6:$AL$55,"&gt;"&amp;AL23)+1,"")</f>
        <v>10</v>
      </c>
      <c r="AO23" s="0" t="str">
        <f aca="false">IF($S23=1,IF(AN23&lt;=CEILING(SUM($S$6:$S$55)*Settings!$B$30,1),"A",IF(AN23&lt;=CEILING(SUM($S$6:$S$55)*Settings!$B$31,1),"B","C")),"Excluded")</f>
        <v>A</v>
      </c>
    </row>
    <row r="24" customFormat="false" ht="15" hidden="false" customHeight="false" outlineLevel="0" collapsed="false">
      <c r="A24" s="0" t="s">
        <v>121</v>
      </c>
      <c r="B24" s="2" t="s">
        <v>122</v>
      </c>
      <c r="C24" s="6" t="s">
        <v>116</v>
      </c>
      <c r="D24" s="5" t="n">
        <v>16.51</v>
      </c>
      <c r="E24" s="5" t="n">
        <v>80.52</v>
      </c>
      <c r="F24" s="5" t="n">
        <v>3</v>
      </c>
      <c r="G24" s="5" t="n">
        <v>20</v>
      </c>
      <c r="H24" s="5" t="n">
        <v>0</v>
      </c>
      <c r="I24" s="5" t="n">
        <v>0</v>
      </c>
      <c r="J24" s="9" t="n">
        <f aca="false">2*Settings!$B$9*ASIN(SQRT(SIN(RADIANS(Settings!$B$4-$D24)/2)^2+COS(RADIANS($D24))*COS(RADIANS(Settings!$B$4))*SIN(RADIANS(Settings!$C$4-$E24)/2)^2))</f>
        <v>857.804318463647</v>
      </c>
      <c r="K24" s="9" t="n">
        <f aca="false">2*Settings!$B$9*ASIN(SQRT(SIN(RADIANS(Settings!$B$5-$D24)/2)^2+COS(RADIANS($D24))*COS(RADIANS(Settings!$B$5))*SIN(RADIANS(Settings!$C$5-$E24)/2)^2))</f>
        <v>1387.94446170087</v>
      </c>
      <c r="L24" s="9" t="n">
        <f aca="false">2*Settings!$B$9*ASIN(SQRT(SIN(RADIANS(Settings!$B$6-$D24)/2)^2+COS(RADIANS($D24))*COS(RADIANS(Settings!$B$6))*SIN(RADIANS(Settings!$C$6-$E24)/2)^2))</f>
        <v>382.011324033298</v>
      </c>
      <c r="M24" s="9" t="n">
        <f aca="false">2*Settings!$B$9*ASIN(SQRT(SIN(RADIANS(Settings!$B$7-$D24)/2)^2+COS(RADIANS($D24))*COS(RADIANS(Settings!$B$7))*SIN(RADIANS(Settings!$C$7-$E24)/2)^2))</f>
        <v>503.719434713998</v>
      </c>
      <c r="N24" s="8" t="n">
        <f aca="false">J24*Settings!$B$10</f>
        <v>12.0092604584911</v>
      </c>
      <c r="O24" s="8" t="n">
        <f aca="false">K24*Settings!$B$10</f>
        <v>19.4312224638122</v>
      </c>
      <c r="P24" s="8" t="n">
        <f aca="false">L24*Settings!$B$10</f>
        <v>5.34815853646618</v>
      </c>
      <c r="Q24" s="8" t="n">
        <f aca="false">M24*Settings!$B$10</f>
        <v>7.05207208599598</v>
      </c>
      <c r="R24" s="8" t="n">
        <f aca="false">AVERAGE(N24:Q24)</f>
        <v>10.9601783861914</v>
      </c>
      <c r="S24" s="6" t="n">
        <f aca="false">IF(AND(OR(Settings!$B$14=0,F24&lt;5),G24&lt;=Settings!$B$13,OR(H24=0,Settings!$B$15=1),OR(Settings!$B$16=0,I24=0)),1,0)</f>
        <v>1</v>
      </c>
      <c r="T24" s="5" t="n">
        <v>6.05</v>
      </c>
      <c r="U24" s="5" t="n">
        <v>4</v>
      </c>
      <c r="V24" s="8" t="n">
        <f aca="false">R24</f>
        <v>10.9601783861914</v>
      </c>
      <c r="W24" s="5" t="n">
        <v>7</v>
      </c>
      <c r="X24" s="5" t="n">
        <v>2</v>
      </c>
      <c r="Y24" s="5" t="n">
        <v>6</v>
      </c>
      <c r="Z24" s="5" t="n">
        <v>7</v>
      </c>
      <c r="AA24" s="5" t="n">
        <v>9</v>
      </c>
      <c r="AB24" s="5" t="n">
        <v>3</v>
      </c>
      <c r="AC24" s="8" t="n">
        <f aca="false">IF($S24=1,IF(T$4=T$3,5,10*(T24-T$3)/(T$4-T$3)),"")</f>
        <v>5.08333333333333</v>
      </c>
      <c r="AD24" s="8" t="n">
        <f aca="false">IF($S24=1,IF(U$4=U$3,5,10*(U24-U$3)/(U$4-U$3)),"")</f>
        <v>2.5</v>
      </c>
      <c r="AE24" s="8" t="n">
        <f aca="false">IF($S24=1,IF(V$4=V$3,5,10*(V$4-V24)/(V$4-V$3)),"")</f>
        <v>8.86257338493081</v>
      </c>
      <c r="AF24" s="8" t="n">
        <f aca="false">IF($S24=1,IF(W$4=W$3,5,10*(W24-W$3)/(W$4-W$3)),"")</f>
        <v>10</v>
      </c>
      <c r="AG24" s="8" t="n">
        <f aca="false">IF($S24=1,IF(X$4=X$3,5,10*(X24-X$3)/(X$4-X$3)),"")</f>
        <v>1.42857142857143</v>
      </c>
      <c r="AH24" s="8" t="n">
        <f aca="false">IF($S24=1,IF(Y$4=Y$3,5,10*(Y24-Y$3)/(Y$4-Y$3)),"")</f>
        <v>5</v>
      </c>
      <c r="AI24" s="8" t="n">
        <f aca="false">IF($S24=1,IF(Z$4=Z$3,5,10*(Z24-Z$3)/(Z$4-Z$3)),"")</f>
        <v>6.66666666666667</v>
      </c>
      <c r="AJ24" s="8" t="n">
        <f aca="false">IF($S24=1,IF(AA$4=AA$3,5,10*(AA24-AA$3)/(AA$4-AA$3)),"")</f>
        <v>10</v>
      </c>
      <c r="AK24" s="8" t="n">
        <f aca="false">IF($S24=1,IF(AB$4=AB$3,5,10*(AB24-AB$3)/(AB$4-AB$3)),"")</f>
        <v>2.22222222222222</v>
      </c>
      <c r="AL24" s="10" t="n">
        <f aca="false">IF($S24=1,SUMPRODUCT(AC24:AK24,Settings!$B$21:$J$21),"")</f>
        <v>6.04796368769943</v>
      </c>
      <c r="AM24" s="10" t="n">
        <f aca="false">IF($S24=1,EXP(Settings!$B$21*LN(MAX(AC24,0.5))+Settings!$C$21*LN(MAX(AD24,0.5))+Settings!$D$21*LN(MAX(AE24,0.5))+Settings!$E$21*LN(MAX(AF24,0.5))+Settings!$F$21*LN(MAX(AG24,0.5))+Settings!$G$21*LN(MAX(AH24,0.5))+Settings!$H$21*LN(MAX(AI24,0.5))+Settings!$I$21*LN(MAX(AJ24,0.5))+Settings!$J$21*LN(MAX(AK24,0.5))),"")</f>
        <v>5.21388013585214</v>
      </c>
      <c r="AN24" s="6" t="n">
        <f aca="false">IF($S24=1,COUNTIFS($S$6:$S$55,1,$AL$6:$AL$55,"&gt;"&amp;AL24)+1,"")</f>
        <v>12</v>
      </c>
      <c r="AO24" s="0" t="str">
        <f aca="false">IF($S24=1,IF(AN24&lt;=CEILING(SUM($S$6:$S$55)*Settings!$B$30,1),"A",IF(AN24&lt;=CEILING(SUM($S$6:$S$55)*Settings!$B$31,1),"B","C")),"Excluded")</f>
        <v>A</v>
      </c>
    </row>
    <row r="25" customFormat="false" ht="15" hidden="false" customHeight="false" outlineLevel="0" collapsed="false">
      <c r="A25" s="0" t="s">
        <v>123</v>
      </c>
      <c r="B25" s="2" t="s">
        <v>124</v>
      </c>
      <c r="C25" s="6" t="s">
        <v>125</v>
      </c>
      <c r="D25" s="5" t="n">
        <v>28.47</v>
      </c>
      <c r="E25" s="5" t="n">
        <v>77.5</v>
      </c>
      <c r="F25" s="5" t="n">
        <v>4</v>
      </c>
      <c r="G25" s="5" t="n">
        <v>10</v>
      </c>
      <c r="H25" s="5" t="n">
        <v>0</v>
      </c>
      <c r="I25" s="5" t="n">
        <v>0</v>
      </c>
      <c r="J25" s="9" t="n">
        <f aca="false">2*Settings!$B$9*ASIN(SQRT(SIN(RADIANS(Settings!$B$4-$D25)/2)^2+COS(RADIANS($D25))*COS(RADIANS(Settings!$B$4))*SIN(RADIANS(Settings!$C$4-$E25)/2)^2))</f>
        <v>1145.2190291444</v>
      </c>
      <c r="K25" s="9" t="n">
        <f aca="false">2*Settings!$B$9*ASIN(SQRT(SIN(RADIANS(Settings!$B$5-$D25)/2)^2+COS(RADIANS($D25))*COS(RADIANS(Settings!$B$5))*SIN(RADIANS(Settings!$C$5-$E25)/2)^2))</f>
        <v>32.6247899368941</v>
      </c>
      <c r="L25" s="9" t="n">
        <f aca="false">2*Settings!$B$9*ASIN(SQRT(SIN(RADIANS(Settings!$B$6-$D25)/2)^2+COS(RADIANS($D25))*COS(RADIANS(Settings!$B$6))*SIN(RADIANS(Settings!$C$6-$E25)/2)^2))</f>
        <v>1734.81603640382</v>
      </c>
      <c r="M25" s="9" t="n">
        <f aca="false">2*Settings!$B$9*ASIN(SQRT(SIN(RADIANS(Settings!$B$7-$D25)/2)^2+COS(RADIANS($D25))*COS(RADIANS(Settings!$B$7))*SIN(RADIANS(Settings!$C$7-$E25)/2)^2))</f>
        <v>1723.32646063408</v>
      </c>
      <c r="N25" s="8" t="n">
        <f aca="false">J25*Settings!$B$10</f>
        <v>16.0330664080216</v>
      </c>
      <c r="O25" s="8" t="n">
        <f aca="false">K25*Settings!$B$10</f>
        <v>0.456747059116517</v>
      </c>
      <c r="P25" s="8" t="n">
        <f aca="false">L25*Settings!$B$10</f>
        <v>24.2874245096535</v>
      </c>
      <c r="Q25" s="8" t="n">
        <f aca="false">M25*Settings!$B$10</f>
        <v>24.1265704488772</v>
      </c>
      <c r="R25" s="8" t="n">
        <f aca="false">AVERAGE(N25:Q25)</f>
        <v>16.2259521064172</v>
      </c>
      <c r="S25" s="6" t="n">
        <f aca="false">IF(AND(OR(Settings!$B$14=0,F25&lt;5),G25&lt;=Settings!$B$13,OR(H25=0,Settings!$B$15=1),OR(Settings!$B$16=0,I25=0)),1,0)</f>
        <v>1</v>
      </c>
      <c r="T25" s="5" t="n">
        <v>6.35</v>
      </c>
      <c r="U25" s="5" t="n">
        <v>8</v>
      </c>
      <c r="V25" s="8" t="n">
        <f aca="false">R25</f>
        <v>16.2259521064172</v>
      </c>
      <c r="W25" s="5" t="n">
        <v>4</v>
      </c>
      <c r="X25" s="5" t="n">
        <v>4</v>
      </c>
      <c r="Y25" s="5" t="n">
        <v>6</v>
      </c>
      <c r="Z25" s="5" t="n">
        <v>7</v>
      </c>
      <c r="AA25" s="5" t="n">
        <v>9</v>
      </c>
      <c r="AB25" s="5" t="n">
        <v>8</v>
      </c>
      <c r="AC25" s="8" t="n">
        <f aca="false">IF($S25=1,IF(T$4=T$3,5,10*(T25-T$3)/(T$4-T$3)),"")</f>
        <v>5.58333333333333</v>
      </c>
      <c r="AD25" s="8" t="n">
        <f aca="false">IF($S25=1,IF(U$4=U$3,5,10*(U25-U$3)/(U$4-U$3)),"")</f>
        <v>7.5</v>
      </c>
      <c r="AE25" s="8" t="n">
        <f aca="false">IF($S25=1,IF(V$4=V$3,5,10*(V$4-V25)/(V$4-V$3)),"")</f>
        <v>4.00449587554025</v>
      </c>
      <c r="AF25" s="8" t="n">
        <f aca="false">IF($S25=1,IF(W$4=W$3,5,10*(W25-W$3)/(W$4-W$3)),"")</f>
        <v>5</v>
      </c>
      <c r="AG25" s="8" t="n">
        <f aca="false">IF($S25=1,IF(X$4=X$3,5,10*(X25-X$3)/(X$4-X$3)),"")</f>
        <v>4.28571428571429</v>
      </c>
      <c r="AH25" s="8" t="n">
        <f aca="false">IF($S25=1,IF(Y$4=Y$3,5,10*(Y25-Y$3)/(Y$4-Y$3)),"")</f>
        <v>5</v>
      </c>
      <c r="AI25" s="8" t="n">
        <f aca="false">IF($S25=1,IF(Z$4=Z$3,5,10*(Z25-Z$3)/(Z$4-Z$3)),"")</f>
        <v>6.66666666666667</v>
      </c>
      <c r="AJ25" s="8" t="n">
        <f aca="false">IF($S25=1,IF(AA$4=AA$3,5,10*(AA25-AA$3)/(AA$4-AA$3)),"")</f>
        <v>10</v>
      </c>
      <c r="AK25" s="8" t="n">
        <f aca="false">IF($S25=1,IF(AB$4=AB$3,5,10*(AB25-AB$3)/(AB$4-AB$3)),"")</f>
        <v>7.77777777777778</v>
      </c>
      <c r="AL25" s="10" t="n">
        <f aca="false">IF($S25=1,SUMPRODUCT(AC25:AK25,Settings!$B$21:$J$21),"")</f>
        <v>6.1077908573953</v>
      </c>
      <c r="AM25" s="10" t="n">
        <f aca="false">IF($S25=1,EXP(Settings!$B$21*LN(MAX(AC25,0.5))+Settings!$C$21*LN(MAX(AD25,0.5))+Settings!$D$21*LN(MAX(AE25,0.5))+Settings!$E$21*LN(MAX(AF25,0.5))+Settings!$F$21*LN(MAX(AG25,0.5))+Settings!$G$21*LN(MAX(AH25,0.5))+Settings!$H$21*LN(MAX(AI25,0.5))+Settings!$I$21*LN(MAX(AJ25,0.5))+Settings!$J$21*LN(MAX(AK25,0.5))),"")</f>
        <v>5.89276658894479</v>
      </c>
      <c r="AN25" s="6" t="n">
        <f aca="false">IF($S25=1,COUNTIFS($S$6:$S$55,1,$AL$6:$AL$55,"&gt;"&amp;AL25)+1,"")</f>
        <v>11</v>
      </c>
      <c r="AO25" s="0" t="str">
        <f aca="false">IF($S25=1,IF(AN25&lt;=CEILING(SUM($S$6:$S$55)*Settings!$B$30,1),"A",IF(AN25&lt;=CEILING(SUM($S$6:$S$55)*Settings!$B$31,1),"B","C")),"Excluded")</f>
        <v>A</v>
      </c>
    </row>
    <row r="26" customFormat="false" ht="15" hidden="false" customHeight="false" outlineLevel="0" collapsed="false">
      <c r="A26" s="0" t="s">
        <v>126</v>
      </c>
      <c r="B26" s="2" t="s">
        <v>127</v>
      </c>
      <c r="C26" s="6" t="s">
        <v>125</v>
      </c>
      <c r="D26" s="5" t="n">
        <v>28.54</v>
      </c>
      <c r="E26" s="5" t="n">
        <v>77.39</v>
      </c>
      <c r="F26" s="5" t="n">
        <v>4</v>
      </c>
      <c r="G26" s="5" t="n">
        <v>8</v>
      </c>
      <c r="H26" s="5" t="n">
        <v>1</v>
      </c>
      <c r="I26" s="5" t="n">
        <v>0</v>
      </c>
      <c r="J26" s="9" t="n">
        <f aca="false">2*Settings!$B$9*ASIN(SQRT(SIN(RADIANS(Settings!$B$4-$D26)/2)^2+COS(RADIANS($D26))*COS(RADIANS(Settings!$B$4))*SIN(RADIANS(Settings!$C$4-$E26)/2)^2))</f>
        <v>1147.76196084575</v>
      </c>
      <c r="K26" s="9" t="n">
        <f aca="false">2*Settings!$B$9*ASIN(SQRT(SIN(RADIANS(Settings!$B$5-$D26)/2)^2+COS(RADIANS($D26))*COS(RADIANS(Settings!$B$5))*SIN(RADIANS(Settings!$C$5-$E26)/2)^2))</f>
        <v>19.4959277842402</v>
      </c>
      <c r="L26" s="9" t="n">
        <f aca="false">2*Settings!$B$9*ASIN(SQRT(SIN(RADIANS(Settings!$B$6-$D26)/2)^2+COS(RADIANS($D26))*COS(RADIANS(Settings!$B$6))*SIN(RADIANS(Settings!$C$6-$E26)/2)^2))</f>
        <v>1744.38878561725</v>
      </c>
      <c r="M26" s="9" t="n">
        <f aca="false">2*Settings!$B$9*ASIN(SQRT(SIN(RADIANS(Settings!$B$7-$D26)/2)^2+COS(RADIANS($D26))*COS(RADIANS(Settings!$B$7))*SIN(RADIANS(Settings!$C$7-$E26)/2)^2))</f>
        <v>1731.2114221801</v>
      </c>
      <c r="N26" s="8" t="n">
        <f aca="false">J26*Settings!$B$10</f>
        <v>16.0686674518405</v>
      </c>
      <c r="O26" s="8" t="n">
        <f aca="false">K26*Settings!$B$10</f>
        <v>0.272942988979363</v>
      </c>
      <c r="P26" s="8" t="n">
        <f aca="false">L26*Settings!$B$10</f>
        <v>24.4214429986415</v>
      </c>
      <c r="Q26" s="8" t="n">
        <f aca="false">M26*Settings!$B$10</f>
        <v>24.2369599105215</v>
      </c>
      <c r="R26" s="8" t="n">
        <f aca="false">AVERAGE(N26:Q26)</f>
        <v>16.2500033374957</v>
      </c>
      <c r="S26" s="6" t="n">
        <f aca="false">IF(AND(OR(Settings!$B$14=0,F26&lt;5),G26&lt;=Settings!$B$13,OR(H26=0,Settings!$B$15=1),OR(Settings!$B$16=0,I26=0)),1,0)</f>
        <v>1</v>
      </c>
      <c r="T26" s="5" t="n">
        <v>5.35</v>
      </c>
      <c r="U26" s="5" t="n">
        <v>9</v>
      </c>
      <c r="V26" s="8" t="n">
        <f aca="false">R26</f>
        <v>16.2500033374957</v>
      </c>
      <c r="W26" s="5" t="n">
        <v>3</v>
      </c>
      <c r="X26" s="5" t="n">
        <v>4</v>
      </c>
      <c r="Y26" s="5" t="n">
        <v>6</v>
      </c>
      <c r="Z26" s="5" t="n">
        <v>4</v>
      </c>
      <c r="AA26" s="5" t="n">
        <v>9</v>
      </c>
      <c r="AB26" s="5" t="n">
        <v>9</v>
      </c>
      <c r="AC26" s="8" t="n">
        <f aca="false">IF($S26=1,IF(T$4=T$3,5,10*(T26-T$3)/(T$4-T$3)),"")</f>
        <v>3.91666666666667</v>
      </c>
      <c r="AD26" s="8" t="n">
        <f aca="false">IF($S26=1,IF(U$4=U$3,5,10*(U26-U$3)/(U$4-U$3)),"")</f>
        <v>8.75</v>
      </c>
      <c r="AE26" s="8" t="n">
        <f aca="false">IF($S26=1,IF(V$4=V$3,5,10*(V$4-V26)/(V$4-V$3)),"")</f>
        <v>3.98230678216412</v>
      </c>
      <c r="AF26" s="8" t="n">
        <f aca="false">IF($S26=1,IF(W$4=W$3,5,10*(W26-W$3)/(W$4-W$3)),"")</f>
        <v>3.33333333333333</v>
      </c>
      <c r="AG26" s="8" t="n">
        <f aca="false">IF($S26=1,IF(X$4=X$3,5,10*(X26-X$3)/(X$4-X$3)),"")</f>
        <v>4.28571428571429</v>
      </c>
      <c r="AH26" s="8" t="n">
        <f aca="false">IF($S26=1,IF(Y$4=Y$3,5,10*(Y26-Y$3)/(Y$4-Y$3)),"")</f>
        <v>5</v>
      </c>
      <c r="AI26" s="8" t="n">
        <f aca="false">IF($S26=1,IF(Z$4=Z$3,5,10*(Z26-Z$3)/(Z$4-Z$3)),"")</f>
        <v>3.33333333333333</v>
      </c>
      <c r="AJ26" s="8" t="n">
        <f aca="false">IF($S26=1,IF(AA$4=AA$3,5,10*(AA26-AA$3)/(AA$4-AA$3)),"")</f>
        <v>10</v>
      </c>
      <c r="AK26" s="8" t="n">
        <f aca="false">IF($S26=1,IF(AB$4=AB$3,5,10*(AB26-AB$3)/(AB$4-AB$3)),"")</f>
        <v>8.88888888888889</v>
      </c>
      <c r="AL26" s="10" t="n">
        <f aca="false">IF($S26=1,SUMPRODUCT(AC26:AK26,Settings!$B$21:$J$21),"")</f>
        <v>5.5152941702799</v>
      </c>
      <c r="AM26" s="10" t="n">
        <f aca="false">IF($S26=1,EXP(Settings!$B$21*LN(MAX(AC26,0.5))+Settings!$C$21*LN(MAX(AD26,0.5))+Settings!$D$21*LN(MAX(AE26,0.5))+Settings!$E$21*LN(MAX(AF26,0.5))+Settings!$F$21*LN(MAX(AG26,0.5))+Settings!$G$21*LN(MAX(AH26,0.5))+Settings!$H$21*LN(MAX(AI26,0.5))+Settings!$I$21*LN(MAX(AJ26,0.5))+Settings!$J$21*LN(MAX(AK26,0.5))),"")</f>
        <v>5.04731159158154</v>
      </c>
      <c r="AN26" s="6" t="n">
        <f aca="false">IF($S26=1,COUNTIFS($S$6:$S$55,1,$AL$6:$AL$55,"&gt;"&amp;AL26)+1,"")</f>
        <v>23</v>
      </c>
      <c r="AO26" s="0" t="str">
        <f aca="false">IF($S26=1,IF(AN26&lt;=CEILING(SUM($S$6:$S$55)*Settings!$B$30,1),"A",IF(AN26&lt;=CEILING(SUM($S$6:$S$55)*Settings!$B$31,1),"B","C")),"Excluded")</f>
        <v>B</v>
      </c>
    </row>
    <row r="27" customFormat="false" ht="15" hidden="false" customHeight="false" outlineLevel="0" collapsed="false">
      <c r="A27" s="0" t="s">
        <v>128</v>
      </c>
      <c r="B27" s="2" t="s">
        <v>129</v>
      </c>
      <c r="C27" s="6" t="s">
        <v>125</v>
      </c>
      <c r="D27" s="5" t="n">
        <v>28.17</v>
      </c>
      <c r="E27" s="5" t="n">
        <v>77.6</v>
      </c>
      <c r="F27" s="5" t="n">
        <v>4</v>
      </c>
      <c r="G27" s="5" t="n">
        <v>15</v>
      </c>
      <c r="H27" s="5" t="n">
        <v>0</v>
      </c>
      <c r="I27" s="5" t="n">
        <v>0</v>
      </c>
      <c r="J27" s="9" t="n">
        <f aca="false">2*Settings!$B$9*ASIN(SQRT(SIN(RADIANS(Settings!$B$4-$D27)/2)^2+COS(RADIANS($D27))*COS(RADIANS(Settings!$B$4))*SIN(RADIANS(Settings!$C$4-$E27)/2)^2))</f>
        <v>1119.45261830422</v>
      </c>
      <c r="K27" s="9" t="n">
        <f aca="false">2*Settings!$B$9*ASIN(SQRT(SIN(RADIANS(Settings!$B$5-$D27)/2)^2+COS(RADIANS($D27))*COS(RADIANS(Settings!$B$5))*SIN(RADIANS(Settings!$C$5-$E27)/2)^2))</f>
        <v>62.4524750734485</v>
      </c>
      <c r="L27" s="9" t="n">
        <f aca="false">2*Settings!$B$9*ASIN(SQRT(SIN(RADIANS(Settings!$B$6-$D27)/2)^2+COS(RADIANS($D27))*COS(RADIANS(Settings!$B$6))*SIN(RADIANS(Settings!$C$6-$E27)/2)^2))</f>
        <v>1700.26497912545</v>
      </c>
      <c r="M27" s="9" t="n">
        <f aca="false">2*Settings!$B$9*ASIN(SQRT(SIN(RADIANS(Settings!$B$7-$D27)/2)^2+COS(RADIANS($D27))*COS(RADIANS(Settings!$B$7))*SIN(RADIANS(Settings!$C$7-$E27)/2)^2))</f>
        <v>1689.94060961516</v>
      </c>
      <c r="N27" s="8" t="n">
        <f aca="false">J27*Settings!$B$10</f>
        <v>15.6723366562591</v>
      </c>
      <c r="O27" s="8" t="n">
        <f aca="false">K27*Settings!$B$10</f>
        <v>0.87433465102828</v>
      </c>
      <c r="P27" s="8" t="n">
        <f aca="false">L27*Settings!$B$10</f>
        <v>23.8037097077563</v>
      </c>
      <c r="Q27" s="8" t="n">
        <f aca="false">M27*Settings!$B$10</f>
        <v>23.6591685346122</v>
      </c>
      <c r="R27" s="8" t="n">
        <f aca="false">AVERAGE(N27:Q27)</f>
        <v>16.002387387414</v>
      </c>
      <c r="S27" s="6" t="n">
        <f aca="false">IF(AND(OR(Settings!$B$14=0,F27&lt;5),G27&lt;=Settings!$B$13,OR(H27=0,Settings!$B$15=1),OR(Settings!$B$16=0,I27=0)),1,0)</f>
        <v>1</v>
      </c>
      <c r="T27" s="5" t="n">
        <v>5.35</v>
      </c>
      <c r="U27" s="5" t="n">
        <v>6</v>
      </c>
      <c r="V27" s="8" t="n">
        <f aca="false">R27</f>
        <v>16.002387387414</v>
      </c>
      <c r="W27" s="5" t="n">
        <v>5</v>
      </c>
      <c r="X27" s="5" t="n">
        <v>4</v>
      </c>
      <c r="Y27" s="5" t="n">
        <v>6</v>
      </c>
      <c r="Z27" s="5" t="n">
        <v>9</v>
      </c>
      <c r="AA27" s="5" t="n">
        <v>9</v>
      </c>
      <c r="AB27" s="5" t="n">
        <v>5</v>
      </c>
      <c r="AC27" s="8" t="n">
        <f aca="false">IF($S27=1,IF(T$4=T$3,5,10*(T27-T$3)/(T$4-T$3)),"")</f>
        <v>3.91666666666667</v>
      </c>
      <c r="AD27" s="8" t="n">
        <f aca="false">IF($S27=1,IF(U$4=U$3,5,10*(U27-U$3)/(U$4-U$3)),"")</f>
        <v>5</v>
      </c>
      <c r="AE27" s="8" t="n">
        <f aca="false">IF($S27=1,IF(V$4=V$3,5,10*(V$4-V27)/(V$4-V$3)),"")</f>
        <v>4.21075136447459</v>
      </c>
      <c r="AF27" s="8" t="n">
        <f aca="false">IF($S27=1,IF(W$4=W$3,5,10*(W27-W$3)/(W$4-W$3)),"")</f>
        <v>6.66666666666667</v>
      </c>
      <c r="AG27" s="8" t="n">
        <f aca="false">IF($S27=1,IF(X$4=X$3,5,10*(X27-X$3)/(X$4-X$3)),"")</f>
        <v>4.28571428571429</v>
      </c>
      <c r="AH27" s="8" t="n">
        <f aca="false">IF($S27=1,IF(Y$4=Y$3,5,10*(Y27-Y$3)/(Y$4-Y$3)),"")</f>
        <v>5</v>
      </c>
      <c r="AI27" s="8" t="n">
        <f aca="false">IF($S27=1,IF(Z$4=Z$3,5,10*(Z27-Z$3)/(Z$4-Z$3)),"")</f>
        <v>8.88888888888889</v>
      </c>
      <c r="AJ27" s="8" t="n">
        <f aca="false">IF($S27=1,IF(AA$4=AA$3,5,10*(AA27-AA$3)/(AA$4-AA$3)),"")</f>
        <v>10</v>
      </c>
      <c r="AK27" s="8" t="n">
        <f aca="false">IF($S27=1,IF(AB$4=AB$3,5,10*(AB27-AB$3)/(AB$4-AB$3)),"")</f>
        <v>4.44444444444445</v>
      </c>
      <c r="AL27" s="10" t="n">
        <f aca="false">IF($S27=1,SUMPRODUCT(AC27:AK27,Settings!$B$21:$J$21),"")</f>
        <v>5.53119418406651</v>
      </c>
      <c r="AM27" s="10" t="n">
        <f aca="false">IF($S27=1,EXP(Settings!$B$21*LN(MAX(AC27,0.5))+Settings!$C$21*LN(MAX(AD27,0.5))+Settings!$D$21*LN(MAX(AE27,0.5))+Settings!$E$21*LN(MAX(AF27,0.5))+Settings!$F$21*LN(MAX(AG27,0.5))+Settings!$G$21*LN(MAX(AH27,0.5))+Settings!$H$21*LN(MAX(AI27,0.5))+Settings!$I$21*LN(MAX(AJ27,0.5))+Settings!$J$21*LN(MAX(AK27,0.5))),"")</f>
        <v>5.25325319965035</v>
      </c>
      <c r="AN27" s="6" t="n">
        <f aca="false">IF($S27=1,COUNTIFS($S$6:$S$55,1,$AL$6:$AL$55,"&gt;"&amp;AL27)+1,"")</f>
        <v>21</v>
      </c>
      <c r="AO27" s="0" t="str">
        <f aca="false">IF($S27=1,IF(AN27&lt;=CEILING(SUM($S$6:$S$55)*Settings!$B$30,1),"A",IF(AN27&lt;=CEILING(SUM($S$6:$S$55)*Settings!$B$31,1),"B","C")),"Excluded")</f>
        <v>B</v>
      </c>
    </row>
    <row r="28" customFormat="false" ht="15" hidden="false" customHeight="false" outlineLevel="0" collapsed="false">
      <c r="A28" s="0" t="s">
        <v>130</v>
      </c>
      <c r="B28" s="2" t="s">
        <v>131</v>
      </c>
      <c r="C28" s="6" t="s">
        <v>125</v>
      </c>
      <c r="D28" s="5" t="n">
        <v>26.85</v>
      </c>
      <c r="E28" s="5" t="n">
        <v>80.95</v>
      </c>
      <c r="F28" s="5" t="n">
        <v>3</v>
      </c>
      <c r="G28" s="5" t="n">
        <v>15</v>
      </c>
      <c r="H28" s="5" t="n">
        <v>1</v>
      </c>
      <c r="I28" s="5" t="n">
        <v>0</v>
      </c>
      <c r="J28" s="9" t="n">
        <f aca="false">2*Settings!$B$9*ASIN(SQRT(SIN(RADIANS(Settings!$B$4-$D28)/2)^2+COS(RADIANS($D28))*COS(RADIANS(Settings!$B$4))*SIN(RADIANS(Settings!$C$4-$E28)/2)^2))</f>
        <v>1195.17963865884</v>
      </c>
      <c r="K28" s="9" t="n">
        <f aca="false">2*Settings!$B$9*ASIN(SQRT(SIN(RADIANS(Settings!$B$5-$D28)/2)^2+COS(RADIANS($D28))*COS(RADIANS(Settings!$B$5))*SIN(RADIANS(Settings!$C$5-$E28)/2)^2))</f>
        <v>417.149683796164</v>
      </c>
      <c r="L28" s="9" t="n">
        <f aca="false">2*Settings!$B$9*ASIN(SQRT(SIN(RADIANS(Settings!$B$6-$D28)/2)^2+COS(RADIANS($D28))*COS(RADIANS(Settings!$B$6))*SIN(RADIANS(Settings!$C$6-$E28)/2)^2))</f>
        <v>1532.45821682555</v>
      </c>
      <c r="M28" s="9" t="n">
        <f aca="false">2*Settings!$B$9*ASIN(SQRT(SIN(RADIANS(Settings!$B$7-$D28)/2)^2+COS(RADIANS($D28))*COS(RADIANS(Settings!$B$7))*SIN(RADIANS(Settings!$C$7-$E28)/2)^2))</f>
        <v>1582.28091195143</v>
      </c>
      <c r="N28" s="8" t="n">
        <f aca="false">J28*Settings!$B$10</f>
        <v>16.7325149412238</v>
      </c>
      <c r="O28" s="8" t="n">
        <f aca="false">K28*Settings!$B$10</f>
        <v>5.84009557314629</v>
      </c>
      <c r="P28" s="8" t="n">
        <f aca="false">L28*Settings!$B$10</f>
        <v>21.4544150355577</v>
      </c>
      <c r="Q28" s="8" t="n">
        <f aca="false">M28*Settings!$B$10</f>
        <v>22.1519327673201</v>
      </c>
      <c r="R28" s="8" t="n">
        <f aca="false">AVERAGE(N28:Q28)</f>
        <v>16.5447395793119</v>
      </c>
      <c r="S28" s="6" t="n">
        <f aca="false">IF(AND(OR(Settings!$B$14=0,F28&lt;5),G28&lt;=Settings!$B$13,OR(H28=0,Settings!$B$15=1),OR(Settings!$B$16=0,I28=0)),1,0)</f>
        <v>1</v>
      </c>
      <c r="T28" s="5" t="n">
        <v>4.85</v>
      </c>
      <c r="U28" s="5" t="n">
        <v>5</v>
      </c>
      <c r="V28" s="8" t="n">
        <f aca="false">R28</f>
        <v>16.5447395793119</v>
      </c>
      <c r="W28" s="5" t="n">
        <v>3</v>
      </c>
      <c r="X28" s="5" t="n">
        <v>4</v>
      </c>
      <c r="Y28" s="5" t="n">
        <v>7</v>
      </c>
      <c r="Z28" s="5" t="n">
        <v>8</v>
      </c>
      <c r="AA28" s="5" t="n">
        <v>9</v>
      </c>
      <c r="AB28" s="5" t="n">
        <v>5</v>
      </c>
      <c r="AC28" s="8" t="n">
        <f aca="false">IF($S28=1,IF(T$4=T$3,5,10*(T28-T$3)/(T$4-T$3)),"")</f>
        <v>3.08333333333333</v>
      </c>
      <c r="AD28" s="8" t="n">
        <f aca="false">IF($S28=1,IF(U$4=U$3,5,10*(U28-U$3)/(U$4-U$3)),"")</f>
        <v>3.75</v>
      </c>
      <c r="AE28" s="8" t="n">
        <f aca="false">IF($S28=1,IF(V$4=V$3,5,10*(V$4-V28)/(V$4-V$3)),"")</f>
        <v>3.71039014015763</v>
      </c>
      <c r="AF28" s="8" t="n">
        <f aca="false">IF($S28=1,IF(W$4=W$3,5,10*(W28-W$3)/(W$4-W$3)),"")</f>
        <v>3.33333333333333</v>
      </c>
      <c r="AG28" s="8" t="n">
        <f aca="false">IF($S28=1,IF(X$4=X$3,5,10*(X28-X$3)/(X$4-X$3)),"")</f>
        <v>4.28571428571429</v>
      </c>
      <c r="AH28" s="8" t="n">
        <f aca="false">IF($S28=1,IF(Y$4=Y$3,5,10*(Y28-Y$3)/(Y$4-Y$3)),"")</f>
        <v>6.66666666666667</v>
      </c>
      <c r="AI28" s="8" t="n">
        <f aca="false">IF($S28=1,IF(Z$4=Z$3,5,10*(Z28-Z$3)/(Z$4-Z$3)),"")</f>
        <v>7.77777777777778</v>
      </c>
      <c r="AJ28" s="8" t="n">
        <f aca="false">IF($S28=1,IF(AA$4=AA$3,5,10*(AA28-AA$3)/(AA$4-AA$3)),"")</f>
        <v>10</v>
      </c>
      <c r="AK28" s="8" t="n">
        <f aca="false">IF($S28=1,IF(AB$4=AB$3,5,10*(AB28-AB$3)/(AB$4-AB$3)),"")</f>
        <v>4.44444444444445</v>
      </c>
      <c r="AL28" s="10" t="n">
        <f aca="false">IF($S28=1,SUMPRODUCT(AC28:AK28,Settings!$B$21:$J$21),"")</f>
        <v>4.69643583941259</v>
      </c>
      <c r="AM28" s="10" t="n">
        <f aca="false">IF($S28=1,EXP(Settings!$B$21*LN(MAX(AC28,0.5))+Settings!$C$21*LN(MAX(AD28,0.5))+Settings!$D$21*LN(MAX(AE28,0.5))+Settings!$E$21*LN(MAX(AF28,0.5))+Settings!$F$21*LN(MAX(AG28,0.5))+Settings!$G$21*LN(MAX(AH28,0.5))+Settings!$H$21*LN(MAX(AI28,0.5))+Settings!$I$21*LN(MAX(AJ28,0.5))+Settings!$J$21*LN(MAX(AK28,0.5))),"")</f>
        <v>4.31180651740992</v>
      </c>
      <c r="AN28" s="6" t="n">
        <f aca="false">IF($S28=1,COUNTIFS($S$6:$S$55,1,$AL$6:$AL$55,"&gt;"&amp;AL28)+1,"")</f>
        <v>28</v>
      </c>
      <c r="AO28" s="0" t="str">
        <f aca="false">IF($S28=1,IF(AN28&lt;=CEILING(SUM($S$6:$S$55)*Settings!$B$30,1),"A",IF(AN28&lt;=CEILING(SUM($S$6:$S$55)*Settings!$B$31,1),"B","C")),"Excluded")</f>
        <v>B</v>
      </c>
    </row>
    <row r="29" customFormat="false" ht="15" hidden="false" customHeight="false" outlineLevel="0" collapsed="false">
      <c r="A29" s="0" t="s">
        <v>132</v>
      </c>
      <c r="B29" s="2" t="s">
        <v>133</v>
      </c>
      <c r="C29" s="6" t="s">
        <v>125</v>
      </c>
      <c r="D29" s="5" t="n">
        <v>26.45</v>
      </c>
      <c r="E29" s="5" t="n">
        <v>80.33</v>
      </c>
      <c r="F29" s="5" t="n">
        <v>3</v>
      </c>
      <c r="G29" s="5" t="n">
        <v>10</v>
      </c>
      <c r="H29" s="5" t="n">
        <v>0</v>
      </c>
      <c r="I29" s="5" t="n">
        <v>0</v>
      </c>
      <c r="J29" s="9" t="n">
        <f aca="false">2*Settings!$B$9*ASIN(SQRT(SIN(RADIANS(Settings!$B$4-$D29)/2)^2+COS(RADIANS($D29))*COS(RADIANS(Settings!$B$4))*SIN(RADIANS(Settings!$C$4-$E29)/2)^2))</f>
        <v>1120.17456284391</v>
      </c>
      <c r="K29" s="9" t="n">
        <f aca="false">2*Settings!$B$9*ASIN(SQRT(SIN(RADIANS(Settings!$B$5-$D29)/2)^2+COS(RADIANS($D29))*COS(RADIANS(Settings!$B$5))*SIN(RADIANS(Settings!$C$5-$E29)/2)^2))</f>
        <v>390.612469846187</v>
      </c>
      <c r="L29" s="9" t="n">
        <f aca="false">2*Settings!$B$9*ASIN(SQRT(SIN(RADIANS(Settings!$B$6-$D29)/2)^2+COS(RADIANS($D29))*COS(RADIANS(Settings!$B$6))*SIN(RADIANS(Settings!$C$6-$E29)/2)^2))</f>
        <v>1486.35576176128</v>
      </c>
      <c r="M29" s="9" t="n">
        <f aca="false">2*Settings!$B$9*ASIN(SQRT(SIN(RADIANS(Settings!$B$7-$D29)/2)^2+COS(RADIANS($D29))*COS(RADIANS(Settings!$B$7))*SIN(RADIANS(Settings!$C$7-$E29)/2)^2))</f>
        <v>1525.63347023626</v>
      </c>
      <c r="N29" s="8" t="n">
        <f aca="false">J29*Settings!$B$10</f>
        <v>15.6824438798147</v>
      </c>
      <c r="O29" s="8" t="n">
        <f aca="false">K29*Settings!$B$10</f>
        <v>5.46857457784661</v>
      </c>
      <c r="P29" s="8" t="n">
        <f aca="false">L29*Settings!$B$10</f>
        <v>20.808980664658</v>
      </c>
      <c r="Q29" s="8" t="n">
        <f aca="false">M29*Settings!$B$10</f>
        <v>21.3588685833077</v>
      </c>
      <c r="R29" s="8" t="n">
        <f aca="false">AVERAGE(N29:Q29)</f>
        <v>15.8297169264068</v>
      </c>
      <c r="S29" s="6" t="n">
        <f aca="false">IF(AND(OR(Settings!$B$14=0,F29&lt;5),G29&lt;=Settings!$B$13,OR(H29=0,Settings!$B$15=1),OR(Settings!$B$16=0,I29=0)),1,0)</f>
        <v>1</v>
      </c>
      <c r="T29" s="5" t="n">
        <v>4.85</v>
      </c>
      <c r="U29" s="5" t="n">
        <v>3</v>
      </c>
      <c r="V29" s="8" t="n">
        <f aca="false">R29</f>
        <v>15.8297169264068</v>
      </c>
      <c r="W29" s="5" t="n">
        <v>4</v>
      </c>
      <c r="X29" s="5" t="n">
        <v>4</v>
      </c>
      <c r="Y29" s="5" t="n">
        <v>7</v>
      </c>
      <c r="Z29" s="5" t="n">
        <v>8</v>
      </c>
      <c r="AA29" s="5" t="n">
        <v>9</v>
      </c>
      <c r="AB29" s="5" t="n">
        <v>3</v>
      </c>
      <c r="AC29" s="8" t="n">
        <f aca="false">IF($S29=1,IF(T$4=T$3,5,10*(T29-T$3)/(T$4-T$3)),"")</f>
        <v>3.08333333333333</v>
      </c>
      <c r="AD29" s="8" t="n">
        <f aca="false">IF($S29=1,IF(U$4=U$3,5,10*(U29-U$3)/(U$4-U$3)),"")</f>
        <v>1.25</v>
      </c>
      <c r="AE29" s="8" t="n">
        <f aca="false">IF($S29=1,IF(V$4=V$3,5,10*(V$4-V29)/(V$4-V$3)),"")</f>
        <v>4.37005302226007</v>
      </c>
      <c r="AF29" s="8" t="n">
        <f aca="false">IF($S29=1,IF(W$4=W$3,5,10*(W29-W$3)/(W$4-W$3)),"")</f>
        <v>5</v>
      </c>
      <c r="AG29" s="8" t="n">
        <f aca="false">IF($S29=1,IF(X$4=X$3,5,10*(X29-X$3)/(X$4-X$3)),"")</f>
        <v>4.28571428571429</v>
      </c>
      <c r="AH29" s="8" t="n">
        <f aca="false">IF($S29=1,IF(Y$4=Y$3,5,10*(Y29-Y$3)/(Y$4-Y$3)),"")</f>
        <v>6.66666666666667</v>
      </c>
      <c r="AI29" s="8" t="n">
        <f aca="false">IF($S29=1,IF(Z$4=Z$3,5,10*(Z29-Z$3)/(Z$4-Z$3)),"")</f>
        <v>7.77777777777778</v>
      </c>
      <c r="AJ29" s="8" t="n">
        <f aca="false">IF($S29=1,IF(AA$4=AA$3,5,10*(AA29-AA$3)/(AA$4-AA$3)),"")</f>
        <v>10</v>
      </c>
      <c r="AK29" s="8" t="n">
        <f aca="false">IF($S29=1,IF(AB$4=AB$3,5,10*(AB29-AB$3)/(AB$4-AB$3)),"")</f>
        <v>2.22222222222222</v>
      </c>
      <c r="AL29" s="10" t="n">
        <f aca="false">IF($S29=1,SUMPRODUCT(AC29:AK29,Settings!$B$21:$J$21),"")</f>
        <v>4.52629101651172</v>
      </c>
      <c r="AM29" s="10" t="n">
        <f aca="false">IF($S29=1,EXP(Settings!$B$21*LN(MAX(AC29,0.5))+Settings!$C$21*LN(MAX(AD29,0.5))+Settings!$D$21*LN(MAX(AE29,0.5))+Settings!$E$21*LN(MAX(AF29,0.5))+Settings!$F$21*LN(MAX(AG29,0.5))+Settings!$G$21*LN(MAX(AH29,0.5))+Settings!$H$21*LN(MAX(AI29,0.5))+Settings!$I$21*LN(MAX(AJ29,0.5))+Settings!$J$21*LN(MAX(AK29,0.5))),"")</f>
        <v>3.81557485787224</v>
      </c>
      <c r="AN29" s="6" t="n">
        <f aca="false">IF($S29=1,COUNTIFS($S$6:$S$55,1,$AL$6:$AL$55,"&gt;"&amp;AL29)+1,"")</f>
        <v>35</v>
      </c>
      <c r="AO29" s="0" t="str">
        <f aca="false">IF($S29=1,IF(AN29&lt;=CEILING(SUM($S$6:$S$55)*Settings!$B$30,1),"A",IF(AN29&lt;=CEILING(SUM($S$6:$S$55)*Settings!$B$31,1),"B","C")),"Excluded")</f>
        <v>C</v>
      </c>
    </row>
    <row r="30" customFormat="false" ht="15" hidden="false" customHeight="false" outlineLevel="0" collapsed="false">
      <c r="A30" s="0" t="s">
        <v>134</v>
      </c>
      <c r="B30" s="2" t="s">
        <v>135</v>
      </c>
      <c r="C30" s="6" t="s">
        <v>136</v>
      </c>
      <c r="D30" s="5" t="n">
        <v>28.4</v>
      </c>
      <c r="E30" s="5" t="n">
        <v>76.99</v>
      </c>
      <c r="F30" s="5" t="n">
        <v>4</v>
      </c>
      <c r="G30" s="5" t="n">
        <v>10</v>
      </c>
      <c r="H30" s="5" t="n">
        <v>1</v>
      </c>
      <c r="I30" s="5" t="n">
        <v>0</v>
      </c>
      <c r="J30" s="9" t="n">
        <f aca="false">2*Settings!$B$9*ASIN(SQRT(SIN(RADIANS(Settings!$B$4-$D30)/2)^2+COS(RADIANS($D30))*COS(RADIANS(Settings!$B$4))*SIN(RADIANS(Settings!$C$4-$E30)/2)^2))</f>
        <v>1117.79956283489</v>
      </c>
      <c r="K30" s="9" t="n">
        <f aca="false">2*Settings!$B$9*ASIN(SQRT(SIN(RADIANS(Settings!$B$5-$D30)/2)^2+COS(RADIANS($D30))*COS(RADIANS(Settings!$B$5))*SIN(RADIANS(Settings!$C$5-$E30)/2)^2))</f>
        <v>32.0025509664535</v>
      </c>
      <c r="L30" s="9" t="n">
        <f aca="false">2*Settings!$B$9*ASIN(SQRT(SIN(RADIANS(Settings!$B$6-$D30)/2)^2+COS(RADIANS($D30))*COS(RADIANS(Settings!$B$6))*SIN(RADIANS(Settings!$C$6-$E30)/2)^2))</f>
        <v>1736.70259957961</v>
      </c>
      <c r="M30" s="9" t="n">
        <f aca="false">2*Settings!$B$9*ASIN(SQRT(SIN(RADIANS(Settings!$B$7-$D30)/2)^2+COS(RADIANS($D30))*COS(RADIANS(Settings!$B$7))*SIN(RADIANS(Settings!$C$7-$E30)/2)^2))</f>
        <v>1716.65562368665</v>
      </c>
      <c r="N30" s="8" t="n">
        <f aca="false">J30*Settings!$B$10</f>
        <v>15.6491938796884</v>
      </c>
      <c r="O30" s="8" t="n">
        <f aca="false">K30*Settings!$B$10</f>
        <v>0.448035713530349</v>
      </c>
      <c r="P30" s="8" t="n">
        <f aca="false">L30*Settings!$B$10</f>
        <v>24.3138363941146</v>
      </c>
      <c r="Q30" s="8" t="n">
        <f aca="false">M30*Settings!$B$10</f>
        <v>24.033178731613</v>
      </c>
      <c r="R30" s="8" t="n">
        <f aca="false">AVERAGE(N30:Q30)</f>
        <v>16.1110611797366</v>
      </c>
      <c r="S30" s="6" t="n">
        <f aca="false">IF(AND(OR(Settings!$B$14=0,F30&lt;5),G30&lt;=Settings!$B$13,OR(H30=0,Settings!$B$15=1),OR(Settings!$B$16=0,I30=0)),1,0)</f>
        <v>1</v>
      </c>
      <c r="T30" s="5" t="n">
        <v>6.4</v>
      </c>
      <c r="U30" s="5" t="n">
        <v>8</v>
      </c>
      <c r="V30" s="8" t="n">
        <f aca="false">R30</f>
        <v>16.1110611797366</v>
      </c>
      <c r="W30" s="5" t="n">
        <v>1</v>
      </c>
      <c r="X30" s="5" t="n">
        <v>4</v>
      </c>
      <c r="Y30" s="5" t="n">
        <v>6</v>
      </c>
      <c r="Z30" s="5" t="n">
        <v>3</v>
      </c>
      <c r="AA30" s="5" t="n">
        <v>5</v>
      </c>
      <c r="AB30" s="5" t="n">
        <v>9</v>
      </c>
      <c r="AC30" s="8" t="n">
        <f aca="false">IF($S30=1,IF(T$4=T$3,5,10*(T30-T$3)/(T$4-T$3)),"")</f>
        <v>5.66666666666667</v>
      </c>
      <c r="AD30" s="8" t="n">
        <f aca="false">IF($S30=1,IF(U$4=U$3,5,10*(U30-U$3)/(U$4-U$3)),"")</f>
        <v>7.5</v>
      </c>
      <c r="AE30" s="8" t="n">
        <f aca="false">IF($S30=1,IF(V$4=V$3,5,10*(V$4-V30)/(V$4-V$3)),"")</f>
        <v>4.11049151010316</v>
      </c>
      <c r="AF30" s="8" t="n">
        <f aca="false">IF($S30=1,IF(W$4=W$3,5,10*(W30-W$3)/(W$4-W$3)),"")</f>
        <v>0</v>
      </c>
      <c r="AG30" s="8" t="n">
        <f aca="false">IF($S30=1,IF(X$4=X$3,5,10*(X30-X$3)/(X$4-X$3)),"")</f>
        <v>4.28571428571429</v>
      </c>
      <c r="AH30" s="8" t="n">
        <f aca="false">IF($S30=1,IF(Y$4=Y$3,5,10*(Y30-Y$3)/(Y$4-Y$3)),"")</f>
        <v>5</v>
      </c>
      <c r="AI30" s="8" t="n">
        <f aca="false">IF($S30=1,IF(Z$4=Z$3,5,10*(Z30-Z$3)/(Z$4-Z$3)),"")</f>
        <v>2.22222222222222</v>
      </c>
      <c r="AJ30" s="8" t="n">
        <f aca="false">IF($S30=1,IF(AA$4=AA$3,5,10*(AA30-AA$3)/(AA$4-AA$3)),"")</f>
        <v>3.33333333333333</v>
      </c>
      <c r="AK30" s="8" t="n">
        <f aca="false">IF($S30=1,IF(AB$4=AB$3,5,10*(AB30-AB$3)/(AB$4-AB$3)),"")</f>
        <v>8.88888888888889</v>
      </c>
      <c r="AL30" s="10" t="n">
        <f aca="false">IF($S30=1,SUMPRODUCT(AC30:AK30,Settings!$B$21:$J$21),"")</f>
        <v>4.55589042085159</v>
      </c>
      <c r="AM30" s="10" t="n">
        <f aca="false">IF($S30=1,EXP(Settings!$B$21*LN(MAX(AC30,0.5))+Settings!$C$21*LN(MAX(AD30,0.5))+Settings!$D$21*LN(MAX(AE30,0.5))+Settings!$E$21*LN(MAX(AF30,0.5))+Settings!$F$21*LN(MAX(AG30,0.5))+Settings!$G$21*LN(MAX(AH30,0.5))+Settings!$H$21*LN(MAX(AI30,0.5))+Settings!$I$21*LN(MAX(AJ30,0.5))+Settings!$J$21*LN(MAX(AK30,0.5))),"")</f>
        <v>3.58421263332522</v>
      </c>
      <c r="AN30" s="6" t="n">
        <f aca="false">IF($S30=1,COUNTIFS($S$6:$S$55,1,$AL$6:$AL$55,"&gt;"&amp;AL30)+1,"")</f>
        <v>33</v>
      </c>
      <c r="AO30" s="0" t="str">
        <f aca="false">IF($S30=1,IF(AN30&lt;=CEILING(SUM($S$6:$S$55)*Settings!$B$30,1),"A",IF(AN30&lt;=CEILING(SUM($S$6:$S$55)*Settings!$B$31,1),"B","C")),"Excluded")</f>
        <v>B</v>
      </c>
    </row>
    <row r="31" customFormat="false" ht="15" hidden="false" customHeight="false" outlineLevel="0" collapsed="false">
      <c r="A31" s="0" t="s">
        <v>137</v>
      </c>
      <c r="B31" s="2" t="s">
        <v>138</v>
      </c>
      <c r="C31" s="6" t="s">
        <v>136</v>
      </c>
      <c r="D31" s="5" t="n">
        <v>28.99</v>
      </c>
      <c r="E31" s="5" t="n">
        <v>77.02</v>
      </c>
      <c r="F31" s="5" t="n">
        <v>4</v>
      </c>
      <c r="G31" s="5" t="n">
        <v>15</v>
      </c>
      <c r="H31" s="5" t="n">
        <v>1</v>
      </c>
      <c r="I31" s="5" t="n">
        <v>0</v>
      </c>
      <c r="J31" s="9" t="n">
        <f aca="false">2*Settings!$B$9*ASIN(SQRT(SIN(RADIANS(Settings!$B$4-$D31)/2)^2+COS(RADIANS($D31))*COS(RADIANS(Settings!$B$4))*SIN(RADIANS(Settings!$C$4-$E31)/2)^2))</f>
        <v>1179.60928483378</v>
      </c>
      <c r="K31" s="9" t="n">
        <f aca="false">2*Settings!$B$9*ASIN(SQRT(SIN(RADIANS(Settings!$B$5-$D31)/2)^2+COS(RADIANS($D31))*COS(RADIANS(Settings!$B$5))*SIN(RADIANS(Settings!$C$5-$E31)/2)^2))</f>
        <v>45.6854729425529</v>
      </c>
      <c r="L31" s="9" t="n">
        <f aca="false">2*Settings!$B$9*ASIN(SQRT(SIN(RADIANS(Settings!$B$6-$D31)/2)^2+COS(RADIANS($D31))*COS(RADIANS(Settings!$B$6))*SIN(RADIANS(Settings!$C$6-$E31)/2)^2))</f>
        <v>1800.35618933259</v>
      </c>
      <c r="M31" s="9" t="n">
        <f aca="false">2*Settings!$B$9*ASIN(SQRT(SIN(RADIANS(Settings!$B$7-$D31)/2)^2+COS(RADIANS($D31))*COS(RADIANS(Settings!$B$7))*SIN(RADIANS(Settings!$C$7-$E31)/2)^2))</f>
        <v>1782.10765021369</v>
      </c>
      <c r="N31" s="8" t="n">
        <f aca="false">J31*Settings!$B$10</f>
        <v>16.5145299876729</v>
      </c>
      <c r="O31" s="8" t="n">
        <f aca="false">K31*Settings!$B$10</f>
        <v>0.639596621195741</v>
      </c>
      <c r="P31" s="8" t="n">
        <f aca="false">L31*Settings!$B$10</f>
        <v>25.2049866506563</v>
      </c>
      <c r="Q31" s="8" t="n">
        <f aca="false">M31*Settings!$B$10</f>
        <v>24.9495071029916</v>
      </c>
      <c r="R31" s="8" t="n">
        <f aca="false">AVERAGE(N31:Q31)</f>
        <v>16.8271550906291</v>
      </c>
      <c r="S31" s="6" t="n">
        <f aca="false">IF(AND(OR(Settings!$B$14=0,F31&lt;5),G31&lt;=Settings!$B$13,OR(H31=0,Settings!$B$15=1),OR(Settings!$B$16=0,I31=0)),1,0)</f>
        <v>1</v>
      </c>
      <c r="T31" s="5" t="n">
        <v>6.4</v>
      </c>
      <c r="U31" s="5" t="n">
        <v>5</v>
      </c>
      <c r="V31" s="8" t="n">
        <f aca="false">R31</f>
        <v>16.8271550906291</v>
      </c>
      <c r="W31" s="5" t="n">
        <v>1</v>
      </c>
      <c r="X31" s="5" t="n">
        <v>4</v>
      </c>
      <c r="Y31" s="5" t="n">
        <v>6</v>
      </c>
      <c r="Z31" s="5" t="n">
        <v>7</v>
      </c>
      <c r="AA31" s="5" t="n">
        <v>5</v>
      </c>
      <c r="AB31" s="5" t="n">
        <v>5</v>
      </c>
      <c r="AC31" s="8" t="n">
        <f aca="false">IF($S31=1,IF(T$4=T$3,5,10*(T31-T$3)/(T$4-T$3)),"")</f>
        <v>5.66666666666667</v>
      </c>
      <c r="AD31" s="8" t="n">
        <f aca="false">IF($S31=1,IF(U$4=U$3,5,10*(U31-U$3)/(U$4-U$3)),"")</f>
        <v>3.75</v>
      </c>
      <c r="AE31" s="8" t="n">
        <f aca="false">IF($S31=1,IF(V$4=V$3,5,10*(V$4-V31)/(V$4-V$3)),"")</f>
        <v>3.44984031087742</v>
      </c>
      <c r="AF31" s="8" t="n">
        <f aca="false">IF($S31=1,IF(W$4=W$3,5,10*(W31-W$3)/(W$4-W$3)),"")</f>
        <v>0</v>
      </c>
      <c r="AG31" s="8" t="n">
        <f aca="false">IF($S31=1,IF(X$4=X$3,5,10*(X31-X$3)/(X$4-X$3)),"")</f>
        <v>4.28571428571429</v>
      </c>
      <c r="AH31" s="8" t="n">
        <f aca="false">IF($S31=1,IF(Y$4=Y$3,5,10*(Y31-Y$3)/(Y$4-Y$3)),"")</f>
        <v>5</v>
      </c>
      <c r="AI31" s="8" t="n">
        <f aca="false">IF($S31=1,IF(Z$4=Z$3,5,10*(Z31-Z$3)/(Z$4-Z$3)),"")</f>
        <v>6.66666666666667</v>
      </c>
      <c r="AJ31" s="8" t="n">
        <f aca="false">IF($S31=1,IF(AA$4=AA$3,5,10*(AA31-AA$3)/(AA$4-AA$3)),"")</f>
        <v>3.33333333333333</v>
      </c>
      <c r="AK31" s="8" t="n">
        <f aca="false">IF($S31=1,IF(AB$4=AB$3,5,10*(AB31-AB$3)/(AB$4-AB$3)),"")</f>
        <v>4.44444444444445</v>
      </c>
      <c r="AL31" s="10" t="n">
        <f aca="false">IF($S31=1,SUMPRODUCT(AC31:AK31,Settings!$B$21:$J$21),"")</f>
        <v>3.92732530092901</v>
      </c>
      <c r="AM31" s="10" t="n">
        <f aca="false">IF($S31=1,EXP(Settings!$B$21*LN(MAX(AC31,0.5))+Settings!$C$21*LN(MAX(AD31,0.5))+Settings!$D$21*LN(MAX(AE31,0.5))+Settings!$E$21*LN(MAX(AF31,0.5))+Settings!$F$21*LN(MAX(AG31,0.5))+Settings!$G$21*LN(MAX(AH31,0.5))+Settings!$H$21*LN(MAX(AI31,0.5))+Settings!$I$21*LN(MAX(AJ31,0.5))+Settings!$J$21*LN(MAX(AK31,0.5))),"")</f>
        <v>3.23917456506275</v>
      </c>
      <c r="AN31" s="6" t="n">
        <f aca="false">IF($S31=1,COUNTIFS($S$6:$S$55,1,$AL$6:$AL$55,"&gt;"&amp;AL31)+1,"")</f>
        <v>43</v>
      </c>
      <c r="AO31" s="0" t="str">
        <f aca="false">IF($S31=1,IF(AN31&lt;=CEILING(SUM($S$6:$S$55)*Settings!$B$30,1),"A",IF(AN31&lt;=CEILING(SUM($S$6:$S$55)*Settings!$B$31,1),"B","C")),"Excluded")</f>
        <v>C</v>
      </c>
    </row>
    <row r="32" customFormat="false" ht="15" hidden="false" customHeight="false" outlineLevel="0" collapsed="false">
      <c r="A32" s="0" t="s">
        <v>139</v>
      </c>
      <c r="B32" s="2" t="s">
        <v>15</v>
      </c>
      <c r="C32" s="6" t="s">
        <v>15</v>
      </c>
      <c r="D32" s="5" t="n">
        <v>28.61</v>
      </c>
      <c r="E32" s="5" t="n">
        <v>77.21</v>
      </c>
      <c r="F32" s="5" t="n">
        <v>4</v>
      </c>
      <c r="G32" s="5" t="n">
        <v>10</v>
      </c>
      <c r="H32" s="5" t="n">
        <v>1</v>
      </c>
      <c r="I32" s="5" t="n">
        <v>1</v>
      </c>
      <c r="J32" s="9" t="n">
        <f aca="false">2*Settings!$B$9*ASIN(SQRT(SIN(RADIANS(Settings!$B$4-$D32)/2)^2+COS(RADIANS($D32))*COS(RADIANS(Settings!$B$4))*SIN(RADIANS(Settings!$C$4-$E32)/2)^2))</f>
        <v>1147.72431941725</v>
      </c>
      <c r="K32" s="9" t="n">
        <f aca="false">2*Settings!$B$9*ASIN(SQRT(SIN(RADIANS(Settings!$B$5-$D32)/2)^2+COS(RADIANS($D32))*COS(RADIANS(Settings!$B$5))*SIN(RADIANS(Settings!$C$5-$E32)/2)^2))</f>
        <v>0.455365667142479</v>
      </c>
      <c r="L32" s="9" t="n">
        <f aca="false">2*Settings!$B$9*ASIN(SQRT(SIN(RADIANS(Settings!$B$6-$D32)/2)^2+COS(RADIANS($D32))*COS(RADIANS(Settings!$B$6))*SIN(RADIANS(Settings!$C$6-$E32)/2)^2))</f>
        <v>1755.30711812442</v>
      </c>
      <c r="M32" s="9" t="n">
        <f aca="false">2*Settings!$B$9*ASIN(SQRT(SIN(RADIANS(Settings!$B$7-$D32)/2)^2+COS(RADIANS($D32))*COS(RADIANS(Settings!$B$7))*SIN(RADIANS(Settings!$C$7-$E32)/2)^2))</f>
        <v>1739.32031153165</v>
      </c>
      <c r="N32" s="8" t="n">
        <f aca="false">J32*Settings!$B$10</f>
        <v>16.0681404718415</v>
      </c>
      <c r="O32" s="8" t="n">
        <f aca="false">K32*Settings!$B$10</f>
        <v>0.0063751193399947</v>
      </c>
      <c r="P32" s="8" t="n">
        <f aca="false">L32*Settings!$B$10</f>
        <v>24.5742996537418</v>
      </c>
      <c r="Q32" s="8" t="n">
        <f aca="false">M32*Settings!$B$10</f>
        <v>24.3504843614431</v>
      </c>
      <c r="R32" s="8" t="n">
        <f aca="false">AVERAGE(N32:Q32)</f>
        <v>16.2498249015916</v>
      </c>
      <c r="S32" s="6" t="n">
        <f aca="false">IF(AND(OR(Settings!$B$14=0,F32&lt;5),G32&lt;=Settings!$B$13,OR(H32=0,Settings!$B$15=1),OR(Settings!$B$16=0,I32=0)),1,0)</f>
        <v>1</v>
      </c>
      <c r="T32" s="5" t="n">
        <v>3.35</v>
      </c>
      <c r="U32" s="5" t="n">
        <v>10</v>
      </c>
      <c r="V32" s="8" t="n">
        <f aca="false">R32</f>
        <v>16.2498249015916</v>
      </c>
      <c r="W32" s="5" t="n">
        <v>1</v>
      </c>
      <c r="X32" s="5" t="n">
        <v>4</v>
      </c>
      <c r="Y32" s="5" t="n">
        <v>6</v>
      </c>
      <c r="Z32" s="5" t="n">
        <v>1</v>
      </c>
      <c r="AA32" s="5" t="n">
        <v>3</v>
      </c>
      <c r="AB32" s="5" t="n">
        <v>10</v>
      </c>
      <c r="AC32" s="8" t="n">
        <f aca="false">IF($S32=1,IF(T$4=T$3,5,10*(T32-T$3)/(T$4-T$3)),"")</f>
        <v>0.583333333333334</v>
      </c>
      <c r="AD32" s="8" t="n">
        <f aca="false">IF($S32=1,IF(U$4=U$3,5,10*(U32-U$3)/(U$4-U$3)),"")</f>
        <v>10</v>
      </c>
      <c r="AE32" s="8" t="n">
        <f aca="false">IF($S32=1,IF(V$4=V$3,5,10*(V$4-V32)/(V$4-V$3)),"")</f>
        <v>3.98247140288247</v>
      </c>
      <c r="AF32" s="8" t="n">
        <f aca="false">IF($S32=1,IF(W$4=W$3,5,10*(W32-W$3)/(W$4-W$3)),"")</f>
        <v>0</v>
      </c>
      <c r="AG32" s="8" t="n">
        <f aca="false">IF($S32=1,IF(X$4=X$3,5,10*(X32-X$3)/(X$4-X$3)),"")</f>
        <v>4.28571428571429</v>
      </c>
      <c r="AH32" s="8" t="n">
        <f aca="false">IF($S32=1,IF(Y$4=Y$3,5,10*(Y32-Y$3)/(Y$4-Y$3)),"")</f>
        <v>5</v>
      </c>
      <c r="AI32" s="8" t="n">
        <f aca="false">IF($S32=1,IF(Z$4=Z$3,5,10*(Z32-Z$3)/(Z$4-Z$3)),"")</f>
        <v>0</v>
      </c>
      <c r="AJ32" s="8" t="n">
        <f aca="false">IF($S32=1,IF(AA$4=AA$3,5,10*(AA32-AA$3)/(AA$4-AA$3)),"")</f>
        <v>0</v>
      </c>
      <c r="AK32" s="8" t="n">
        <f aca="false">IF($S32=1,IF(AB$4=AB$3,5,10*(AB32-AB$3)/(AB$4-AB$3)),"")</f>
        <v>10</v>
      </c>
      <c r="AL32" s="10" t="n">
        <f aca="false">IF($S32=1,SUMPRODUCT(AC32:AK32,Settings!$B$21:$J$21),"")</f>
        <v>3.25836618790729</v>
      </c>
      <c r="AM32" s="10" t="n">
        <f aca="false">IF($S32=1,EXP(Settings!$B$21*LN(MAX(AC32,0.5))+Settings!$C$21*LN(MAX(AD32,0.5))+Settings!$D$21*LN(MAX(AE32,0.5))+Settings!$E$21*LN(MAX(AF32,0.5))+Settings!$F$21*LN(MAX(AG32,0.5))+Settings!$G$21*LN(MAX(AH32,0.5))+Settings!$H$21*LN(MAX(AI32,0.5))+Settings!$I$21*LN(MAX(AJ32,0.5))+Settings!$J$21*LN(MAX(AK32,0.5))),"")</f>
        <v>1.63186274443351</v>
      </c>
      <c r="AN32" s="6" t="n">
        <f aca="false">IF($S32=1,COUNTIFS($S$6:$S$55,1,$AL$6:$AL$55,"&gt;"&amp;AL32)+1,"")</f>
        <v>47</v>
      </c>
      <c r="AO32" s="0" t="str">
        <f aca="false">IF($S32=1,IF(AN32&lt;=CEILING(SUM($S$6:$S$55)*Settings!$B$30,1),"A",IF(AN32&lt;=CEILING(SUM($S$6:$S$55)*Settings!$B$31,1),"B","C")),"Excluded")</f>
        <v>C</v>
      </c>
    </row>
    <row r="33" customFormat="false" ht="15" hidden="false" customHeight="false" outlineLevel="0" collapsed="false">
      <c r="A33" s="0" t="s">
        <v>140</v>
      </c>
      <c r="B33" s="2" t="s">
        <v>141</v>
      </c>
      <c r="C33" s="6" t="s">
        <v>142</v>
      </c>
      <c r="D33" s="5" t="n">
        <v>23.16</v>
      </c>
      <c r="E33" s="5" t="n">
        <v>72.68</v>
      </c>
      <c r="F33" s="5" t="n">
        <v>3</v>
      </c>
      <c r="G33" s="5" t="n">
        <v>10</v>
      </c>
      <c r="H33" s="5" t="n">
        <v>0</v>
      </c>
      <c r="I33" s="5" t="n">
        <v>0</v>
      </c>
      <c r="J33" s="9" t="n">
        <f aca="false">2*Settings!$B$9*ASIN(SQRT(SIN(RADIANS(Settings!$B$4-$D33)/2)^2+COS(RADIANS($D33))*COS(RADIANS(Settings!$B$4))*SIN(RADIANS(Settings!$C$4-$E33)/2)^2))</f>
        <v>454.583982354954</v>
      </c>
      <c r="K33" s="9" t="n">
        <f aca="false">2*Settings!$B$9*ASIN(SQRT(SIN(RADIANS(Settings!$B$5-$D33)/2)^2+COS(RADIANS($D33))*COS(RADIANS(Settings!$B$5))*SIN(RADIANS(Settings!$C$5-$E33)/2)^2))</f>
        <v>756.820048630887</v>
      </c>
      <c r="L33" s="9" t="n">
        <f aca="false">2*Settings!$B$9*ASIN(SQRT(SIN(RADIANS(Settings!$B$6-$D33)/2)^2+COS(RADIANS($D33))*COS(RADIANS(Settings!$B$6))*SIN(RADIANS(Settings!$C$6-$E33)/2)^2))</f>
        <v>1377.18442910254</v>
      </c>
      <c r="M33" s="9" t="n">
        <f aca="false">2*Settings!$B$9*ASIN(SQRT(SIN(RADIANS(Settings!$B$7-$D33)/2)^2+COS(RADIANS($D33))*COS(RADIANS(Settings!$B$7))*SIN(RADIANS(Settings!$C$7-$E33)/2)^2))</f>
        <v>1245.89562897757</v>
      </c>
      <c r="N33" s="8" t="n">
        <f aca="false">J33*Settings!$B$10</f>
        <v>6.36417575296936</v>
      </c>
      <c r="O33" s="8" t="n">
        <f aca="false">K33*Settings!$B$10</f>
        <v>10.5954806808324</v>
      </c>
      <c r="P33" s="8" t="n">
        <f aca="false">L33*Settings!$B$10</f>
        <v>19.2805820074355</v>
      </c>
      <c r="Q33" s="8" t="n">
        <f aca="false">M33*Settings!$B$10</f>
        <v>17.4425388056859</v>
      </c>
      <c r="R33" s="8" t="n">
        <f aca="false">AVERAGE(N33:Q33)</f>
        <v>13.4206943117308</v>
      </c>
      <c r="S33" s="6" t="n">
        <f aca="false">IF(AND(OR(Settings!$B$14=0,F33&lt;5),G33&lt;=Settings!$B$13,OR(H33=0,Settings!$B$15=1),OR(Settings!$B$16=0,I33=0)),1,0)</f>
        <v>1</v>
      </c>
      <c r="T33" s="5" t="n">
        <v>5.3</v>
      </c>
      <c r="U33" s="5" t="n">
        <v>6</v>
      </c>
      <c r="V33" s="8" t="n">
        <f aca="false">R33</f>
        <v>13.4206943117308</v>
      </c>
      <c r="W33" s="5" t="n">
        <v>5</v>
      </c>
      <c r="X33" s="5" t="n">
        <v>3</v>
      </c>
      <c r="Y33" s="5" t="n">
        <v>7</v>
      </c>
      <c r="Z33" s="5" t="n">
        <v>6</v>
      </c>
      <c r="AA33" s="5" t="n">
        <v>8</v>
      </c>
      <c r="AB33" s="5" t="n">
        <v>6</v>
      </c>
      <c r="AC33" s="8" t="n">
        <f aca="false">IF($S33=1,IF(T$4=T$3,5,10*(T33-T$3)/(T$4-T$3)),"")</f>
        <v>3.83333333333333</v>
      </c>
      <c r="AD33" s="8" t="n">
        <f aca="false">IF($S33=1,IF(U$4=U$3,5,10*(U33-U$3)/(U$4-U$3)),"")</f>
        <v>5</v>
      </c>
      <c r="AE33" s="8" t="n">
        <f aca="false">IF($S33=1,IF(V$4=V$3,5,10*(V$4-V33)/(V$4-V$3)),"")</f>
        <v>6.59255995206195</v>
      </c>
      <c r="AF33" s="8" t="n">
        <f aca="false">IF($S33=1,IF(W$4=W$3,5,10*(W33-W$3)/(W$4-W$3)),"")</f>
        <v>6.66666666666667</v>
      </c>
      <c r="AG33" s="8" t="n">
        <f aca="false">IF($S33=1,IF(X$4=X$3,5,10*(X33-X$3)/(X$4-X$3)),"")</f>
        <v>2.85714285714286</v>
      </c>
      <c r="AH33" s="8" t="n">
        <f aca="false">IF($S33=1,IF(Y$4=Y$3,5,10*(Y33-Y$3)/(Y$4-Y$3)),"")</f>
        <v>6.66666666666667</v>
      </c>
      <c r="AI33" s="8" t="n">
        <f aca="false">IF($S33=1,IF(Z$4=Z$3,5,10*(Z33-Z$3)/(Z$4-Z$3)),"")</f>
        <v>5.55555555555556</v>
      </c>
      <c r="AJ33" s="8" t="n">
        <f aca="false">IF($S33=1,IF(AA$4=AA$3,5,10*(AA33-AA$3)/(AA$4-AA$3)),"")</f>
        <v>8.33333333333333</v>
      </c>
      <c r="AK33" s="8" t="n">
        <f aca="false">IF($S33=1,IF(AB$4=AB$3,5,10*(AB33-AB$3)/(AB$4-AB$3)),"")</f>
        <v>5.55555555555556</v>
      </c>
      <c r="AL33" s="10" t="n">
        <f aca="false">IF($S33=1,SUMPRODUCT(AC33:AK33,Settings!$B$21:$J$21),"")</f>
        <v>5.56600202695223</v>
      </c>
      <c r="AM33" s="10" t="n">
        <f aca="false">IF($S33=1,EXP(Settings!$B$21*LN(MAX(AC33,0.5))+Settings!$C$21*LN(MAX(AD33,0.5))+Settings!$D$21*LN(MAX(AE33,0.5))+Settings!$E$21*LN(MAX(AF33,0.5))+Settings!$F$21*LN(MAX(AG33,0.5))+Settings!$G$21*LN(MAX(AH33,0.5))+Settings!$H$21*LN(MAX(AI33,0.5))+Settings!$I$21*LN(MAX(AJ33,0.5))+Settings!$J$21*LN(MAX(AK33,0.5))),"")</f>
        <v>5.34531697461901</v>
      </c>
      <c r="AN33" s="6" t="n">
        <f aca="false">IF($S33=1,COUNTIFS($S$6:$S$55,1,$AL$6:$AL$55,"&gt;"&amp;AL33)+1,"")</f>
        <v>20</v>
      </c>
      <c r="AO33" s="0" t="str">
        <f aca="false">IF($S33=1,IF(AN33&lt;=CEILING(SUM($S$6:$S$55)*Settings!$B$30,1),"A",IF(AN33&lt;=CEILING(SUM($S$6:$S$55)*Settings!$B$31,1),"B","C")),"Excluded")</f>
        <v>B</v>
      </c>
    </row>
    <row r="34" customFormat="false" ht="15" hidden="false" customHeight="false" outlineLevel="0" collapsed="false">
      <c r="A34" s="0" t="s">
        <v>143</v>
      </c>
      <c r="B34" s="2" t="s">
        <v>144</v>
      </c>
      <c r="C34" s="6" t="s">
        <v>142</v>
      </c>
      <c r="D34" s="5" t="n">
        <v>23.02</v>
      </c>
      <c r="E34" s="5" t="n">
        <v>72.57</v>
      </c>
      <c r="F34" s="5" t="n">
        <v>3</v>
      </c>
      <c r="G34" s="5" t="n">
        <v>20</v>
      </c>
      <c r="H34" s="5" t="n">
        <v>0</v>
      </c>
      <c r="I34" s="5" t="n">
        <v>0</v>
      </c>
      <c r="J34" s="9" t="n">
        <f aca="false">2*Settings!$B$9*ASIN(SQRT(SIN(RADIANS(Settings!$B$4-$D34)/2)^2+COS(RADIANS($D34))*COS(RADIANS(Settings!$B$4))*SIN(RADIANS(Settings!$C$4-$E34)/2)^2))</f>
        <v>439.715363383462</v>
      </c>
      <c r="K34" s="9" t="n">
        <f aca="false">2*Settings!$B$9*ASIN(SQRT(SIN(RADIANS(Settings!$B$5-$D34)/2)^2+COS(RADIANS($D34))*COS(RADIANS(Settings!$B$5))*SIN(RADIANS(Settings!$C$5-$E34)/2)^2))</f>
        <v>776.027800157807</v>
      </c>
      <c r="L34" s="9" t="n">
        <f aca="false">2*Settings!$B$9*ASIN(SQRT(SIN(RADIANS(Settings!$B$6-$D34)/2)^2+COS(RADIANS($D34))*COS(RADIANS(Settings!$B$6))*SIN(RADIANS(Settings!$C$6-$E34)/2)^2))</f>
        <v>1371.60533558574</v>
      </c>
      <c r="M34" s="9" t="n">
        <f aca="false">2*Settings!$B$9*ASIN(SQRT(SIN(RADIANS(Settings!$B$7-$D34)/2)^2+COS(RADIANS($D34))*COS(RADIANS(Settings!$B$7))*SIN(RADIANS(Settings!$C$7-$E34)/2)^2))</f>
        <v>1236.79117795711</v>
      </c>
      <c r="N34" s="8" t="n">
        <f aca="false">J34*Settings!$B$10</f>
        <v>6.15601508736847</v>
      </c>
      <c r="O34" s="8" t="n">
        <f aca="false">K34*Settings!$B$10</f>
        <v>10.8643892022093</v>
      </c>
      <c r="P34" s="8" t="n">
        <f aca="false">L34*Settings!$B$10</f>
        <v>19.2024746982004</v>
      </c>
      <c r="Q34" s="8" t="n">
        <f aca="false">M34*Settings!$B$10</f>
        <v>17.3150764913995</v>
      </c>
      <c r="R34" s="8" t="n">
        <f aca="false">AVERAGE(N34:Q34)</f>
        <v>13.3844888697944</v>
      </c>
      <c r="S34" s="6" t="n">
        <f aca="false">IF(AND(OR(Settings!$B$14=0,F34&lt;5),G34&lt;=Settings!$B$13,OR(H34=0,Settings!$B$15=1),OR(Settings!$B$16=0,I34=0)),1,0)</f>
        <v>1</v>
      </c>
      <c r="T34" s="5" t="n">
        <v>5.3</v>
      </c>
      <c r="U34" s="5" t="n">
        <v>6</v>
      </c>
      <c r="V34" s="8" t="n">
        <f aca="false">R34</f>
        <v>13.3844888697944</v>
      </c>
      <c r="W34" s="5" t="n">
        <v>4</v>
      </c>
      <c r="X34" s="5" t="n">
        <v>3</v>
      </c>
      <c r="Y34" s="5" t="n">
        <v>7</v>
      </c>
      <c r="Z34" s="5" t="n">
        <v>6</v>
      </c>
      <c r="AA34" s="5" t="n">
        <v>8</v>
      </c>
      <c r="AB34" s="5" t="n">
        <v>7</v>
      </c>
      <c r="AC34" s="8" t="n">
        <f aca="false">IF($S34=1,IF(T$4=T$3,5,10*(T34-T$3)/(T$4-T$3)),"")</f>
        <v>3.83333333333333</v>
      </c>
      <c r="AD34" s="8" t="n">
        <f aca="false">IF($S34=1,IF(U$4=U$3,5,10*(U34-U$3)/(U$4-U$3)),"")</f>
        <v>5</v>
      </c>
      <c r="AE34" s="8" t="n">
        <f aca="false">IF($S34=1,IF(V$4=V$3,5,10*(V$4-V34)/(V$4-V$3)),"")</f>
        <v>6.62596223110655</v>
      </c>
      <c r="AF34" s="8" t="n">
        <f aca="false">IF($S34=1,IF(W$4=W$3,5,10*(W34-W$3)/(W$4-W$3)),"")</f>
        <v>5</v>
      </c>
      <c r="AG34" s="8" t="n">
        <f aca="false">IF($S34=1,IF(X$4=X$3,5,10*(X34-X$3)/(X$4-X$3)),"")</f>
        <v>2.85714285714286</v>
      </c>
      <c r="AH34" s="8" t="n">
        <f aca="false">IF($S34=1,IF(Y$4=Y$3,5,10*(Y34-Y$3)/(Y$4-Y$3)),"")</f>
        <v>6.66666666666667</v>
      </c>
      <c r="AI34" s="8" t="n">
        <f aca="false">IF($S34=1,IF(Z$4=Z$3,5,10*(Z34-Z$3)/(Z$4-Z$3)),"")</f>
        <v>5.55555555555556</v>
      </c>
      <c r="AJ34" s="8" t="n">
        <f aca="false">IF($S34=1,IF(AA$4=AA$3,5,10*(AA34-AA$3)/(AA$4-AA$3)),"")</f>
        <v>8.33333333333333</v>
      </c>
      <c r="AK34" s="8" t="n">
        <f aca="false">IF($S34=1,IF(AB$4=AB$3,5,10*(AB34-AB$3)/(AB$4-AB$3)),"")</f>
        <v>6.66666666666667</v>
      </c>
      <c r="AL34" s="10" t="n">
        <f aca="false">IF($S34=1,SUMPRODUCT(AC34:AK34,Settings!$B$21:$J$21),"")</f>
        <v>5.37489781041224</v>
      </c>
      <c r="AM34" s="10" t="n">
        <f aca="false">IF($S34=1,EXP(Settings!$B$21*LN(MAX(AC34,0.5))+Settings!$C$21*LN(MAX(AD34,0.5))+Settings!$D$21*LN(MAX(AE34,0.5))+Settings!$E$21*LN(MAX(AF34,0.5))+Settings!$F$21*LN(MAX(AG34,0.5))+Settings!$G$21*LN(MAX(AH34,0.5))+Settings!$H$21*LN(MAX(AI34,0.5))+Settings!$I$21*LN(MAX(AJ34,0.5))+Settings!$J$21*LN(MAX(AK34,0.5))),"")</f>
        <v>5.16905558539729</v>
      </c>
      <c r="AN34" s="6" t="n">
        <f aca="false">IF($S34=1,COUNTIFS($S$6:$S$55,1,$AL$6:$AL$55,"&gt;"&amp;AL34)+1,"")</f>
        <v>24</v>
      </c>
      <c r="AO34" s="0" t="str">
        <f aca="false">IF($S34=1,IF(AN34&lt;=CEILING(SUM($S$6:$S$55)*Settings!$B$30,1),"A",IF(AN34&lt;=CEILING(SUM($S$6:$S$55)*Settings!$B$31,1),"B","C")),"Excluded")</f>
        <v>B</v>
      </c>
    </row>
    <row r="35" customFormat="false" ht="15" hidden="false" customHeight="false" outlineLevel="0" collapsed="false">
      <c r="A35" s="0" t="s">
        <v>145</v>
      </c>
      <c r="B35" s="2" t="s">
        <v>146</v>
      </c>
      <c r="C35" s="6" t="s">
        <v>142</v>
      </c>
      <c r="D35" s="5" t="n">
        <v>22.47</v>
      </c>
      <c r="E35" s="5" t="n">
        <v>70.06</v>
      </c>
      <c r="F35" s="5" t="n">
        <v>4</v>
      </c>
      <c r="G35" s="5" t="n">
        <v>20</v>
      </c>
      <c r="H35" s="5" t="n">
        <v>0</v>
      </c>
      <c r="I35" s="5" t="n">
        <v>0</v>
      </c>
      <c r="J35" s="9" t="n">
        <f aca="false">2*Settings!$B$9*ASIN(SQRT(SIN(RADIANS(Settings!$B$4-$D35)/2)^2+COS(RADIANS($D35))*COS(RADIANS(Settings!$B$4))*SIN(RADIANS(Settings!$C$4-$E35)/2)^2))</f>
        <v>477.729135711027</v>
      </c>
      <c r="K35" s="9" t="n">
        <f aca="false">2*Settings!$B$9*ASIN(SQRT(SIN(RADIANS(Settings!$B$5-$D35)/2)^2+COS(RADIANS($D35))*COS(RADIANS(Settings!$B$5))*SIN(RADIANS(Settings!$C$5-$E35)/2)^2))</f>
        <v>990.060388343302</v>
      </c>
      <c r="L35" s="9" t="n">
        <f aca="false">2*Settings!$B$9*ASIN(SQRT(SIN(RADIANS(Settings!$B$6-$D35)/2)^2+COS(RADIANS($D35))*COS(RADIANS(Settings!$B$6))*SIN(RADIANS(Settings!$C$6-$E35)/2)^2))</f>
        <v>1501.51330949928</v>
      </c>
      <c r="M35" s="9" t="n">
        <f aca="false">2*Settings!$B$9*ASIN(SQRT(SIN(RADIANS(Settings!$B$7-$D35)/2)^2+COS(RADIANS($D35))*COS(RADIANS(Settings!$B$7))*SIN(RADIANS(Settings!$C$7-$E35)/2)^2))</f>
        <v>1322.95410053633</v>
      </c>
      <c r="N35" s="8" t="n">
        <f aca="false">J35*Settings!$B$10</f>
        <v>6.68820789995438</v>
      </c>
      <c r="O35" s="8" t="n">
        <f aca="false">K35*Settings!$B$10</f>
        <v>13.8608454368062</v>
      </c>
      <c r="P35" s="8" t="n">
        <f aca="false">L35*Settings!$B$10</f>
        <v>21.0211863329899</v>
      </c>
      <c r="Q35" s="8" t="n">
        <f aca="false">M35*Settings!$B$10</f>
        <v>18.5213574075086</v>
      </c>
      <c r="R35" s="8" t="n">
        <f aca="false">AVERAGE(N35:Q35)</f>
        <v>15.0228992693148</v>
      </c>
      <c r="S35" s="6" t="n">
        <f aca="false">IF(AND(OR(Settings!$B$14=0,F35&lt;5),G35&lt;=Settings!$B$13,OR(H35=0,Settings!$B$15=1),OR(Settings!$B$16=0,I35=0)),1,0)</f>
        <v>1</v>
      </c>
      <c r="T35" s="5" t="n">
        <v>5.8</v>
      </c>
      <c r="U35" s="5" t="n">
        <v>4</v>
      </c>
      <c r="V35" s="8" t="n">
        <f aca="false">R35</f>
        <v>15.0228992693148</v>
      </c>
      <c r="W35" s="5" t="n">
        <v>4</v>
      </c>
      <c r="X35" s="5" t="n">
        <v>3</v>
      </c>
      <c r="Y35" s="5" t="n">
        <v>5</v>
      </c>
      <c r="Z35" s="5" t="n">
        <v>8</v>
      </c>
      <c r="AA35" s="5" t="n">
        <v>8</v>
      </c>
      <c r="AB35" s="5" t="n">
        <v>3</v>
      </c>
      <c r="AC35" s="8" t="n">
        <f aca="false">IF($S35=1,IF(T$4=T$3,5,10*(T35-T$3)/(T$4-T$3)),"")</f>
        <v>4.66666666666667</v>
      </c>
      <c r="AD35" s="8" t="n">
        <f aca="false">IF($S35=1,IF(U$4=U$3,5,10*(U35-U$3)/(U$4-U$3)),"")</f>
        <v>2.5</v>
      </c>
      <c r="AE35" s="8" t="n">
        <f aca="false">IF($S35=1,IF(V$4=V$3,5,10*(V$4-V35)/(V$4-V$3)),"")</f>
        <v>5.11440379051331</v>
      </c>
      <c r="AF35" s="8" t="n">
        <f aca="false">IF($S35=1,IF(W$4=W$3,5,10*(W35-W$3)/(W$4-W$3)),"")</f>
        <v>5</v>
      </c>
      <c r="AG35" s="8" t="n">
        <f aca="false">IF($S35=1,IF(X$4=X$3,5,10*(X35-X$3)/(X$4-X$3)),"")</f>
        <v>2.85714285714286</v>
      </c>
      <c r="AH35" s="8" t="n">
        <f aca="false">IF($S35=1,IF(Y$4=Y$3,5,10*(Y35-Y$3)/(Y$4-Y$3)),"")</f>
        <v>3.33333333333333</v>
      </c>
      <c r="AI35" s="8" t="n">
        <f aca="false">IF($S35=1,IF(Z$4=Z$3,5,10*(Z35-Z$3)/(Z$4-Z$3)),"")</f>
        <v>7.77777777777778</v>
      </c>
      <c r="AJ35" s="8" t="n">
        <f aca="false">IF($S35=1,IF(AA$4=AA$3,5,10*(AA35-AA$3)/(AA$4-AA$3)),"")</f>
        <v>8.33333333333333</v>
      </c>
      <c r="AK35" s="8" t="n">
        <f aca="false">IF($S35=1,IF(AB$4=AB$3,5,10*(AB35-AB$3)/(AB$4-AB$3)),"")</f>
        <v>2.22222222222222</v>
      </c>
      <c r="AL35" s="10" t="n">
        <f aca="false">IF($S35=1,SUMPRODUCT(AC35:AK35,Settings!$B$21:$J$21),"")</f>
        <v>4.61263085524181</v>
      </c>
      <c r="AM35" s="10" t="n">
        <f aca="false">IF($S35=1,EXP(Settings!$B$21*LN(MAX(AC35,0.5))+Settings!$C$21*LN(MAX(AD35,0.5))+Settings!$D$21*LN(MAX(AE35,0.5))+Settings!$E$21*LN(MAX(AF35,0.5))+Settings!$F$21*LN(MAX(AG35,0.5))+Settings!$G$21*LN(MAX(AH35,0.5))+Settings!$H$21*LN(MAX(AI35,0.5))+Settings!$I$21*LN(MAX(AJ35,0.5))+Settings!$J$21*LN(MAX(AK35,0.5))),"")</f>
        <v>4.28268563820402</v>
      </c>
      <c r="AN35" s="6" t="n">
        <f aca="false">IF($S35=1,COUNTIFS($S$6:$S$55,1,$AL$6:$AL$55,"&gt;"&amp;AL35)+1,"")</f>
        <v>29</v>
      </c>
      <c r="AO35" s="0" t="str">
        <f aca="false">IF($S35=1,IF(AN35&lt;=CEILING(SUM($S$6:$S$55)*Settings!$B$30,1),"A",IF(AN35&lt;=CEILING(SUM($S$6:$S$55)*Settings!$B$31,1),"B","C")),"Excluded")</f>
        <v>B</v>
      </c>
    </row>
    <row r="36" customFormat="false" ht="15" hidden="false" customHeight="false" outlineLevel="0" collapsed="false">
      <c r="A36" s="0" t="s">
        <v>147</v>
      </c>
      <c r="B36" s="2" t="s">
        <v>148</v>
      </c>
      <c r="C36" s="6" t="s">
        <v>142</v>
      </c>
      <c r="D36" s="5" t="n">
        <v>22.25</v>
      </c>
      <c r="E36" s="5" t="n">
        <v>72.19</v>
      </c>
      <c r="F36" s="5" t="n">
        <v>3</v>
      </c>
      <c r="G36" s="5" t="n">
        <v>10</v>
      </c>
      <c r="H36" s="5" t="n">
        <v>0</v>
      </c>
      <c r="I36" s="5" t="n">
        <v>0</v>
      </c>
      <c r="J36" s="9" t="n">
        <f aca="false">2*Settings!$B$9*ASIN(SQRT(SIN(RADIANS(Settings!$B$4-$D36)/2)^2+COS(RADIANS($D36))*COS(RADIANS(Settings!$B$4))*SIN(RADIANS(Settings!$C$4-$E36)/2)^2))</f>
        <v>360.115863518775</v>
      </c>
      <c r="K36" s="9" t="n">
        <f aca="false">2*Settings!$B$9*ASIN(SQRT(SIN(RADIANS(Settings!$B$5-$D36)/2)^2+COS(RADIANS($D36))*COS(RADIANS(Settings!$B$5))*SIN(RADIANS(Settings!$C$5-$E36)/2)^2))</f>
        <v>868.512765205367</v>
      </c>
      <c r="L36" s="9" t="n">
        <f aca="false">2*Settings!$B$9*ASIN(SQRT(SIN(RADIANS(Settings!$B$6-$D36)/2)^2+COS(RADIANS($D36))*COS(RADIANS(Settings!$B$6))*SIN(RADIANS(Settings!$C$6-$E36)/2)^2))</f>
        <v>1330.3178699603</v>
      </c>
      <c r="M36" s="9" t="n">
        <f aca="false">2*Settings!$B$9*ASIN(SQRT(SIN(RADIANS(Settings!$B$7-$D36)/2)^2+COS(RADIANS($D36))*COS(RADIANS(Settings!$B$7))*SIN(RADIANS(Settings!$C$7-$E36)/2)^2))</f>
        <v>1179.57804853433</v>
      </c>
      <c r="N36" s="8" t="n">
        <f aca="false">J36*Settings!$B$10</f>
        <v>5.04162208926285</v>
      </c>
      <c r="O36" s="8" t="n">
        <f aca="false">K36*Settings!$B$10</f>
        <v>12.1591787128751</v>
      </c>
      <c r="P36" s="8" t="n">
        <f aca="false">L36*Settings!$B$10</f>
        <v>18.6244501794443</v>
      </c>
      <c r="Q36" s="8" t="n">
        <f aca="false">M36*Settings!$B$10</f>
        <v>16.5140926794807</v>
      </c>
      <c r="R36" s="8" t="n">
        <f aca="false">AVERAGE(N36:Q36)</f>
        <v>13.0848359152657</v>
      </c>
      <c r="S36" s="6" t="n">
        <f aca="false">IF(AND(OR(Settings!$B$14=0,F36&lt;5),G36&lt;=Settings!$B$13,OR(H36=0,Settings!$B$15=1),OR(Settings!$B$16=0,I36=0)),1,0)</f>
        <v>1</v>
      </c>
      <c r="T36" s="5" t="n">
        <v>5.3</v>
      </c>
      <c r="U36" s="5" t="n">
        <v>3</v>
      </c>
      <c r="V36" s="8" t="n">
        <f aca="false">R36</f>
        <v>13.0848359152657</v>
      </c>
      <c r="W36" s="5" t="n">
        <v>4</v>
      </c>
      <c r="X36" s="5" t="n">
        <v>3</v>
      </c>
      <c r="Y36" s="5" t="n">
        <v>5</v>
      </c>
      <c r="Z36" s="5" t="n">
        <v>9</v>
      </c>
      <c r="AA36" s="5" t="n">
        <v>8</v>
      </c>
      <c r="AB36" s="5" t="n">
        <v>2</v>
      </c>
      <c r="AC36" s="8" t="n">
        <f aca="false">IF($S36=1,IF(T$4=T$3,5,10*(T36-T$3)/(T$4-T$3)),"")</f>
        <v>3.83333333333333</v>
      </c>
      <c r="AD36" s="8" t="n">
        <f aca="false">IF($S36=1,IF(U$4=U$3,5,10*(U36-U$3)/(U$4-U$3)),"")</f>
        <v>1.25</v>
      </c>
      <c r="AE36" s="8" t="n">
        <f aca="false">IF($S36=1,IF(V$4=V$3,5,10*(V$4-V36)/(V$4-V$3)),"")</f>
        <v>6.90241491524426</v>
      </c>
      <c r="AF36" s="8" t="n">
        <f aca="false">IF($S36=1,IF(W$4=W$3,5,10*(W36-W$3)/(W$4-W$3)),"")</f>
        <v>5</v>
      </c>
      <c r="AG36" s="8" t="n">
        <f aca="false">IF($S36=1,IF(X$4=X$3,5,10*(X36-X$3)/(X$4-X$3)),"")</f>
        <v>2.85714285714286</v>
      </c>
      <c r="AH36" s="8" t="n">
        <f aca="false">IF($S36=1,IF(Y$4=Y$3,5,10*(Y36-Y$3)/(Y$4-Y$3)),"")</f>
        <v>3.33333333333333</v>
      </c>
      <c r="AI36" s="8" t="n">
        <f aca="false">IF($S36=1,IF(Z$4=Z$3,5,10*(Z36-Z$3)/(Z$4-Z$3)),"")</f>
        <v>8.88888888888889</v>
      </c>
      <c r="AJ36" s="8" t="n">
        <f aca="false">IF($S36=1,IF(AA$4=AA$3,5,10*(AA36-AA$3)/(AA$4-AA$3)),"")</f>
        <v>8.33333333333333</v>
      </c>
      <c r="AK36" s="8" t="n">
        <f aca="false">IF($S36=1,IF(AB$4=AB$3,5,10*(AB36-AB$3)/(AB$4-AB$3)),"")</f>
        <v>1.11111111111111</v>
      </c>
      <c r="AL36" s="10" t="n">
        <f aca="false">IF($S36=1,SUMPRODUCT(AC36:AK36,Settings!$B$21:$J$21),"")</f>
        <v>4.39559863438157</v>
      </c>
      <c r="AM36" s="10" t="n">
        <f aca="false">IF($S36=1,EXP(Settings!$B$21*LN(MAX(AC36,0.5))+Settings!$C$21*LN(MAX(AD36,0.5))+Settings!$D$21*LN(MAX(AE36,0.5))+Settings!$E$21*LN(MAX(AF36,0.5))+Settings!$F$21*LN(MAX(AG36,0.5))+Settings!$G$21*LN(MAX(AH36,0.5))+Settings!$H$21*LN(MAX(AI36,0.5))+Settings!$I$21*LN(MAX(AJ36,0.5))+Settings!$J$21*LN(MAX(AK36,0.5))),"")</f>
        <v>3.68190731109803</v>
      </c>
      <c r="AN36" s="6" t="n">
        <f aca="false">IF($S36=1,COUNTIFS($S$6:$S$55,1,$AL$6:$AL$55,"&gt;"&amp;AL36)+1,"")</f>
        <v>37</v>
      </c>
      <c r="AO36" s="0" t="str">
        <f aca="false">IF($S36=1,IF(AN36&lt;=CEILING(SUM($S$6:$S$55)*Settings!$B$30,1),"A",IF(AN36&lt;=CEILING(SUM($S$6:$S$55)*Settings!$B$31,1),"B","C")),"Excluded")</f>
        <v>C</v>
      </c>
    </row>
    <row r="37" customFormat="false" ht="15" hidden="false" customHeight="false" outlineLevel="0" collapsed="false">
      <c r="A37" s="0" t="s">
        <v>149</v>
      </c>
      <c r="B37" s="2" t="s">
        <v>150</v>
      </c>
      <c r="C37" s="6" t="s">
        <v>151</v>
      </c>
      <c r="D37" s="5" t="n">
        <v>22.35</v>
      </c>
      <c r="E37" s="5" t="n">
        <v>87.32</v>
      </c>
      <c r="F37" s="5" t="n">
        <v>3</v>
      </c>
      <c r="G37" s="5" t="n">
        <v>10</v>
      </c>
      <c r="H37" s="5" t="n">
        <v>0</v>
      </c>
      <c r="I37" s="5" t="n">
        <v>0</v>
      </c>
      <c r="J37" s="9" t="n">
        <f aca="false">2*Settings!$B$9*ASIN(SQRT(SIN(RADIANS(Settings!$B$4-$D37)/2)^2+COS(RADIANS($D37))*COS(RADIANS(Settings!$B$4))*SIN(RADIANS(Settings!$C$4-$E37)/2)^2))</f>
        <v>1544.79625630679</v>
      </c>
      <c r="K37" s="9" t="n">
        <f aca="false">2*Settings!$B$9*ASIN(SQRT(SIN(RADIANS(Settings!$B$5-$D37)/2)^2+COS(RADIANS($D37))*COS(RADIANS(Settings!$B$5))*SIN(RADIANS(Settings!$C$5-$E37)/2)^2))</f>
        <v>1230.03633078373</v>
      </c>
      <c r="L37" s="9" t="n">
        <f aca="false">2*Settings!$B$9*ASIN(SQRT(SIN(RADIANS(Settings!$B$6-$D37)/2)^2+COS(RADIANS($D37))*COS(RADIANS(Settings!$B$6))*SIN(RADIANS(Settings!$C$6-$E37)/2)^2))</f>
        <v>1271.92291306732</v>
      </c>
      <c r="M37" s="9" t="n">
        <f aca="false">2*Settings!$B$9*ASIN(SQRT(SIN(RADIANS(Settings!$B$7-$D37)/2)^2+COS(RADIANS($D37))*COS(RADIANS(Settings!$B$7))*SIN(RADIANS(Settings!$C$7-$E37)/2)^2))</f>
        <v>1464.93042840804</v>
      </c>
      <c r="N37" s="8" t="n">
        <f aca="false">J37*Settings!$B$10</f>
        <v>21.627147588295</v>
      </c>
      <c r="O37" s="8" t="n">
        <f aca="false">K37*Settings!$B$10</f>
        <v>17.2205086309722</v>
      </c>
      <c r="P37" s="8" t="n">
        <f aca="false">L37*Settings!$B$10</f>
        <v>17.8069207829425</v>
      </c>
      <c r="Q37" s="8" t="n">
        <f aca="false">M37*Settings!$B$10</f>
        <v>20.5090259977126</v>
      </c>
      <c r="R37" s="8" t="n">
        <f aca="false">AVERAGE(N37:Q37)</f>
        <v>19.2909007499806</v>
      </c>
      <c r="S37" s="6" t="n">
        <f aca="false">IF(AND(OR(Settings!$B$14=0,F37&lt;5),G37&lt;=Settings!$B$13,OR(H37=0,Settings!$B$15=1),OR(Settings!$B$16=0,I37=0)),1,0)</f>
        <v>1</v>
      </c>
      <c r="T37" s="5" t="n">
        <v>4.7</v>
      </c>
      <c r="U37" s="5" t="n">
        <v>6</v>
      </c>
      <c r="V37" s="8" t="n">
        <f aca="false">R37</f>
        <v>19.2909007499806</v>
      </c>
      <c r="W37" s="5" t="n">
        <v>6</v>
      </c>
      <c r="X37" s="5" t="n">
        <v>2</v>
      </c>
      <c r="Y37" s="5" t="n">
        <v>5</v>
      </c>
      <c r="Z37" s="5" t="n">
        <v>8</v>
      </c>
      <c r="AA37" s="5" t="n">
        <v>4</v>
      </c>
      <c r="AB37" s="5" t="n">
        <v>1</v>
      </c>
      <c r="AC37" s="8" t="n">
        <f aca="false">IF($S37=1,IF(T$4=T$3,5,10*(T37-T$3)/(T$4-T$3)),"")</f>
        <v>2.83333333333333</v>
      </c>
      <c r="AD37" s="8" t="n">
        <f aca="false">IF($S37=1,IF(U$4=U$3,5,10*(U37-U$3)/(U$4-U$3)),"")</f>
        <v>5</v>
      </c>
      <c r="AE37" s="8" t="n">
        <f aca="false">IF($S37=1,IF(V$4=V$3,5,10*(V$4-V37)/(V$4-V$3)),"")</f>
        <v>1.17684720246093</v>
      </c>
      <c r="AF37" s="8" t="n">
        <f aca="false">IF($S37=1,IF(W$4=W$3,5,10*(W37-W$3)/(W$4-W$3)),"")</f>
        <v>8.33333333333333</v>
      </c>
      <c r="AG37" s="8" t="n">
        <f aca="false">IF($S37=1,IF(X$4=X$3,5,10*(X37-X$3)/(X$4-X$3)),"")</f>
        <v>1.42857142857143</v>
      </c>
      <c r="AH37" s="8" t="n">
        <f aca="false">IF($S37=1,IF(Y$4=Y$3,5,10*(Y37-Y$3)/(Y$4-Y$3)),"")</f>
        <v>3.33333333333333</v>
      </c>
      <c r="AI37" s="8" t="n">
        <f aca="false">IF($S37=1,IF(Z$4=Z$3,5,10*(Z37-Z$3)/(Z$4-Z$3)),"")</f>
        <v>7.77777777777778</v>
      </c>
      <c r="AJ37" s="8" t="n">
        <f aca="false">IF($S37=1,IF(AA$4=AA$3,5,10*(AA37-AA$3)/(AA$4-AA$3)),"")</f>
        <v>1.66666666666667</v>
      </c>
      <c r="AK37" s="8" t="n">
        <f aca="false">IF($S37=1,IF(AB$4=AB$3,5,10*(AB37-AB$3)/(AB$4-AB$3)),"")</f>
        <v>0</v>
      </c>
      <c r="AL37" s="10" t="n">
        <f aca="false">IF($S37=1,SUMPRODUCT(AC37:AK37,Settings!$B$21:$J$21),"")</f>
        <v>3.78633551389689</v>
      </c>
      <c r="AM37" s="10" t="n">
        <f aca="false">IF($S37=1,EXP(Settings!$B$21*LN(MAX(AC37,0.5))+Settings!$C$21*LN(MAX(AD37,0.5))+Settings!$D$21*LN(MAX(AE37,0.5))+Settings!$E$21*LN(MAX(AF37,0.5))+Settings!$F$21*LN(MAX(AG37,0.5))+Settings!$G$21*LN(MAX(AH37,0.5))+Settings!$H$21*LN(MAX(AI37,0.5))+Settings!$I$21*LN(MAX(AJ37,0.5))+Settings!$J$21*LN(MAX(AK37,0.5))),"")</f>
        <v>2.98417208600706</v>
      </c>
      <c r="AN37" s="6" t="n">
        <f aca="false">IF($S37=1,COUNTIFS($S$6:$S$55,1,$AL$6:$AL$55,"&gt;"&amp;AL37)+1,"")</f>
        <v>44</v>
      </c>
      <c r="AO37" s="0" t="str">
        <f aca="false">IF($S37=1,IF(AN37&lt;=CEILING(SUM($S$6:$S$55)*Settings!$B$30,1),"A",IF(AN37&lt;=CEILING(SUM($S$6:$S$55)*Settings!$B$31,1),"B","C")),"Excluded")</f>
        <v>C</v>
      </c>
    </row>
    <row r="38" customFormat="false" ht="15" hidden="false" customHeight="false" outlineLevel="0" collapsed="false">
      <c r="A38" s="0" t="s">
        <v>152</v>
      </c>
      <c r="B38" s="2" t="s">
        <v>153</v>
      </c>
      <c r="C38" s="6" t="s">
        <v>151</v>
      </c>
      <c r="D38" s="5" t="n">
        <v>22.57</v>
      </c>
      <c r="E38" s="5" t="n">
        <v>88.36</v>
      </c>
      <c r="F38" s="5" t="n">
        <v>3</v>
      </c>
      <c r="G38" s="5" t="n">
        <v>25</v>
      </c>
      <c r="H38" s="5" t="n">
        <v>0</v>
      </c>
      <c r="I38" s="5" t="n">
        <v>1</v>
      </c>
      <c r="J38" s="9" t="n">
        <f aca="false">2*Settings!$B$9*ASIN(SQRT(SIN(RADIANS(Settings!$B$4-$D38)/2)^2+COS(RADIANS($D38))*COS(RADIANS(Settings!$B$4))*SIN(RADIANS(Settings!$C$4-$E38)/2)^2))</f>
        <v>1654.36159309671</v>
      </c>
      <c r="K38" s="9" t="n">
        <f aca="false">2*Settings!$B$9*ASIN(SQRT(SIN(RADIANS(Settings!$B$5-$D38)/2)^2+COS(RADIANS($D38))*COS(RADIANS(Settings!$B$5))*SIN(RADIANS(Settings!$C$5-$E38)/2)^2))</f>
        <v>1303.66297862</v>
      </c>
      <c r="L38" s="9" t="n">
        <f aca="false">2*Settings!$B$9*ASIN(SQRT(SIN(RADIANS(Settings!$B$6-$D38)/2)^2+COS(RADIANS($D38))*COS(RADIANS(Settings!$B$6))*SIN(RADIANS(Settings!$C$6-$E38)/2)^2))</f>
        <v>1357.90128290535</v>
      </c>
      <c r="M38" s="9" t="n">
        <f aca="false">2*Settings!$B$9*ASIN(SQRT(SIN(RADIANS(Settings!$B$7-$D38)/2)^2+COS(RADIANS($D38))*COS(RADIANS(Settings!$B$7))*SIN(RADIANS(Settings!$C$7-$E38)/2)^2))</f>
        <v>1560.22000452696</v>
      </c>
      <c r="N38" s="8" t="n">
        <f aca="false">J38*Settings!$B$10</f>
        <v>23.1610623033539</v>
      </c>
      <c r="O38" s="8" t="n">
        <f aca="false">K38*Settings!$B$10</f>
        <v>18.25128170068</v>
      </c>
      <c r="P38" s="8" t="n">
        <f aca="false">L38*Settings!$B$10</f>
        <v>19.0106179606749</v>
      </c>
      <c r="Q38" s="8" t="n">
        <f aca="false">M38*Settings!$B$10</f>
        <v>21.8430800633775</v>
      </c>
      <c r="R38" s="8" t="n">
        <f aca="false">AVERAGE(N38:Q38)</f>
        <v>20.5665105070216</v>
      </c>
      <c r="S38" s="6" t="n">
        <f aca="false">IF(AND(OR(Settings!$B$14=0,F38&lt;5),G38&lt;=Settings!$B$13,OR(H38=0,Settings!$B$15=1),OR(Settings!$B$16=0,I38=0)),1,0)</f>
        <v>1</v>
      </c>
      <c r="T38" s="5" t="n">
        <v>5.2</v>
      </c>
      <c r="U38" s="5" t="n">
        <v>6</v>
      </c>
      <c r="V38" s="8" t="n">
        <f aca="false">R38</f>
        <v>20.5665105070216</v>
      </c>
      <c r="W38" s="5" t="n">
        <v>5</v>
      </c>
      <c r="X38" s="5" t="n">
        <v>2</v>
      </c>
      <c r="Y38" s="5" t="n">
        <v>4</v>
      </c>
      <c r="Z38" s="5" t="n">
        <v>6</v>
      </c>
      <c r="AA38" s="5" t="n">
        <v>4</v>
      </c>
      <c r="AB38" s="5" t="n">
        <v>5</v>
      </c>
      <c r="AC38" s="8" t="n">
        <f aca="false">IF($S38=1,IF(T$4=T$3,5,10*(T38-T$3)/(T$4-T$3)),"")</f>
        <v>3.66666666666667</v>
      </c>
      <c r="AD38" s="8" t="n">
        <f aca="false">IF($S38=1,IF(U$4=U$3,5,10*(U38-U$3)/(U$4-U$3)),"")</f>
        <v>5</v>
      </c>
      <c r="AE38" s="8" t="n">
        <f aca="false">IF($S38=1,IF(V$4=V$3,5,10*(V$4-V38)/(V$4-V$3)),"")</f>
        <v>0</v>
      </c>
      <c r="AF38" s="8" t="n">
        <f aca="false">IF($S38=1,IF(W$4=W$3,5,10*(W38-W$3)/(W$4-W$3)),"")</f>
        <v>6.66666666666667</v>
      </c>
      <c r="AG38" s="8" t="n">
        <f aca="false">IF($S38=1,IF(X$4=X$3,5,10*(X38-X$3)/(X$4-X$3)),"")</f>
        <v>1.42857142857143</v>
      </c>
      <c r="AH38" s="8" t="n">
        <f aca="false">IF($S38=1,IF(Y$4=Y$3,5,10*(Y38-Y$3)/(Y$4-Y$3)),"")</f>
        <v>1.66666666666667</v>
      </c>
      <c r="AI38" s="8" t="n">
        <f aca="false">IF($S38=1,IF(Z$4=Z$3,5,10*(Z38-Z$3)/(Z$4-Z$3)),"")</f>
        <v>5.55555555555556</v>
      </c>
      <c r="AJ38" s="8" t="n">
        <f aca="false">IF($S38=1,IF(AA$4=AA$3,5,10*(AA38-AA$3)/(AA$4-AA$3)),"")</f>
        <v>1.66666666666667</v>
      </c>
      <c r="AK38" s="8" t="n">
        <f aca="false">IF($S38=1,IF(AB$4=AB$3,5,10*(AB38-AB$3)/(AB$4-AB$3)),"")</f>
        <v>4.44444444444445</v>
      </c>
      <c r="AL38" s="10" t="n">
        <f aca="false">IF($S38=1,SUMPRODUCT(AC38:AK38,Settings!$B$21:$J$21),"")</f>
        <v>3.57142857142857</v>
      </c>
      <c r="AM38" s="10" t="n">
        <f aca="false">IF($S38=1,EXP(Settings!$B$21*LN(MAX(AC38,0.5))+Settings!$C$21*LN(MAX(AD38,0.5))+Settings!$D$21*LN(MAX(AE38,0.5))+Settings!$E$21*LN(MAX(AF38,0.5))+Settings!$F$21*LN(MAX(AG38,0.5))+Settings!$G$21*LN(MAX(AH38,0.5))+Settings!$H$21*LN(MAX(AI38,0.5))+Settings!$I$21*LN(MAX(AJ38,0.5))+Settings!$J$21*LN(MAX(AK38,0.5))),"")</f>
        <v>2.8916036654644</v>
      </c>
      <c r="AN38" s="6" t="n">
        <f aca="false">IF($S38=1,COUNTIFS($S$6:$S$55,1,$AL$6:$AL$55,"&gt;"&amp;AL38)+1,"")</f>
        <v>46</v>
      </c>
      <c r="AO38" s="0" t="str">
        <f aca="false">IF($S38=1,IF(AN38&lt;=CEILING(SUM($S$6:$S$55)*Settings!$B$30,1),"A",IF(AN38&lt;=CEILING(SUM($S$6:$S$55)*Settings!$B$31,1),"B","C")),"Excluded")</f>
        <v>C</v>
      </c>
    </row>
    <row r="39" customFormat="false" ht="15" hidden="false" customHeight="false" outlineLevel="0" collapsed="false">
      <c r="A39" s="0" t="s">
        <v>154</v>
      </c>
      <c r="B39" s="2" t="s">
        <v>155</v>
      </c>
      <c r="C39" s="6" t="s">
        <v>151</v>
      </c>
      <c r="D39" s="5" t="n">
        <v>21.63</v>
      </c>
      <c r="E39" s="5" t="n">
        <v>87.51</v>
      </c>
      <c r="F39" s="5" t="n">
        <v>3</v>
      </c>
      <c r="G39" s="5" t="n">
        <v>90</v>
      </c>
      <c r="H39" s="5" t="n">
        <v>0</v>
      </c>
      <c r="I39" s="5" t="n">
        <v>1</v>
      </c>
      <c r="J39" s="9" t="n">
        <f aca="false">2*Settings!$B$9*ASIN(SQRT(SIN(RADIANS(Settings!$B$4-$D39)/2)^2+COS(RADIANS($D39))*COS(RADIANS(Settings!$B$4))*SIN(RADIANS(Settings!$C$4-$E39)/2)^2))</f>
        <v>1550.96541464454</v>
      </c>
      <c r="K39" s="9" t="n">
        <f aca="false">2*Settings!$B$9*ASIN(SQRT(SIN(RADIANS(Settings!$B$5-$D39)/2)^2+COS(RADIANS($D39))*COS(RADIANS(Settings!$B$5))*SIN(RADIANS(Settings!$C$5-$E39)/2)^2))</f>
        <v>1294.55034563828</v>
      </c>
      <c r="L39" s="9" t="n">
        <f aca="false">2*Settings!$B$9*ASIN(SQRT(SIN(RADIANS(Settings!$B$6-$D39)/2)^2+COS(RADIANS($D39))*COS(RADIANS(Settings!$B$6))*SIN(RADIANS(Settings!$C$6-$E39)/2)^2))</f>
        <v>1221.54469798995</v>
      </c>
      <c r="M39" s="9" t="n">
        <f aca="false">2*Settings!$B$9*ASIN(SQRT(SIN(RADIANS(Settings!$B$7-$D39)/2)^2+COS(RADIANS($D39))*COS(RADIANS(Settings!$B$7))*SIN(RADIANS(Settings!$C$7-$E39)/2)^2))</f>
        <v>1425.51491014104</v>
      </c>
      <c r="N39" s="8" t="n">
        <f aca="false">J39*Settings!$B$10</f>
        <v>21.7135158050235</v>
      </c>
      <c r="O39" s="8" t="n">
        <f aca="false">K39*Settings!$B$10</f>
        <v>18.1237048389359</v>
      </c>
      <c r="P39" s="8" t="n">
        <f aca="false">L39*Settings!$B$10</f>
        <v>17.1016257718593</v>
      </c>
      <c r="Q39" s="8" t="n">
        <f aca="false">M39*Settings!$B$10</f>
        <v>19.9572087419746</v>
      </c>
      <c r="R39" s="8" t="n">
        <f aca="false">AVERAGE(N39:Q39)</f>
        <v>19.2240137894483</v>
      </c>
      <c r="S39" s="6" t="n">
        <f aca="false">IF(AND(OR(Settings!$B$14=0,F39&lt;5),G39&lt;=Settings!$B$13,OR(H39=0,Settings!$B$15=1),OR(Settings!$B$16=0,I39=0)),1,0)</f>
        <v>0</v>
      </c>
      <c r="T39" s="5" t="n">
        <v>4.7</v>
      </c>
      <c r="U39" s="5" t="n">
        <v>6</v>
      </c>
      <c r="V39" s="8" t="n">
        <f aca="false">R39</f>
        <v>19.2240137894483</v>
      </c>
      <c r="W39" s="5" t="n">
        <v>6</v>
      </c>
      <c r="X39" s="5" t="n">
        <v>2</v>
      </c>
      <c r="Y39" s="5" t="n">
        <v>2</v>
      </c>
      <c r="Z39" s="5" t="n">
        <v>8</v>
      </c>
      <c r="AA39" s="5" t="n">
        <v>4</v>
      </c>
      <c r="AB39" s="5" t="n">
        <v>1</v>
      </c>
      <c r="AC39" s="8" t="str">
        <f aca="false">IF($S39=1,IF(T$4=T$3,5,10*(T39-T$3)/(T$4-T$3)),"")</f>
        <v/>
      </c>
      <c r="AD39" s="8" t="str">
        <f aca="false">IF($S39=1,IF(U$4=U$3,5,10*(U39-U$3)/(U$4-U$3)),"")</f>
        <v/>
      </c>
      <c r="AE39" s="8" t="str">
        <f aca="false">IF($S39=1,IF(V$4=V$3,5,10*(V$4-V39)/(V$4-V$3)),"")</f>
        <v/>
      </c>
      <c r="AF39" s="8" t="str">
        <f aca="false">IF($S39=1,IF(W$4=W$3,5,10*(W39-W$3)/(W$4-W$3)),"")</f>
        <v/>
      </c>
      <c r="AG39" s="8" t="str">
        <f aca="false">IF($S39=1,IF(X$4=X$3,5,10*(X39-X$3)/(X$4-X$3)),"")</f>
        <v/>
      </c>
      <c r="AH39" s="8" t="str">
        <f aca="false">IF($S39=1,IF(Y$4=Y$3,5,10*(Y39-Y$3)/(Y$4-Y$3)),"")</f>
        <v/>
      </c>
      <c r="AI39" s="8" t="str">
        <f aca="false">IF($S39=1,IF(Z$4=Z$3,5,10*(Z39-Z$3)/(Z$4-Z$3)),"")</f>
        <v/>
      </c>
      <c r="AJ39" s="8" t="str">
        <f aca="false">IF($S39=1,IF(AA$4=AA$3,5,10*(AA39-AA$3)/(AA$4-AA$3)),"")</f>
        <v/>
      </c>
      <c r="AK39" s="8" t="str">
        <f aca="false">IF($S39=1,IF(AB$4=AB$3,5,10*(AB39-AB$3)/(AB$4-AB$3)),"")</f>
        <v/>
      </c>
      <c r="AL39" s="10" t="str">
        <f aca="false">IF($S39=1,SUMPRODUCT(AC39:AK39,Settings!$B$21:$J$21),"")</f>
        <v/>
      </c>
      <c r="AM39" s="10" t="str">
        <f aca="false">IF($S39=1,EXP(Settings!$B$21*LN(MAX(AC39,0.5))+Settings!$C$21*LN(MAX(AD39,0.5))+Settings!$D$21*LN(MAX(AE39,0.5))+Settings!$E$21*LN(MAX(AF39,0.5))+Settings!$F$21*LN(MAX(AG39,0.5))+Settings!$G$21*LN(MAX(AH39,0.5))+Settings!$H$21*LN(MAX(AI39,0.5))+Settings!$I$21*LN(MAX(AJ39,0.5))+Settings!$J$21*LN(MAX(AK39,0.5))),"")</f>
        <v/>
      </c>
      <c r="AN39" s="0" t="str">
        <f aca="false">IF($S39=1,COUNTIFS($S$6:$S$55,1,$AL$6:$AL$55,"&gt;"&amp;AL39)+1,"")</f>
        <v/>
      </c>
      <c r="AO39" s="0" t="str">
        <f aca="false">IF($S39=1,IF(AN39&lt;=CEILING(SUM($S$6:$S$55)*Settings!$B$30,1),"A",IF(AN39&lt;=CEILING(SUM($S$6:$S$55)*Settings!$B$31,1),"B","C")),"Excluded")</f>
        <v>Excluded</v>
      </c>
    </row>
    <row r="40" customFormat="false" ht="15" hidden="false" customHeight="false" outlineLevel="0" collapsed="false">
      <c r="A40" s="0" t="s">
        <v>156</v>
      </c>
      <c r="B40" s="2" t="s">
        <v>157</v>
      </c>
      <c r="C40" s="6" t="s">
        <v>158</v>
      </c>
      <c r="D40" s="5" t="n">
        <v>9.93</v>
      </c>
      <c r="E40" s="5" t="n">
        <v>76.27</v>
      </c>
      <c r="F40" s="5" t="n">
        <v>3</v>
      </c>
      <c r="G40" s="5" t="n">
        <v>10</v>
      </c>
      <c r="H40" s="5" t="n">
        <v>0</v>
      </c>
      <c r="I40" s="5" t="n">
        <v>0</v>
      </c>
      <c r="J40" s="9" t="n">
        <f aca="false">2*Settings!$B$9*ASIN(SQRT(SIN(RADIANS(Settings!$B$4-$D40)/2)^2+COS(RADIANS($D40))*COS(RADIANS(Settings!$B$4))*SIN(RADIANS(Settings!$C$4-$E40)/2)^2))</f>
        <v>1080.3986624791</v>
      </c>
      <c r="K40" s="9" t="n">
        <f aca="false">2*Settings!$B$9*ASIN(SQRT(SIN(RADIANS(Settings!$B$5-$D40)/2)^2+COS(RADIANS($D40))*COS(RADIANS(Settings!$B$5))*SIN(RADIANS(Settings!$C$5-$E40)/2)^2))</f>
        <v>2079.87419910047</v>
      </c>
      <c r="L40" s="9" t="n">
        <f aca="false">2*Settings!$B$9*ASIN(SQRT(SIN(RADIANS(Settings!$B$6-$D40)/2)^2+COS(RADIANS($D40))*COS(RADIANS(Settings!$B$6))*SIN(RADIANS(Settings!$C$6-$E40)/2)^2))</f>
        <v>559.301971623576</v>
      </c>
      <c r="M40" s="9" t="n">
        <f aca="false">2*Settings!$B$9*ASIN(SQRT(SIN(RADIANS(Settings!$B$7-$D40)/2)^2+COS(RADIANS($D40))*COS(RADIANS(Settings!$B$7))*SIN(RADIANS(Settings!$C$7-$E40)/2)^2))</f>
        <v>367.737624067475</v>
      </c>
      <c r="N40" s="8" t="n">
        <f aca="false">J40*Settings!$B$10</f>
        <v>15.1255812747073</v>
      </c>
      <c r="O40" s="8" t="n">
        <f aca="false">K40*Settings!$B$10</f>
        <v>29.1182387874066</v>
      </c>
      <c r="P40" s="8" t="n">
        <f aca="false">L40*Settings!$B$10</f>
        <v>7.83022760273006</v>
      </c>
      <c r="Q40" s="8" t="n">
        <f aca="false">M40*Settings!$B$10</f>
        <v>5.14832673694465</v>
      </c>
      <c r="R40" s="8" t="n">
        <f aca="false">AVERAGE(N40:Q40)</f>
        <v>14.3055936004472</v>
      </c>
      <c r="S40" s="6" t="n">
        <f aca="false">IF(AND(OR(Settings!$B$14=0,F40&lt;5),G40&lt;=Settings!$B$13,OR(H40=0,Settings!$B$15=1),OR(Settings!$B$16=0,I40=0)),1,0)</f>
        <v>1</v>
      </c>
      <c r="T40" s="5" t="n">
        <v>7.5</v>
      </c>
      <c r="U40" s="5" t="n">
        <v>8</v>
      </c>
      <c r="V40" s="8" t="n">
        <f aca="false">R40</f>
        <v>14.3055936004472</v>
      </c>
      <c r="W40" s="5" t="n">
        <v>7</v>
      </c>
      <c r="X40" s="5" t="n">
        <v>1</v>
      </c>
      <c r="Y40" s="5" t="n">
        <v>5</v>
      </c>
      <c r="Z40" s="5" t="n">
        <v>4</v>
      </c>
      <c r="AA40" s="5" t="n">
        <v>4</v>
      </c>
      <c r="AB40" s="5" t="n">
        <v>6</v>
      </c>
      <c r="AC40" s="8" t="n">
        <f aca="false">IF($S40=1,IF(T$4=T$3,5,10*(T40-T$3)/(T$4-T$3)),"")</f>
        <v>7.5</v>
      </c>
      <c r="AD40" s="8" t="n">
        <f aca="false">IF($S40=1,IF(U$4=U$3,5,10*(U40-U$3)/(U$4-U$3)),"")</f>
        <v>7.5</v>
      </c>
      <c r="AE40" s="8" t="n">
        <f aca="false">IF($S40=1,IF(V$4=V$3,5,10*(V$4-V40)/(V$4-V$3)),"")</f>
        <v>5.77617292880713</v>
      </c>
      <c r="AF40" s="8" t="n">
        <f aca="false">IF($S40=1,IF(W$4=W$3,5,10*(W40-W$3)/(W$4-W$3)),"")</f>
        <v>10</v>
      </c>
      <c r="AG40" s="8" t="n">
        <f aca="false">IF($S40=1,IF(X$4=X$3,5,10*(X40-X$3)/(X$4-X$3)),"")</f>
        <v>0</v>
      </c>
      <c r="AH40" s="8" t="n">
        <f aca="false">IF($S40=1,IF(Y$4=Y$3,5,10*(Y40-Y$3)/(Y$4-Y$3)),"")</f>
        <v>3.33333333333333</v>
      </c>
      <c r="AI40" s="8" t="n">
        <f aca="false">IF($S40=1,IF(Z$4=Z$3,5,10*(Z40-Z$3)/(Z$4-Z$3)),"")</f>
        <v>3.33333333333333</v>
      </c>
      <c r="AJ40" s="8" t="n">
        <f aca="false">IF($S40=1,IF(AA$4=AA$3,5,10*(AA40-AA$3)/(AA$4-AA$3)),"")</f>
        <v>1.66666666666667</v>
      </c>
      <c r="AK40" s="8" t="n">
        <f aca="false">IF($S40=1,IF(AB$4=AB$3,5,10*(AB40-AB$3)/(AB$4-AB$3)),"")</f>
        <v>5.55555555555556</v>
      </c>
      <c r="AL40" s="10" t="n">
        <f aca="false">IF($S40=1,SUMPRODUCT(AC40:AK40,Settings!$B$21:$J$21),"")</f>
        <v>6.02206173732516</v>
      </c>
      <c r="AM40" s="10" t="n">
        <f aca="false">IF($S40=1,EXP(Settings!$B$21*LN(MAX(AC40,0.5))+Settings!$C$21*LN(MAX(AD40,0.5))+Settings!$D$21*LN(MAX(AE40,0.5))+Settings!$E$21*LN(MAX(AF40,0.5))+Settings!$F$21*LN(MAX(AG40,0.5))+Settings!$G$21*LN(MAX(AH40,0.5))+Settings!$H$21*LN(MAX(AI40,0.5))+Settings!$I$21*LN(MAX(AJ40,0.5))+Settings!$J$21*LN(MAX(AK40,0.5))),"")</f>
        <v>5.00023120118537</v>
      </c>
      <c r="AN40" s="6" t="n">
        <f aca="false">IF($S40=1,COUNTIFS($S$6:$S$55,1,$AL$6:$AL$55,"&gt;"&amp;AL40)+1,"")</f>
        <v>13</v>
      </c>
      <c r="AO40" s="0" t="str">
        <f aca="false">IF($S40=1,IF(AN40&lt;=CEILING(SUM($S$6:$S$55)*Settings!$B$30,1),"A",IF(AN40&lt;=CEILING(SUM($S$6:$S$55)*Settings!$B$31,1),"B","C")),"Excluded")</f>
        <v>A</v>
      </c>
    </row>
    <row r="41" customFormat="false" ht="15" hidden="false" customHeight="false" outlineLevel="0" collapsed="false">
      <c r="A41" s="0" t="s">
        <v>159</v>
      </c>
      <c r="B41" s="2" t="s">
        <v>160</v>
      </c>
      <c r="C41" s="6" t="s">
        <v>158</v>
      </c>
      <c r="D41" s="5" t="n">
        <v>8.52</v>
      </c>
      <c r="E41" s="5" t="n">
        <v>76.94</v>
      </c>
      <c r="F41" s="5" t="n">
        <v>3</v>
      </c>
      <c r="G41" s="5" t="n">
        <v>15</v>
      </c>
      <c r="H41" s="5" t="n">
        <v>0</v>
      </c>
      <c r="I41" s="5" t="n">
        <v>0</v>
      </c>
      <c r="J41" s="9" t="n">
        <f aca="false">2*Settings!$B$9*ASIN(SQRT(SIN(RADIANS(Settings!$B$4-$D41)/2)^2+COS(RADIANS($D41))*COS(RADIANS(Settings!$B$4))*SIN(RADIANS(Settings!$C$4-$E41)/2)^2))</f>
        <v>1252.79741973685</v>
      </c>
      <c r="K41" s="9" t="n">
        <f aca="false">2*Settings!$B$9*ASIN(SQRT(SIN(RADIANS(Settings!$B$5-$D41)/2)^2+COS(RADIANS($D41))*COS(RADIANS(Settings!$B$5))*SIN(RADIANS(Settings!$C$5-$E41)/2)^2))</f>
        <v>2234.52828477694</v>
      </c>
      <c r="L41" s="9" t="n">
        <f aca="false">2*Settings!$B$9*ASIN(SQRT(SIN(RADIANS(Settings!$B$6-$D41)/2)^2+COS(RADIANS($D41))*COS(RADIANS(Settings!$B$6))*SIN(RADIANS(Settings!$C$6-$E41)/2)^2))</f>
        <v>624.218960430173</v>
      </c>
      <c r="M41" s="9" t="n">
        <f aca="false">2*Settings!$B$9*ASIN(SQRT(SIN(RADIANS(Settings!$B$7-$D41)/2)^2+COS(RADIANS($D41))*COS(RADIANS(Settings!$B$7))*SIN(RADIANS(Settings!$C$7-$E41)/2)^2))</f>
        <v>500.166100046404</v>
      </c>
      <c r="N41" s="8" t="n">
        <f aca="false">J41*Settings!$B$10</f>
        <v>17.539163876316</v>
      </c>
      <c r="O41" s="8" t="n">
        <f aca="false">K41*Settings!$B$10</f>
        <v>31.2833959868771</v>
      </c>
      <c r="P41" s="8" t="n">
        <f aca="false">L41*Settings!$B$10</f>
        <v>8.73906544602243</v>
      </c>
      <c r="Q41" s="8" t="n">
        <f aca="false">M41*Settings!$B$10</f>
        <v>7.00232540064966</v>
      </c>
      <c r="R41" s="8" t="n">
        <f aca="false">AVERAGE(N41:Q41)</f>
        <v>16.1409876774663</v>
      </c>
      <c r="S41" s="6" t="n">
        <f aca="false">IF(AND(OR(Settings!$B$14=0,F41&lt;5),G41&lt;=Settings!$B$13,OR(H41=0,Settings!$B$15=1),OR(Settings!$B$16=0,I41=0)),1,0)</f>
        <v>1</v>
      </c>
      <c r="T41" s="5" t="n">
        <v>7</v>
      </c>
      <c r="U41" s="5" t="n">
        <v>7</v>
      </c>
      <c r="V41" s="8" t="n">
        <f aca="false">R41</f>
        <v>16.1409876774663</v>
      </c>
      <c r="W41" s="5" t="n">
        <v>7</v>
      </c>
      <c r="X41" s="5" t="n">
        <v>1</v>
      </c>
      <c r="Y41" s="5" t="n">
        <v>6</v>
      </c>
      <c r="Z41" s="5" t="n">
        <v>4</v>
      </c>
      <c r="AA41" s="5" t="n">
        <v>4</v>
      </c>
      <c r="AB41" s="5" t="n">
        <v>5</v>
      </c>
      <c r="AC41" s="8" t="n">
        <f aca="false">IF($S41=1,IF(T$4=T$3,5,10*(T41-T$3)/(T$4-T$3)),"")</f>
        <v>6.66666666666667</v>
      </c>
      <c r="AD41" s="8" t="n">
        <f aca="false">IF($S41=1,IF(U$4=U$3,5,10*(U41-U$3)/(U$4-U$3)),"")</f>
        <v>6.25</v>
      </c>
      <c r="AE41" s="8" t="n">
        <f aca="false">IF($S41=1,IF(V$4=V$3,5,10*(V$4-V41)/(V$4-V$3)),"")</f>
        <v>4.08288203554541</v>
      </c>
      <c r="AF41" s="8" t="n">
        <f aca="false">IF($S41=1,IF(W$4=W$3,5,10*(W41-W$3)/(W$4-W$3)),"")</f>
        <v>10</v>
      </c>
      <c r="AG41" s="8" t="n">
        <f aca="false">IF($S41=1,IF(X$4=X$3,5,10*(X41-X$3)/(X$4-X$3)),"")</f>
        <v>0</v>
      </c>
      <c r="AH41" s="8" t="n">
        <f aca="false">IF($S41=1,IF(Y$4=Y$3,5,10*(Y41-Y$3)/(Y$4-Y$3)),"")</f>
        <v>5</v>
      </c>
      <c r="AI41" s="8" t="n">
        <f aca="false">IF($S41=1,IF(Z$4=Z$3,5,10*(Z41-Z$3)/(Z$4-Z$3)),"")</f>
        <v>3.33333333333333</v>
      </c>
      <c r="AJ41" s="8" t="n">
        <f aca="false">IF($S41=1,IF(AA$4=AA$3,5,10*(AA41-AA$3)/(AA$4-AA$3)),"")</f>
        <v>1.66666666666667</v>
      </c>
      <c r="AK41" s="8" t="n">
        <f aca="false">IF($S41=1,IF(AB$4=AB$3,5,10*(AB41-AB$3)/(AB$4-AB$3)),"")</f>
        <v>4.44444444444445</v>
      </c>
      <c r="AL41" s="10" t="n">
        <f aca="false">IF($S41=1,SUMPRODUCT(AC41:AK41,Settings!$B$21:$J$21),"")</f>
        <v>5.56801042577676</v>
      </c>
      <c r="AM41" s="10" t="n">
        <f aca="false">IF($S41=1,EXP(Settings!$B$21*LN(MAX(AC41,0.5))+Settings!$C$21*LN(MAX(AD41,0.5))+Settings!$D$21*LN(MAX(AE41,0.5))+Settings!$E$21*LN(MAX(AF41,0.5))+Settings!$F$21*LN(MAX(AG41,0.5))+Settings!$G$21*LN(MAX(AH41,0.5))+Settings!$H$21*LN(MAX(AI41,0.5))+Settings!$I$21*LN(MAX(AJ41,0.5))+Settings!$J$21*LN(MAX(AK41,0.5))),"")</f>
        <v>4.69916893344966</v>
      </c>
      <c r="AN41" s="6" t="n">
        <f aca="false">IF($S41=1,COUNTIFS($S$6:$S$55,1,$AL$6:$AL$55,"&gt;"&amp;AL41)+1,"")</f>
        <v>19</v>
      </c>
      <c r="AO41" s="0" t="str">
        <f aca="false">IF($S41=1,IF(AN41&lt;=CEILING(SUM($S$6:$S$55)*Settings!$B$30,1),"A",IF(AN41&lt;=CEILING(SUM($S$6:$S$55)*Settings!$B$31,1),"B","C")),"Excluded")</f>
        <v>B</v>
      </c>
    </row>
    <row r="42" customFormat="false" ht="15" hidden="false" customHeight="false" outlineLevel="0" collapsed="false">
      <c r="A42" s="0" t="s">
        <v>161</v>
      </c>
      <c r="B42" s="2" t="s">
        <v>162</v>
      </c>
      <c r="C42" s="6" t="s">
        <v>163</v>
      </c>
      <c r="D42" s="5" t="n">
        <v>21.86</v>
      </c>
      <c r="E42" s="5" t="n">
        <v>84.01</v>
      </c>
      <c r="F42" s="5" t="n">
        <v>3</v>
      </c>
      <c r="G42" s="5" t="n">
        <v>10</v>
      </c>
      <c r="H42" s="5" t="n">
        <v>0</v>
      </c>
      <c r="I42" s="5" t="n">
        <v>0</v>
      </c>
      <c r="J42" s="9" t="n">
        <f aca="false">2*Settings!$B$9*ASIN(SQRT(SIN(RADIANS(Settings!$B$4-$D42)/2)^2+COS(RADIANS($D42))*COS(RADIANS(Settings!$B$4))*SIN(RADIANS(Settings!$C$4-$E42)/2)^2))</f>
        <v>1199.90993871448</v>
      </c>
      <c r="K42" s="9" t="n">
        <f aca="false">2*Settings!$B$9*ASIN(SQRT(SIN(RADIANS(Settings!$B$5-$D42)/2)^2+COS(RADIANS($D42))*COS(RADIANS(Settings!$B$5))*SIN(RADIANS(Settings!$C$5-$E42)/2)^2))</f>
        <v>1015.35449543793</v>
      </c>
      <c r="L42" s="9" t="n">
        <f aca="false">2*Settings!$B$9*ASIN(SQRT(SIN(RADIANS(Settings!$B$6-$D42)/2)^2+COS(RADIANS($D42))*COS(RADIANS(Settings!$B$6))*SIN(RADIANS(Settings!$C$6-$E42)/2)^2))</f>
        <v>1053.30290591765</v>
      </c>
      <c r="M42" s="9" t="n">
        <f aca="false">2*Settings!$B$9*ASIN(SQRT(SIN(RADIANS(Settings!$B$7-$D42)/2)^2+COS(RADIANS($D42))*COS(RADIANS(Settings!$B$7))*SIN(RADIANS(Settings!$C$7-$E42)/2)^2))</f>
        <v>1199.52932502983</v>
      </c>
      <c r="N42" s="8" t="n">
        <f aca="false">J42*Settings!$B$10</f>
        <v>16.7987391420028</v>
      </c>
      <c r="O42" s="8" t="n">
        <f aca="false">K42*Settings!$B$10</f>
        <v>14.2149629361311</v>
      </c>
      <c r="P42" s="8" t="n">
        <f aca="false">L42*Settings!$B$10</f>
        <v>14.7462406828471</v>
      </c>
      <c r="Q42" s="8" t="n">
        <f aca="false">M42*Settings!$B$10</f>
        <v>16.7934105504177</v>
      </c>
      <c r="R42" s="8" t="n">
        <f aca="false">AVERAGE(N42:Q42)</f>
        <v>15.6383383278497</v>
      </c>
      <c r="S42" s="6" t="n">
        <f aca="false">IF(AND(OR(Settings!$B$14=0,F42&lt;5),G42&lt;=Settings!$B$13,OR(H42=0,Settings!$B$15=1),OR(Settings!$B$16=0,I42=0)),1,0)</f>
        <v>1</v>
      </c>
      <c r="T42" s="5" t="n">
        <v>9</v>
      </c>
      <c r="U42" s="5" t="n">
        <v>2</v>
      </c>
      <c r="V42" s="8" t="n">
        <f aca="false">R42</f>
        <v>15.6383383278497</v>
      </c>
      <c r="W42" s="5" t="n">
        <v>7</v>
      </c>
      <c r="X42" s="5" t="n">
        <v>3</v>
      </c>
      <c r="Y42" s="5" t="n">
        <v>8</v>
      </c>
      <c r="Z42" s="5" t="n">
        <v>9</v>
      </c>
      <c r="AA42" s="5" t="n">
        <v>6</v>
      </c>
      <c r="AB42" s="5" t="n">
        <v>1</v>
      </c>
      <c r="AC42" s="8" t="n">
        <f aca="false">IF($S42=1,IF(T$4=T$3,5,10*(T42-T$3)/(T$4-T$3)),"")</f>
        <v>10</v>
      </c>
      <c r="AD42" s="8" t="n">
        <f aca="false">IF($S42=1,IF(U$4=U$3,5,10*(U42-U$3)/(U$4-U$3)),"")</f>
        <v>0</v>
      </c>
      <c r="AE42" s="8" t="n">
        <f aca="false">IF($S42=1,IF(V$4=V$3,5,10*(V$4-V42)/(V$4-V$3)),"")</f>
        <v>4.54661436249728</v>
      </c>
      <c r="AF42" s="8" t="n">
        <f aca="false">IF($S42=1,IF(W$4=W$3,5,10*(W42-W$3)/(W$4-W$3)),"")</f>
        <v>10</v>
      </c>
      <c r="AG42" s="8" t="n">
        <f aca="false">IF($S42=1,IF(X$4=X$3,5,10*(X42-X$3)/(X$4-X$3)),"")</f>
        <v>2.85714285714286</v>
      </c>
      <c r="AH42" s="8" t="n">
        <f aca="false">IF($S42=1,IF(Y$4=Y$3,5,10*(Y42-Y$3)/(Y$4-Y$3)),"")</f>
        <v>8.33333333333333</v>
      </c>
      <c r="AI42" s="8" t="n">
        <f aca="false">IF($S42=1,IF(Z$4=Z$3,5,10*(Z42-Z$3)/(Z$4-Z$3)),"")</f>
        <v>8.88888888888889</v>
      </c>
      <c r="AJ42" s="8" t="n">
        <f aca="false">IF($S42=1,IF(AA$4=AA$3,5,10*(AA42-AA$3)/(AA$4-AA$3)),"")</f>
        <v>5</v>
      </c>
      <c r="AK42" s="8" t="n">
        <f aca="false">IF($S42=1,IF(AB$4=AB$3,5,10*(AB42-AB$3)/(AB$4-AB$3)),"")</f>
        <v>0</v>
      </c>
      <c r="AL42" s="10" t="n">
        <f aca="false">IF($S42=1,SUMPRODUCT(AC42:AK42,Settings!$B$21:$J$21),"")</f>
        <v>6.37529635688465</v>
      </c>
      <c r="AM42" s="10" t="n">
        <f aca="false">IF($S42=1,EXP(Settings!$B$21*LN(MAX(AC42,0.5))+Settings!$C$21*LN(MAX(AD42,0.5))+Settings!$D$21*LN(MAX(AE42,0.5))+Settings!$E$21*LN(MAX(AF42,0.5))+Settings!$F$21*LN(MAX(AG42,0.5))+Settings!$G$21*LN(MAX(AH42,0.5))+Settings!$H$21*LN(MAX(AI42,0.5))+Settings!$I$21*LN(MAX(AJ42,0.5))+Settings!$J$21*LN(MAX(AK42,0.5))),"")</f>
        <v>4.34290830925589</v>
      </c>
      <c r="AN42" s="6" t="n">
        <f aca="false">IF($S42=1,COUNTIFS($S$6:$S$55,1,$AL$6:$AL$55,"&gt;"&amp;AL42)+1,"")</f>
        <v>4</v>
      </c>
      <c r="AO42" s="0" t="str">
        <f aca="false">IF($S42=1,IF(AN42&lt;=CEILING(SUM($S$6:$S$55)*Settings!$B$30,1),"A",IF(AN42&lt;=CEILING(SUM($S$6:$S$55)*Settings!$B$31,1),"B","C")),"Excluded")</f>
        <v>A</v>
      </c>
    </row>
    <row r="43" customFormat="false" ht="15" hidden="false" customHeight="false" outlineLevel="0" collapsed="false">
      <c r="A43" s="0" t="s">
        <v>164</v>
      </c>
      <c r="B43" s="2" t="s">
        <v>165</v>
      </c>
      <c r="C43" s="6" t="s">
        <v>163</v>
      </c>
      <c r="D43" s="5" t="n">
        <v>20.3</v>
      </c>
      <c r="E43" s="5" t="n">
        <v>85.82</v>
      </c>
      <c r="F43" s="5" t="n">
        <v>3</v>
      </c>
      <c r="G43" s="5" t="n">
        <v>15</v>
      </c>
      <c r="H43" s="5" t="n">
        <v>0</v>
      </c>
      <c r="I43" s="5" t="n">
        <v>1</v>
      </c>
      <c r="J43" s="9" t="n">
        <f aca="false">2*Settings!$B$9*ASIN(SQRT(SIN(RADIANS(Settings!$B$4-$D43)/2)^2+COS(RADIANS($D43))*COS(RADIANS(Settings!$B$4))*SIN(RADIANS(Settings!$C$4-$E43)/2)^2))</f>
        <v>1361.41362848463</v>
      </c>
      <c r="K43" s="9" t="n">
        <f aca="false">2*Settings!$B$9*ASIN(SQRT(SIN(RADIANS(Settings!$B$5-$D43)/2)^2+COS(RADIANS($D43))*COS(RADIANS(Settings!$B$5))*SIN(RADIANS(Settings!$C$5-$E43)/2)^2))</f>
        <v>1269.60841468367</v>
      </c>
      <c r="L43" s="9" t="n">
        <f aca="false">2*Settings!$B$9*ASIN(SQRT(SIN(RADIANS(Settings!$B$6-$D43)/2)^2+COS(RADIANS($D43))*COS(RADIANS(Settings!$B$6))*SIN(RADIANS(Settings!$C$6-$E43)/2)^2))</f>
        <v>996.403659056943</v>
      </c>
      <c r="M43" s="9" t="n">
        <f aca="false">2*Settings!$B$9*ASIN(SQRT(SIN(RADIANS(Settings!$B$7-$D43)/2)^2+COS(RADIANS($D43))*COS(RADIANS(Settings!$B$7))*SIN(RADIANS(Settings!$C$7-$E43)/2)^2))</f>
        <v>1196.0785645021</v>
      </c>
      <c r="N43" s="8" t="n">
        <f aca="false">J43*Settings!$B$10</f>
        <v>19.0597907987848</v>
      </c>
      <c r="O43" s="8" t="n">
        <f aca="false">K43*Settings!$B$10</f>
        <v>17.7745178055713</v>
      </c>
      <c r="P43" s="8" t="n">
        <f aca="false">L43*Settings!$B$10</f>
        <v>13.9496512267972</v>
      </c>
      <c r="Q43" s="8" t="n">
        <f aca="false">M43*Settings!$B$10</f>
        <v>16.7450999030294</v>
      </c>
      <c r="R43" s="8" t="n">
        <f aca="false">AVERAGE(N43:Q43)</f>
        <v>16.8822649335457</v>
      </c>
      <c r="S43" s="6" t="n">
        <f aca="false">IF(AND(OR(Settings!$B$14=0,F43&lt;5),G43&lt;=Settings!$B$13,OR(H43=0,Settings!$B$15=1),OR(Settings!$B$16=0,I43=0)),1,0)</f>
        <v>1</v>
      </c>
      <c r="T43" s="5" t="n">
        <v>8.5</v>
      </c>
      <c r="U43" s="5" t="n">
        <v>5</v>
      </c>
      <c r="V43" s="8" t="n">
        <f aca="false">R43</f>
        <v>16.8822649335457</v>
      </c>
      <c r="W43" s="5" t="n">
        <v>7</v>
      </c>
      <c r="X43" s="5" t="n">
        <v>2</v>
      </c>
      <c r="Y43" s="5" t="n">
        <v>4</v>
      </c>
      <c r="Z43" s="5" t="n">
        <v>8</v>
      </c>
      <c r="AA43" s="5" t="n">
        <v>6</v>
      </c>
      <c r="AB43" s="5" t="n">
        <v>4</v>
      </c>
      <c r="AC43" s="8" t="n">
        <f aca="false">IF($S43=1,IF(T$4=T$3,5,10*(T43-T$3)/(T$4-T$3)),"")</f>
        <v>9.16666666666667</v>
      </c>
      <c r="AD43" s="8" t="n">
        <f aca="false">IF($S43=1,IF(U$4=U$3,5,10*(U43-U$3)/(U$4-U$3)),"")</f>
        <v>3.75</v>
      </c>
      <c r="AE43" s="8" t="n">
        <f aca="false">IF($S43=1,IF(V$4=V$3,5,10*(V$4-V43)/(V$4-V$3)),"")</f>
        <v>3.39899728141138</v>
      </c>
      <c r="AF43" s="8" t="n">
        <f aca="false">IF($S43=1,IF(W$4=W$3,5,10*(W43-W$3)/(W$4-W$3)),"")</f>
        <v>10</v>
      </c>
      <c r="AG43" s="8" t="n">
        <f aca="false">IF($S43=1,IF(X$4=X$3,5,10*(X43-X$3)/(X$4-X$3)),"")</f>
        <v>1.42857142857143</v>
      </c>
      <c r="AH43" s="8" t="n">
        <f aca="false">IF($S43=1,IF(Y$4=Y$3,5,10*(Y43-Y$3)/(Y$4-Y$3)),"")</f>
        <v>1.66666666666667</v>
      </c>
      <c r="AI43" s="8" t="n">
        <f aca="false">IF($S43=1,IF(Z$4=Z$3,5,10*(Z43-Z$3)/(Z$4-Z$3)),"")</f>
        <v>7.77777777777778</v>
      </c>
      <c r="AJ43" s="8" t="n">
        <f aca="false">IF($S43=1,IF(AA$4=AA$3,5,10*(AA43-AA$3)/(AA$4-AA$3)),"")</f>
        <v>5</v>
      </c>
      <c r="AK43" s="8" t="n">
        <f aca="false">IF($S43=1,IF(AB$4=AB$3,5,10*(AB43-AB$3)/(AB$4-AB$3)),"")</f>
        <v>3.33333333333333</v>
      </c>
      <c r="AL43" s="10" t="n">
        <f aca="false">IF($S43=1,SUMPRODUCT(AC43:AK43,Settings!$B$21:$J$21),"")</f>
        <v>5.9877171884586</v>
      </c>
      <c r="AM43" s="10" t="n">
        <f aca="false">IF($S43=1,EXP(Settings!$B$21*LN(MAX(AC43,0.5))+Settings!$C$21*LN(MAX(AD43,0.5))+Settings!$D$21*LN(MAX(AE43,0.5))+Settings!$E$21*LN(MAX(AF43,0.5))+Settings!$F$21*LN(MAX(AG43,0.5))+Settings!$G$21*LN(MAX(AH43,0.5))+Settings!$H$21*LN(MAX(AI43,0.5))+Settings!$I$21*LN(MAX(AJ43,0.5))+Settings!$J$21*LN(MAX(AK43,0.5))),"")</f>
        <v>5.01540858313612</v>
      </c>
      <c r="AN43" s="6" t="n">
        <f aca="false">IF($S43=1,COUNTIFS($S$6:$S$55,1,$AL$6:$AL$55,"&gt;"&amp;AL43)+1,"")</f>
        <v>15</v>
      </c>
      <c r="AO43" s="0" t="str">
        <f aca="false">IF($S43=1,IF(AN43&lt;=CEILING(SUM($S$6:$S$55)*Settings!$B$30,1),"A",IF(AN43&lt;=CEILING(SUM($S$6:$S$55)*Settings!$B$31,1),"B","C")),"Excluded")</f>
        <v>A</v>
      </c>
    </row>
    <row r="44" customFormat="false" ht="15" hidden="false" customHeight="false" outlineLevel="0" collapsed="false">
      <c r="A44" s="0" t="s">
        <v>166</v>
      </c>
      <c r="B44" s="2" t="s">
        <v>167</v>
      </c>
      <c r="C44" s="6" t="s">
        <v>168</v>
      </c>
      <c r="D44" s="5" t="n">
        <v>26.91</v>
      </c>
      <c r="E44" s="5" t="n">
        <v>75.79</v>
      </c>
      <c r="F44" s="5" t="n">
        <v>2</v>
      </c>
      <c r="G44" s="5" t="n">
        <v>15</v>
      </c>
      <c r="H44" s="5" t="n">
        <v>1</v>
      </c>
      <c r="I44" s="5" t="n">
        <v>0</v>
      </c>
      <c r="J44" s="9" t="n">
        <f aca="false">2*Settings!$B$9*ASIN(SQRT(SIN(RADIANS(Settings!$B$4-$D44)/2)^2+COS(RADIANS($D44))*COS(RADIANS(Settings!$B$4))*SIN(RADIANS(Settings!$C$4-$E44)/2)^2))</f>
        <v>920.570056489413</v>
      </c>
      <c r="K44" s="9" t="n">
        <f aca="false">2*Settings!$B$9*ASIN(SQRT(SIN(RADIANS(Settings!$B$5-$D44)/2)^2+COS(RADIANS($D44))*COS(RADIANS(Settings!$B$5))*SIN(RADIANS(Settings!$C$5-$E44)/2)^2))</f>
        <v>235.357014638105</v>
      </c>
      <c r="L44" s="9" t="n">
        <f aca="false">2*Settings!$B$9*ASIN(SQRT(SIN(RADIANS(Settings!$B$6-$D44)/2)^2+COS(RADIANS($D44))*COS(RADIANS(Settings!$B$6))*SIN(RADIANS(Settings!$C$6-$E44)/2)^2))</f>
        <v>1606.71019290559</v>
      </c>
      <c r="M44" s="9" t="n">
        <f aca="false">2*Settings!$B$9*ASIN(SQRT(SIN(RADIANS(Settings!$B$7-$D44)/2)^2+COS(RADIANS($D44))*COS(RADIANS(Settings!$B$7))*SIN(RADIANS(Settings!$C$7-$E44)/2)^2))</f>
        <v>1561.18573835961</v>
      </c>
      <c r="N44" s="8" t="n">
        <f aca="false">J44*Settings!$B$10</f>
        <v>12.8879807908518</v>
      </c>
      <c r="O44" s="8" t="n">
        <f aca="false">K44*Settings!$B$10</f>
        <v>3.29499820493347</v>
      </c>
      <c r="P44" s="8" t="n">
        <f aca="false">L44*Settings!$B$10</f>
        <v>22.4939427006782</v>
      </c>
      <c r="Q44" s="8" t="n">
        <f aca="false">M44*Settings!$B$10</f>
        <v>21.8566003370346</v>
      </c>
      <c r="R44" s="8" t="n">
        <f aca="false">AVERAGE(N44:Q44)</f>
        <v>15.1333805083745</v>
      </c>
      <c r="S44" s="6" t="n">
        <f aca="false">IF(AND(OR(Settings!$B$14=0,F44&lt;5),G44&lt;=Settings!$B$13,OR(H44=0,Settings!$B$15=1),OR(Settings!$B$16=0,I44=0)),1,0)</f>
        <v>1</v>
      </c>
      <c r="T44" s="5" t="n">
        <v>5.8</v>
      </c>
      <c r="U44" s="5" t="n">
        <v>4</v>
      </c>
      <c r="V44" s="8" t="n">
        <f aca="false">R44</f>
        <v>15.1333805083745</v>
      </c>
      <c r="W44" s="5" t="n">
        <v>1</v>
      </c>
      <c r="X44" s="5" t="n">
        <v>4</v>
      </c>
      <c r="Y44" s="5" t="n">
        <v>9</v>
      </c>
      <c r="Z44" s="5" t="n">
        <v>8</v>
      </c>
      <c r="AA44" s="5" t="n">
        <v>7</v>
      </c>
      <c r="AB44" s="5" t="n">
        <v>5</v>
      </c>
      <c r="AC44" s="8" t="n">
        <f aca="false">IF($S44=1,IF(T$4=T$3,5,10*(T44-T$3)/(T$4-T$3)),"")</f>
        <v>4.66666666666667</v>
      </c>
      <c r="AD44" s="8" t="n">
        <f aca="false">IF($S44=1,IF(U$4=U$3,5,10*(U44-U$3)/(U$4-U$3)),"")</f>
        <v>2.5</v>
      </c>
      <c r="AE44" s="8" t="n">
        <f aca="false">IF($S44=1,IF(V$4=V$3,5,10*(V$4-V44)/(V$4-V$3)),"")</f>
        <v>5.01247642879927</v>
      </c>
      <c r="AF44" s="8" t="n">
        <f aca="false">IF($S44=1,IF(W$4=W$3,5,10*(W44-W$3)/(W$4-W$3)),"")</f>
        <v>0</v>
      </c>
      <c r="AG44" s="8" t="n">
        <f aca="false">IF($S44=1,IF(X$4=X$3,5,10*(X44-X$3)/(X$4-X$3)),"")</f>
        <v>4.28571428571429</v>
      </c>
      <c r="AH44" s="8" t="n">
        <f aca="false">IF($S44=1,IF(Y$4=Y$3,5,10*(Y44-Y$3)/(Y$4-Y$3)),"")</f>
        <v>10</v>
      </c>
      <c r="AI44" s="8" t="n">
        <f aca="false">IF($S44=1,IF(Z$4=Z$3,5,10*(Z44-Z$3)/(Z$4-Z$3)),"")</f>
        <v>7.77777777777778</v>
      </c>
      <c r="AJ44" s="8" t="n">
        <f aca="false">IF($S44=1,IF(AA$4=AA$3,5,10*(AA44-AA$3)/(AA$4-AA$3)),"")</f>
        <v>6.66666666666667</v>
      </c>
      <c r="AK44" s="8" t="n">
        <f aca="false">IF($S44=1,IF(AB$4=AB$3,5,10*(AB44-AB$3)/(AB$4-AB$3)),"")</f>
        <v>4.44444444444445</v>
      </c>
      <c r="AL44" s="10" t="n">
        <f aca="false">IF($S44=1,SUMPRODUCT(AC44:AK44,Settings!$B$21:$J$21),"")</f>
        <v>4.53497780161009</v>
      </c>
      <c r="AM44" s="10" t="n">
        <f aca="false">IF($S44=1,EXP(Settings!$B$21*LN(MAX(AC44,0.5))+Settings!$C$21*LN(MAX(AD44,0.5))+Settings!$D$21*LN(MAX(AE44,0.5))+Settings!$E$21*LN(MAX(AF44,0.5))+Settings!$F$21*LN(MAX(AG44,0.5))+Settings!$G$21*LN(MAX(AH44,0.5))+Settings!$H$21*LN(MAX(AI44,0.5))+Settings!$I$21*LN(MAX(AJ44,0.5))+Settings!$J$21*LN(MAX(AK44,0.5))),"")</f>
        <v>3.48914579522325</v>
      </c>
      <c r="AN44" s="6" t="n">
        <f aca="false">IF($S44=1,COUNTIFS($S$6:$S$55,1,$AL$6:$AL$55,"&gt;"&amp;AL44)+1,"")</f>
        <v>34</v>
      </c>
      <c r="AO44" s="0" t="str">
        <f aca="false">IF($S44=1,IF(AN44&lt;=CEILING(SUM($S$6:$S$55)*Settings!$B$30,1),"A",IF(AN44&lt;=CEILING(SUM($S$6:$S$55)*Settings!$B$31,1),"B","C")),"Excluded")</f>
        <v>B</v>
      </c>
    </row>
    <row r="45" customFormat="false" ht="15" hidden="false" customHeight="false" outlineLevel="0" collapsed="false">
      <c r="A45" s="0" t="s">
        <v>169</v>
      </c>
      <c r="B45" s="2" t="s">
        <v>170</v>
      </c>
      <c r="C45" s="6" t="s">
        <v>168</v>
      </c>
      <c r="D45" s="5" t="n">
        <v>26.24</v>
      </c>
      <c r="E45" s="5" t="n">
        <v>73.02</v>
      </c>
      <c r="F45" s="5" t="n">
        <v>2</v>
      </c>
      <c r="G45" s="5" t="n">
        <v>10</v>
      </c>
      <c r="H45" s="5" t="n">
        <v>1</v>
      </c>
      <c r="I45" s="5" t="n">
        <v>0</v>
      </c>
      <c r="J45" s="9" t="n">
        <f aca="false">2*Settings!$B$9*ASIN(SQRT(SIN(RADIANS(Settings!$B$4-$D45)/2)^2+COS(RADIANS($D45))*COS(RADIANS(Settings!$B$4))*SIN(RADIANS(Settings!$C$4-$E45)/2)^2))</f>
        <v>796.733442185864</v>
      </c>
      <c r="K45" s="9" t="n">
        <f aca="false">2*Settings!$B$9*ASIN(SQRT(SIN(RADIANS(Settings!$B$5-$D45)/2)^2+COS(RADIANS($D45))*COS(RADIANS(Settings!$B$5))*SIN(RADIANS(Settings!$C$5-$E45)/2)^2))</f>
        <v>490.464554115939</v>
      </c>
      <c r="L45" s="9" t="n">
        <f aca="false">2*Settings!$B$9*ASIN(SQRT(SIN(RADIANS(Settings!$B$6-$D45)/2)^2+COS(RADIANS($D45))*COS(RADIANS(Settings!$B$6))*SIN(RADIANS(Settings!$C$6-$E45)/2)^2))</f>
        <v>1647.14091543166</v>
      </c>
      <c r="M45" s="9" t="n">
        <f aca="false">2*Settings!$B$9*ASIN(SQRT(SIN(RADIANS(Settings!$B$7-$D45)/2)^2+COS(RADIANS($D45))*COS(RADIANS(Settings!$B$7))*SIN(RADIANS(Settings!$C$7-$E45)/2)^2))</f>
        <v>1550.71991717929</v>
      </c>
      <c r="N45" s="8" t="n">
        <f aca="false">J45*Settings!$B$10</f>
        <v>11.1542681906021</v>
      </c>
      <c r="O45" s="8" t="n">
        <f aca="false">K45*Settings!$B$10</f>
        <v>6.86650375762314</v>
      </c>
      <c r="P45" s="8" t="n">
        <f aca="false">L45*Settings!$B$10</f>
        <v>23.0599728160432</v>
      </c>
      <c r="Q45" s="8" t="n">
        <f aca="false">M45*Settings!$B$10</f>
        <v>21.7100788405101</v>
      </c>
      <c r="R45" s="8" t="n">
        <f aca="false">AVERAGE(N45:Q45)</f>
        <v>15.6977059011946</v>
      </c>
      <c r="S45" s="6" t="n">
        <f aca="false">IF(AND(OR(Settings!$B$14=0,F45&lt;5),G45&lt;=Settings!$B$13,OR(H45=0,Settings!$B$15=1),OR(Settings!$B$16=0,I45=0)),1,0)</f>
        <v>1</v>
      </c>
      <c r="T45" s="5" t="n">
        <v>6.3</v>
      </c>
      <c r="U45" s="5" t="n">
        <v>2</v>
      </c>
      <c r="V45" s="8" t="n">
        <f aca="false">R45</f>
        <v>15.6977059011946</v>
      </c>
      <c r="W45" s="5" t="n">
        <v>1</v>
      </c>
      <c r="X45" s="5" t="n">
        <v>3</v>
      </c>
      <c r="Y45" s="5" t="n">
        <v>9</v>
      </c>
      <c r="Z45" s="5" t="n">
        <v>9</v>
      </c>
      <c r="AA45" s="5" t="n">
        <v>7</v>
      </c>
      <c r="AB45" s="5" t="n">
        <v>2</v>
      </c>
      <c r="AC45" s="8" t="n">
        <f aca="false">IF($S45=1,IF(T$4=T$3,5,10*(T45-T$3)/(T$4-T$3)),"")</f>
        <v>5.5</v>
      </c>
      <c r="AD45" s="8" t="n">
        <f aca="false">IF($S45=1,IF(U$4=U$3,5,10*(U45-U$3)/(U$4-U$3)),"")</f>
        <v>0</v>
      </c>
      <c r="AE45" s="8" t="n">
        <f aca="false">IF($S45=1,IF(V$4=V$3,5,10*(V$4-V45)/(V$4-V$3)),"")</f>
        <v>4.49184325227153</v>
      </c>
      <c r="AF45" s="8" t="n">
        <f aca="false">IF($S45=1,IF(W$4=W$3,5,10*(W45-W$3)/(W$4-W$3)),"")</f>
        <v>0</v>
      </c>
      <c r="AG45" s="8" t="n">
        <f aca="false">IF($S45=1,IF(X$4=X$3,5,10*(X45-X$3)/(X$4-X$3)),"")</f>
        <v>2.85714285714286</v>
      </c>
      <c r="AH45" s="8" t="n">
        <f aca="false">IF($S45=1,IF(Y$4=Y$3,5,10*(Y45-Y$3)/(Y$4-Y$3)),"")</f>
        <v>10</v>
      </c>
      <c r="AI45" s="8" t="n">
        <f aca="false">IF($S45=1,IF(Z$4=Z$3,5,10*(Z45-Z$3)/(Z$4-Z$3)),"")</f>
        <v>8.88888888888889</v>
      </c>
      <c r="AJ45" s="8" t="n">
        <f aca="false">IF($S45=1,IF(AA$4=AA$3,5,10*(AA45-AA$3)/(AA$4-AA$3)),"")</f>
        <v>6.66666666666667</v>
      </c>
      <c r="AK45" s="8" t="n">
        <f aca="false">IF($S45=1,IF(AB$4=AB$3,5,10*(AB45-AB$3)/(AB$4-AB$3)),"")</f>
        <v>1.11111111111111</v>
      </c>
      <c r="AL45" s="10" t="n">
        <f aca="false">IF($S45=1,SUMPRODUCT(AC45:AK45,Settings!$B$21:$J$21),"")</f>
        <v>4.13370813475096</v>
      </c>
      <c r="AM45" s="10" t="n">
        <f aca="false">IF($S45=1,EXP(Settings!$B$21*LN(MAX(AC45,0.5))+Settings!$C$21*LN(MAX(AD45,0.5))+Settings!$D$21*LN(MAX(AE45,0.5))+Settings!$E$21*LN(MAX(AF45,0.5))+Settings!$F$21*LN(MAX(AG45,0.5))+Settings!$G$21*LN(MAX(AH45,0.5))+Settings!$H$21*LN(MAX(AI45,0.5))+Settings!$I$21*LN(MAX(AJ45,0.5))+Settings!$J$21*LN(MAX(AK45,0.5))),"")</f>
        <v>2.59981145657142</v>
      </c>
      <c r="AN45" s="6" t="n">
        <f aca="false">IF($S45=1,COUNTIFS($S$6:$S$55,1,$AL$6:$AL$55,"&gt;"&amp;AL45)+1,"")</f>
        <v>41</v>
      </c>
      <c r="AO45" s="0" t="str">
        <f aca="false">IF($S45=1,IF(AN45&lt;=CEILING(SUM($S$6:$S$55)*Settings!$B$30,1),"A",IF(AN45&lt;=CEILING(SUM($S$6:$S$55)*Settings!$B$31,1),"B","C")),"Excluded")</f>
        <v>C</v>
      </c>
    </row>
    <row r="46" customFormat="false" ht="15" hidden="false" customHeight="false" outlineLevel="0" collapsed="false">
      <c r="A46" s="0" t="s">
        <v>171</v>
      </c>
      <c r="B46" s="2" t="s">
        <v>172</v>
      </c>
      <c r="C46" s="6" t="s">
        <v>173</v>
      </c>
      <c r="D46" s="5" t="n">
        <v>23.26</v>
      </c>
      <c r="E46" s="5" t="n">
        <v>77.41</v>
      </c>
      <c r="F46" s="5" t="n">
        <v>2</v>
      </c>
      <c r="G46" s="5" t="n">
        <v>15</v>
      </c>
      <c r="H46" s="5" t="n">
        <v>0</v>
      </c>
      <c r="I46" s="5" t="n">
        <v>0</v>
      </c>
      <c r="J46" s="9" t="n">
        <f aca="false">2*Settings!$B$9*ASIN(SQRT(SIN(RADIANS(Settings!$B$4-$D46)/2)^2+COS(RADIANS($D46))*COS(RADIANS(Settings!$B$4))*SIN(RADIANS(Settings!$C$4-$E46)/2)^2))</f>
        <v>661.155982994181</v>
      </c>
      <c r="K46" s="9" t="n">
        <f aca="false">2*Settings!$B$9*ASIN(SQRT(SIN(RADIANS(Settings!$B$5-$D46)/2)^2+COS(RADIANS($D46))*COS(RADIANS(Settings!$B$5))*SIN(RADIANS(Settings!$C$5-$E46)/2)^2))</f>
        <v>595.676395441279</v>
      </c>
      <c r="L46" s="9" t="n">
        <f aca="false">2*Settings!$B$9*ASIN(SQRT(SIN(RADIANS(Settings!$B$6-$D46)/2)^2+COS(RADIANS($D46))*COS(RADIANS(Settings!$B$6))*SIN(RADIANS(Settings!$C$6-$E46)/2)^2))</f>
        <v>1171.13931547168</v>
      </c>
      <c r="M46" s="9" t="n">
        <f aca="false">2*Settings!$B$9*ASIN(SQRT(SIN(RADIANS(Settings!$B$7-$D46)/2)^2+COS(RADIANS($D46))*COS(RADIANS(Settings!$B$7))*SIN(RADIANS(Settings!$C$7-$E46)/2)^2))</f>
        <v>1144.13807807277</v>
      </c>
      <c r="N46" s="8" t="n">
        <f aca="false">J46*Settings!$B$10</f>
        <v>9.25618376191853</v>
      </c>
      <c r="O46" s="8" t="n">
        <f aca="false">K46*Settings!$B$10</f>
        <v>8.3394695361779</v>
      </c>
      <c r="P46" s="8" t="n">
        <f aca="false">L46*Settings!$B$10</f>
        <v>16.3959504166035</v>
      </c>
      <c r="Q46" s="8" t="n">
        <f aca="false">M46*Settings!$B$10</f>
        <v>16.0179330930187</v>
      </c>
      <c r="R46" s="8" t="n">
        <f aca="false">AVERAGE(N46:Q46)</f>
        <v>12.5023842019297</v>
      </c>
      <c r="S46" s="6" t="n">
        <f aca="false">IF(AND(OR(Settings!$B$14=0,F46&lt;5),G46&lt;=Settings!$B$13,OR(H46=0,Settings!$B$15=1),OR(Settings!$B$16=0,I46=0)),1,0)</f>
        <v>1</v>
      </c>
      <c r="T46" s="5" t="n">
        <v>4.4</v>
      </c>
      <c r="U46" s="5" t="n">
        <v>4</v>
      </c>
      <c r="V46" s="8" t="n">
        <f aca="false">R46</f>
        <v>12.5023842019297</v>
      </c>
      <c r="W46" s="5" t="n">
        <v>5</v>
      </c>
      <c r="X46" s="5" t="n">
        <v>5</v>
      </c>
      <c r="Y46" s="5" t="n">
        <v>9</v>
      </c>
      <c r="Z46" s="5" t="n">
        <v>8</v>
      </c>
      <c r="AA46" s="5" t="n">
        <v>6</v>
      </c>
      <c r="AB46" s="5" t="n">
        <v>4</v>
      </c>
      <c r="AC46" s="8" t="n">
        <f aca="false">IF($S46=1,IF(T$4=T$3,5,10*(T46-T$3)/(T$4-T$3)),"")</f>
        <v>2.33333333333333</v>
      </c>
      <c r="AD46" s="8" t="n">
        <f aca="false">IF($S46=1,IF(U$4=U$3,5,10*(U46-U$3)/(U$4-U$3)),"")</f>
        <v>2.5</v>
      </c>
      <c r="AE46" s="8" t="n">
        <f aca="false">IF($S46=1,IF(V$4=V$3,5,10*(V$4-V46)/(V$4-V$3)),"")</f>
        <v>7.43977100367538</v>
      </c>
      <c r="AF46" s="8" t="n">
        <f aca="false">IF($S46=1,IF(W$4=W$3,5,10*(W46-W$3)/(W$4-W$3)),"")</f>
        <v>6.66666666666667</v>
      </c>
      <c r="AG46" s="8" t="n">
        <f aca="false">IF($S46=1,IF(X$4=X$3,5,10*(X46-X$3)/(X$4-X$3)),"")</f>
        <v>5.71428571428571</v>
      </c>
      <c r="AH46" s="8" t="n">
        <f aca="false">IF($S46=1,IF(Y$4=Y$3,5,10*(Y46-Y$3)/(Y$4-Y$3)),"")</f>
        <v>10</v>
      </c>
      <c r="AI46" s="8" t="n">
        <f aca="false">IF($S46=1,IF(Z$4=Z$3,5,10*(Z46-Z$3)/(Z$4-Z$3)),"")</f>
        <v>7.77777777777778</v>
      </c>
      <c r="AJ46" s="8" t="n">
        <f aca="false">IF($S46=1,IF(AA$4=AA$3,5,10*(AA46-AA$3)/(AA$4-AA$3)),"")</f>
        <v>5</v>
      </c>
      <c r="AK46" s="8" t="n">
        <f aca="false">IF($S46=1,IF(AB$4=AB$3,5,10*(AB46-AB$3)/(AB$4-AB$3)),"")</f>
        <v>3.33333333333333</v>
      </c>
      <c r="AL46" s="10" t="n">
        <f aca="false">IF($S46=1,SUMPRODUCT(AC46:AK46,Settings!$B$21:$J$21),"")</f>
        <v>5.04358027497071</v>
      </c>
      <c r="AM46" s="10" t="n">
        <f aca="false">IF($S46=1,EXP(Settings!$B$21*LN(MAX(AC46,0.5))+Settings!$C$21*LN(MAX(AD46,0.5))+Settings!$D$21*LN(MAX(AE46,0.5))+Settings!$E$21*LN(MAX(AF46,0.5))+Settings!$F$21*LN(MAX(AG46,0.5))+Settings!$G$21*LN(MAX(AH46,0.5))+Settings!$H$21*LN(MAX(AI46,0.5))+Settings!$I$21*LN(MAX(AJ46,0.5))+Settings!$J$21*LN(MAX(AK46,0.5))),"")</f>
        <v>4.37380359664704</v>
      </c>
      <c r="AN46" s="6" t="n">
        <f aca="false">IF($S46=1,COUNTIFS($S$6:$S$55,1,$AL$6:$AL$55,"&gt;"&amp;AL46)+1,"")</f>
        <v>26</v>
      </c>
      <c r="AO46" s="0" t="str">
        <f aca="false">IF($S46=1,IF(AN46&lt;=CEILING(SUM($S$6:$S$55)*Settings!$B$30,1),"A",IF(AN46&lt;=CEILING(SUM($S$6:$S$55)*Settings!$B$31,1),"B","C")),"Excluded")</f>
        <v>B</v>
      </c>
    </row>
    <row r="47" customFormat="false" ht="15" hidden="false" customHeight="false" outlineLevel="0" collapsed="false">
      <c r="A47" s="0" t="s">
        <v>174</v>
      </c>
      <c r="B47" s="2" t="s">
        <v>175</v>
      </c>
      <c r="C47" s="6" t="s">
        <v>173</v>
      </c>
      <c r="D47" s="5" t="n">
        <v>22.72</v>
      </c>
      <c r="E47" s="5" t="n">
        <v>75.86</v>
      </c>
      <c r="F47" s="5" t="n">
        <v>3</v>
      </c>
      <c r="G47" s="5" t="n">
        <v>15</v>
      </c>
      <c r="H47" s="5" t="n">
        <v>1</v>
      </c>
      <c r="I47" s="5" t="n">
        <v>0</v>
      </c>
      <c r="J47" s="9" t="n">
        <f aca="false">2*Settings!$B$9*ASIN(SQRT(SIN(RADIANS(Settings!$B$4-$D47)/2)^2+COS(RADIANS($D47))*COS(RADIANS(Settings!$B$4))*SIN(RADIANS(Settings!$C$4-$E47)/2)^2))</f>
        <v>509.991237197861</v>
      </c>
      <c r="K47" s="9" t="n">
        <f aca="false">2*Settings!$B$9*ASIN(SQRT(SIN(RADIANS(Settings!$B$5-$D47)/2)^2+COS(RADIANS($D47))*COS(RADIANS(Settings!$B$5))*SIN(RADIANS(Settings!$C$5-$E47)/2)^2))</f>
        <v>669.162558078719</v>
      </c>
      <c r="L47" s="9" t="n">
        <f aca="false">2*Settings!$B$9*ASIN(SQRT(SIN(RADIANS(Settings!$B$6-$D47)/2)^2+COS(RADIANS($D47))*COS(RADIANS(Settings!$B$6))*SIN(RADIANS(Settings!$C$6-$E47)/2)^2))</f>
        <v>1168.48332288525</v>
      </c>
      <c r="M47" s="9" t="n">
        <f aca="false">2*Settings!$B$9*ASIN(SQRT(SIN(RADIANS(Settings!$B$7-$D47)/2)^2+COS(RADIANS($D47))*COS(RADIANS(Settings!$B$7))*SIN(RADIANS(Settings!$C$7-$E47)/2)^2))</f>
        <v>1099.30810394849</v>
      </c>
      <c r="N47" s="8" t="n">
        <f aca="false">J47*Settings!$B$10</f>
        <v>7.13987732077005</v>
      </c>
      <c r="O47" s="8" t="n">
        <f aca="false">K47*Settings!$B$10</f>
        <v>9.36827581310206</v>
      </c>
      <c r="P47" s="8" t="n">
        <f aca="false">L47*Settings!$B$10</f>
        <v>16.3587665203935</v>
      </c>
      <c r="Q47" s="8" t="n">
        <f aca="false">M47*Settings!$B$10</f>
        <v>15.3903134552789</v>
      </c>
      <c r="R47" s="8" t="n">
        <f aca="false">AVERAGE(N47:Q47)</f>
        <v>12.0643082773861</v>
      </c>
      <c r="S47" s="6" t="n">
        <f aca="false">IF(AND(OR(Settings!$B$14=0,F47&lt;5),G47&lt;=Settings!$B$13,OR(H47=0,Settings!$B$15=1),OR(Settings!$B$16=0,I47=0)),1,0)</f>
        <v>1</v>
      </c>
      <c r="T47" s="5" t="n">
        <v>4.4</v>
      </c>
      <c r="U47" s="5" t="n">
        <v>5</v>
      </c>
      <c r="V47" s="8" t="n">
        <f aca="false">R47</f>
        <v>12.0643082773861</v>
      </c>
      <c r="W47" s="5" t="n">
        <v>2</v>
      </c>
      <c r="X47" s="5" t="n">
        <v>5</v>
      </c>
      <c r="Y47" s="5" t="n">
        <v>7</v>
      </c>
      <c r="Z47" s="5" t="n">
        <v>8</v>
      </c>
      <c r="AA47" s="5" t="n">
        <v>6</v>
      </c>
      <c r="AB47" s="5" t="n">
        <v>5</v>
      </c>
      <c r="AC47" s="8" t="n">
        <f aca="false">IF($S47=1,IF(T$4=T$3,5,10*(T47-T$3)/(T$4-T$3)),"")</f>
        <v>2.33333333333333</v>
      </c>
      <c r="AD47" s="8" t="n">
        <f aca="false">IF($S47=1,IF(U$4=U$3,5,10*(U47-U$3)/(U$4-U$3)),"")</f>
        <v>3.75</v>
      </c>
      <c r="AE47" s="8" t="n">
        <f aca="false">IF($S47=1,IF(V$4=V$3,5,10*(V$4-V47)/(V$4-V$3)),"")</f>
        <v>7.84392942549589</v>
      </c>
      <c r="AF47" s="8" t="n">
        <f aca="false">IF($S47=1,IF(W$4=W$3,5,10*(W47-W$3)/(W$4-W$3)),"")</f>
        <v>1.66666666666667</v>
      </c>
      <c r="AG47" s="8" t="n">
        <f aca="false">IF($S47=1,IF(X$4=X$3,5,10*(X47-X$3)/(X$4-X$3)),"")</f>
        <v>5.71428571428571</v>
      </c>
      <c r="AH47" s="8" t="n">
        <f aca="false">IF($S47=1,IF(Y$4=Y$3,5,10*(Y47-Y$3)/(Y$4-Y$3)),"")</f>
        <v>6.66666666666667</v>
      </c>
      <c r="AI47" s="8" t="n">
        <f aca="false">IF($S47=1,IF(Z$4=Z$3,5,10*(Z47-Z$3)/(Z$4-Z$3)),"")</f>
        <v>7.77777777777778</v>
      </c>
      <c r="AJ47" s="8" t="n">
        <f aca="false">IF($S47=1,IF(AA$4=AA$3,5,10*(AA47-AA$3)/(AA$4-AA$3)),"")</f>
        <v>5</v>
      </c>
      <c r="AK47" s="8" t="n">
        <f aca="false">IF($S47=1,IF(AB$4=AB$3,5,10*(AB47-AB$3)/(AB$4-AB$3)),"")</f>
        <v>4.44444444444445</v>
      </c>
      <c r="AL47" s="10" t="n">
        <f aca="false">IF($S47=1,SUMPRODUCT(AC47:AK47,Settings!$B$21:$J$21),"")</f>
        <v>4.24371833937499</v>
      </c>
      <c r="AM47" s="10" t="n">
        <f aca="false">IF($S47=1,EXP(Settings!$B$21*LN(MAX(AC47,0.5))+Settings!$C$21*LN(MAX(AD47,0.5))+Settings!$D$21*LN(MAX(AE47,0.5))+Settings!$E$21*LN(MAX(AF47,0.5))+Settings!$F$21*LN(MAX(AG47,0.5))+Settings!$G$21*LN(MAX(AH47,0.5))+Settings!$H$21*LN(MAX(AI47,0.5))+Settings!$I$21*LN(MAX(AJ47,0.5))+Settings!$J$21*LN(MAX(AK47,0.5))),"")</f>
        <v>3.69742343377291</v>
      </c>
      <c r="AN47" s="6" t="n">
        <f aca="false">IF($S47=1,COUNTIFS($S$6:$S$55,1,$AL$6:$AL$55,"&gt;"&amp;AL47)+1,"")</f>
        <v>40</v>
      </c>
      <c r="AO47" s="0" t="str">
        <f aca="false">IF($S47=1,IF(AN47&lt;=CEILING(SUM($S$6:$S$55)*Settings!$B$30,1),"A",IF(AN47&lt;=CEILING(SUM($S$6:$S$55)*Settings!$B$31,1),"B","C")),"Excluded")</f>
        <v>C</v>
      </c>
    </row>
    <row r="48" customFormat="false" ht="15" hidden="false" customHeight="false" outlineLevel="0" collapsed="false">
      <c r="A48" s="0" t="s">
        <v>176</v>
      </c>
      <c r="B48" s="2" t="s">
        <v>177</v>
      </c>
      <c r="C48" s="6" t="s">
        <v>178</v>
      </c>
      <c r="D48" s="5" t="n">
        <v>21.16</v>
      </c>
      <c r="E48" s="5" t="n">
        <v>81.79</v>
      </c>
      <c r="F48" s="5" t="n">
        <v>2</v>
      </c>
      <c r="G48" s="5" t="n">
        <v>25</v>
      </c>
      <c r="H48" s="5" t="n">
        <v>0</v>
      </c>
      <c r="I48" s="5" t="n">
        <v>0</v>
      </c>
      <c r="J48" s="9" t="n">
        <f aca="false">2*Settings!$B$9*ASIN(SQRT(SIN(RADIANS(Settings!$B$4-$D48)/2)^2+COS(RADIANS($D48))*COS(RADIANS(Settings!$B$4))*SIN(RADIANS(Settings!$C$4-$E48)/2)^2))</f>
        <v>958.749298052802</v>
      </c>
      <c r="K48" s="9" t="n">
        <f aca="false">2*Settings!$B$9*ASIN(SQRT(SIN(RADIANS(Settings!$B$5-$D48)/2)^2+COS(RADIANS($D48))*COS(RADIANS(Settings!$B$5))*SIN(RADIANS(Settings!$C$5-$E48)/2)^2))</f>
        <v>948.678671710713</v>
      </c>
      <c r="L48" s="9" t="n">
        <f aca="false">2*Settings!$B$9*ASIN(SQRT(SIN(RADIANS(Settings!$B$6-$D48)/2)^2+COS(RADIANS($D48))*COS(RADIANS(Settings!$B$6))*SIN(RADIANS(Settings!$C$6-$E48)/2)^2))</f>
        <v>912.500432192193</v>
      </c>
      <c r="M48" s="9" t="n">
        <f aca="false">2*Settings!$B$9*ASIN(SQRT(SIN(RADIANS(Settings!$B$7-$D48)/2)^2+COS(RADIANS($D48))*COS(RADIANS(Settings!$B$7))*SIN(RADIANS(Settings!$C$7-$E48)/2)^2))</f>
        <v>1013.62949549931</v>
      </c>
      <c r="N48" s="8" t="n">
        <f aca="false">J48*Settings!$B$10</f>
        <v>13.4224901727392</v>
      </c>
      <c r="O48" s="8" t="n">
        <f aca="false">K48*Settings!$B$10</f>
        <v>13.28150140395</v>
      </c>
      <c r="P48" s="8" t="n">
        <f aca="false">L48*Settings!$B$10</f>
        <v>12.7750060506907</v>
      </c>
      <c r="Q48" s="8" t="n">
        <f aca="false">M48*Settings!$B$10</f>
        <v>14.1908129369904</v>
      </c>
      <c r="R48" s="8" t="n">
        <f aca="false">AVERAGE(N48:Q48)</f>
        <v>13.4174526410926</v>
      </c>
      <c r="S48" s="6" t="n">
        <f aca="false">IF(AND(OR(Settings!$B$14=0,F48&lt;5),G48&lt;=Settings!$B$13,OR(H48=0,Settings!$B$15=1),OR(Settings!$B$16=0,I48=0)),1,0)</f>
        <v>1</v>
      </c>
      <c r="T48" s="5" t="n">
        <v>7.45</v>
      </c>
      <c r="U48" s="5" t="n">
        <v>4</v>
      </c>
      <c r="V48" s="8" t="n">
        <f aca="false">R48</f>
        <v>13.4174526410926</v>
      </c>
      <c r="W48" s="5" t="n">
        <v>7</v>
      </c>
      <c r="X48" s="5" t="n">
        <v>4</v>
      </c>
      <c r="Y48" s="5" t="n">
        <v>9</v>
      </c>
      <c r="Z48" s="5" t="n">
        <v>9</v>
      </c>
      <c r="AA48" s="5" t="n">
        <v>4</v>
      </c>
      <c r="AB48" s="5" t="n">
        <v>2</v>
      </c>
      <c r="AC48" s="8" t="n">
        <f aca="false">IF($S48=1,IF(T$4=T$3,5,10*(T48-T$3)/(T$4-T$3)),"")</f>
        <v>7.41666666666667</v>
      </c>
      <c r="AD48" s="8" t="n">
        <f aca="false">IF($S48=1,IF(U$4=U$3,5,10*(U48-U$3)/(U$4-U$3)),"")</f>
        <v>2.5</v>
      </c>
      <c r="AE48" s="8" t="n">
        <f aca="false">IF($S48=1,IF(V$4=V$3,5,10*(V$4-V48)/(V$4-V$3)),"")</f>
        <v>6.59555064024134</v>
      </c>
      <c r="AF48" s="8" t="n">
        <f aca="false">IF($S48=1,IF(W$4=W$3,5,10*(W48-W$3)/(W$4-W$3)),"")</f>
        <v>10</v>
      </c>
      <c r="AG48" s="8" t="n">
        <f aca="false">IF($S48=1,IF(X$4=X$3,5,10*(X48-X$3)/(X$4-X$3)),"")</f>
        <v>4.28571428571429</v>
      </c>
      <c r="AH48" s="8" t="n">
        <f aca="false">IF($S48=1,IF(Y$4=Y$3,5,10*(Y48-Y$3)/(Y$4-Y$3)),"")</f>
        <v>10</v>
      </c>
      <c r="AI48" s="8" t="n">
        <f aca="false">IF($S48=1,IF(Z$4=Z$3,5,10*(Z48-Z$3)/(Z$4-Z$3)),"")</f>
        <v>8.88888888888889</v>
      </c>
      <c r="AJ48" s="8" t="n">
        <f aca="false">IF($S48=1,IF(AA$4=AA$3,5,10*(AA48-AA$3)/(AA$4-AA$3)),"")</f>
        <v>1.66666666666667</v>
      </c>
      <c r="AK48" s="8" t="n">
        <f aca="false">IF($S48=1,IF(AB$4=AB$3,5,10*(AB48-AB$3)/(AB$4-AB$3)),"")</f>
        <v>1.11111111111111</v>
      </c>
      <c r="AL48" s="10" t="n">
        <f aca="false">IF($S48=1,SUMPRODUCT(AC48:AK48,Settings!$B$21:$J$21),"")</f>
        <v>6.26967411164318</v>
      </c>
      <c r="AM48" s="10" t="n">
        <f aca="false">IF($S48=1,EXP(Settings!$B$21*LN(MAX(AC48,0.5))+Settings!$C$21*LN(MAX(AD48,0.5))+Settings!$D$21*LN(MAX(AE48,0.5))+Settings!$E$21*LN(MAX(AF48,0.5))+Settings!$F$21*LN(MAX(AG48,0.5))+Settings!$G$21*LN(MAX(AH48,0.5))+Settings!$H$21*LN(MAX(AI48,0.5))+Settings!$I$21*LN(MAX(AJ48,0.5))+Settings!$J$21*LN(MAX(AK48,0.5))),"")</f>
        <v>5.16041443588395</v>
      </c>
      <c r="AN48" s="6" t="n">
        <f aca="false">IF($S48=1,COUNTIFS($S$6:$S$55,1,$AL$6:$AL$55,"&gt;"&amp;AL48)+1,"")</f>
        <v>7</v>
      </c>
      <c r="AO48" s="0" t="str">
        <f aca="false">IF($S48=1,IF(AN48&lt;=CEILING(SUM($S$6:$S$55)*Settings!$B$30,1),"A",IF(AN48&lt;=CEILING(SUM($S$6:$S$55)*Settings!$B$31,1),"B","C")),"Excluded")</f>
        <v>A</v>
      </c>
    </row>
    <row r="49" customFormat="false" ht="15" hidden="false" customHeight="false" outlineLevel="0" collapsed="false">
      <c r="A49" s="0" t="s">
        <v>179</v>
      </c>
      <c r="B49" s="2" t="s">
        <v>180</v>
      </c>
      <c r="C49" s="6" t="s">
        <v>181</v>
      </c>
      <c r="D49" s="5" t="n">
        <v>23.34</v>
      </c>
      <c r="E49" s="5" t="n">
        <v>85.31</v>
      </c>
      <c r="F49" s="5" t="n">
        <v>2</v>
      </c>
      <c r="G49" s="5" t="n">
        <v>15</v>
      </c>
      <c r="H49" s="5" t="n">
        <v>0</v>
      </c>
      <c r="I49" s="5" t="n">
        <v>0</v>
      </c>
      <c r="J49" s="9" t="n">
        <f aca="false">2*Settings!$B$9*ASIN(SQRT(SIN(RADIANS(Settings!$B$4-$D49)/2)^2+COS(RADIANS($D49))*COS(RADIANS(Settings!$B$4))*SIN(RADIANS(Settings!$C$4-$E49)/2)^2))</f>
        <v>1372.48482606278</v>
      </c>
      <c r="K49" s="9" t="n">
        <f aca="false">2*Settings!$B$9*ASIN(SQRT(SIN(RADIANS(Settings!$B$5-$D49)/2)^2+COS(RADIANS($D49))*COS(RADIANS(Settings!$B$5))*SIN(RADIANS(Settings!$C$5-$E49)/2)^2))</f>
        <v>999.329712272585</v>
      </c>
      <c r="L49" s="9" t="n">
        <f aca="false">2*Settings!$B$9*ASIN(SQRT(SIN(RADIANS(Settings!$B$6-$D49)/2)^2+COS(RADIANS($D49))*COS(RADIANS(Settings!$B$6))*SIN(RADIANS(Settings!$C$6-$E49)/2)^2))</f>
        <v>1258.24311057781</v>
      </c>
      <c r="M49" s="9" t="n">
        <f aca="false">2*Settings!$B$9*ASIN(SQRT(SIN(RADIANS(Settings!$B$7-$D49)/2)^2+COS(RADIANS($D49))*COS(RADIANS(Settings!$B$7))*SIN(RADIANS(Settings!$C$7-$E49)/2)^2))</f>
        <v>1411.12014196736</v>
      </c>
      <c r="N49" s="8" t="n">
        <f aca="false">J49*Settings!$B$10</f>
        <v>19.2147875648789</v>
      </c>
      <c r="O49" s="8" t="n">
        <f aca="false">K49*Settings!$B$10</f>
        <v>13.9906159718162</v>
      </c>
      <c r="P49" s="8" t="n">
        <f aca="false">L49*Settings!$B$10</f>
        <v>17.6154035480893</v>
      </c>
      <c r="Q49" s="8" t="n">
        <f aca="false">M49*Settings!$B$10</f>
        <v>19.7556819875431</v>
      </c>
      <c r="R49" s="8" t="n">
        <f aca="false">AVERAGE(N49:Q49)</f>
        <v>17.6441222680818</v>
      </c>
      <c r="S49" s="6" t="n">
        <f aca="false">IF(AND(OR(Settings!$B$14=0,F49&lt;5),G49&lt;=Settings!$B$13,OR(H49=0,Settings!$B$15=1),OR(Settings!$B$16=0,I49=0)),1,0)</f>
        <v>1</v>
      </c>
      <c r="T49" s="5" t="n">
        <v>5.75</v>
      </c>
      <c r="U49" s="5" t="n">
        <v>4</v>
      </c>
      <c r="V49" s="8" t="n">
        <f aca="false">R49</f>
        <v>17.6441222680818</v>
      </c>
      <c r="W49" s="5" t="n">
        <v>5</v>
      </c>
      <c r="X49" s="5" t="n">
        <v>6</v>
      </c>
      <c r="Y49" s="5" t="n">
        <v>9</v>
      </c>
      <c r="Z49" s="5" t="n">
        <v>8</v>
      </c>
      <c r="AA49" s="5" t="n">
        <v>3</v>
      </c>
      <c r="AB49" s="5" t="n">
        <v>2</v>
      </c>
      <c r="AC49" s="8" t="n">
        <f aca="false">IF($S49=1,IF(T$4=T$3,5,10*(T49-T$3)/(T$4-T$3)),"")</f>
        <v>4.58333333333333</v>
      </c>
      <c r="AD49" s="8" t="n">
        <f aca="false">IF($S49=1,IF(U$4=U$3,5,10*(U49-U$3)/(U$4-U$3)),"")</f>
        <v>2.5</v>
      </c>
      <c r="AE49" s="8" t="n">
        <f aca="false">IF($S49=1,IF(V$4=V$3,5,10*(V$4-V49)/(V$4-V$3)),"")</f>
        <v>2.69612583669695</v>
      </c>
      <c r="AF49" s="8" t="n">
        <f aca="false">IF($S49=1,IF(W$4=W$3,5,10*(W49-W$3)/(W$4-W$3)),"")</f>
        <v>6.66666666666667</v>
      </c>
      <c r="AG49" s="8" t="n">
        <f aca="false">IF($S49=1,IF(X$4=X$3,5,10*(X49-X$3)/(X$4-X$3)),"")</f>
        <v>7.14285714285714</v>
      </c>
      <c r="AH49" s="8" t="n">
        <f aca="false">IF($S49=1,IF(Y$4=Y$3,5,10*(Y49-Y$3)/(Y$4-Y$3)),"")</f>
        <v>10</v>
      </c>
      <c r="AI49" s="8" t="n">
        <f aca="false">IF($S49=1,IF(Z$4=Z$3,5,10*(Z49-Z$3)/(Z$4-Z$3)),"")</f>
        <v>7.77777777777778</v>
      </c>
      <c r="AJ49" s="8" t="n">
        <f aca="false">IF($S49=1,IF(AA$4=AA$3,5,10*(AA49-AA$3)/(AA$4-AA$3)),"")</f>
        <v>0</v>
      </c>
      <c r="AK49" s="8" t="n">
        <f aca="false">IF($S49=1,IF(AB$4=AB$3,5,10*(AB49-AB$3)/(AB$4-AB$3)),"")</f>
        <v>1.11111111111111</v>
      </c>
      <c r="AL49" s="10" t="n">
        <f aca="false">IF($S49=1,SUMPRODUCT(AC49:AK49,Settings!$B$21:$J$21),"")</f>
        <v>4.59203321859033</v>
      </c>
      <c r="AM49" s="10" t="n">
        <f aca="false">IF($S49=1,EXP(Settings!$B$21*LN(MAX(AC49,0.5))+Settings!$C$21*LN(MAX(AD49,0.5))+Settings!$D$21*LN(MAX(AE49,0.5))+Settings!$E$21*LN(MAX(AF49,0.5))+Settings!$F$21*LN(MAX(AG49,0.5))+Settings!$G$21*LN(MAX(AH49,0.5))+Settings!$H$21*LN(MAX(AI49,0.5))+Settings!$I$21*LN(MAX(AJ49,0.5))+Settings!$J$21*LN(MAX(AK49,0.5))),"")</f>
        <v>3.55686956086584</v>
      </c>
      <c r="AN49" s="6" t="n">
        <f aca="false">IF($S49=1,COUNTIFS($S$6:$S$55,1,$AL$6:$AL$55,"&gt;"&amp;AL49)+1,"")</f>
        <v>31</v>
      </c>
      <c r="AO49" s="0" t="str">
        <f aca="false">IF($S49=1,IF(AN49&lt;=CEILING(SUM($S$6:$S$55)*Settings!$B$30,1),"A",IF(AN49&lt;=CEILING(SUM($S$6:$S$55)*Settings!$B$31,1),"B","C")),"Excluded")</f>
        <v>B</v>
      </c>
    </row>
    <row r="50" customFormat="false" ht="15" hidden="false" customHeight="false" outlineLevel="0" collapsed="false">
      <c r="A50" s="0" t="s">
        <v>182</v>
      </c>
      <c r="B50" s="2" t="s">
        <v>183</v>
      </c>
      <c r="C50" s="6" t="s">
        <v>184</v>
      </c>
      <c r="D50" s="5" t="n">
        <v>15.36</v>
      </c>
      <c r="E50" s="5" t="n">
        <v>73.93</v>
      </c>
      <c r="F50" s="5" t="n">
        <v>3</v>
      </c>
      <c r="G50" s="5" t="n">
        <v>15</v>
      </c>
      <c r="H50" s="5" t="n">
        <v>0</v>
      </c>
      <c r="I50" s="5" t="n">
        <v>0</v>
      </c>
      <c r="J50" s="9" t="n">
        <f aca="false">2*Settings!$B$9*ASIN(SQRT(SIN(RADIANS(Settings!$B$4-$D50)/2)^2+COS(RADIANS($D50))*COS(RADIANS(Settings!$B$4))*SIN(RADIANS(Settings!$C$4-$E50)/2)^2))</f>
        <v>428.034485229223</v>
      </c>
      <c r="K50" s="9" t="n">
        <f aca="false">2*Settings!$B$9*ASIN(SQRT(SIN(RADIANS(Settings!$B$5-$D50)/2)^2+COS(RADIANS($D50))*COS(RADIANS(Settings!$B$5))*SIN(RADIANS(Settings!$C$5-$E50)/2)^2))</f>
        <v>1511.80686014839</v>
      </c>
      <c r="L50" s="9" t="n">
        <f aca="false">2*Settings!$B$9*ASIN(SQRT(SIN(RADIANS(Settings!$B$6-$D50)/2)^2+COS(RADIANS($D50))*COS(RADIANS(Settings!$B$6))*SIN(RADIANS(Settings!$C$6-$E50)/2)^2))</f>
        <v>728.696691183268</v>
      </c>
      <c r="M50" s="9" t="n">
        <f aca="false">2*Settings!$B$9*ASIN(SQRT(SIN(RADIANS(Settings!$B$7-$D50)/2)^2+COS(RADIANS($D50))*COS(RADIANS(Settings!$B$7))*SIN(RADIANS(Settings!$C$7-$E50)/2)^2))</f>
        <v>475.94725448292</v>
      </c>
      <c r="N50" s="8" t="n">
        <f aca="false">J50*Settings!$B$10</f>
        <v>5.99248279320913</v>
      </c>
      <c r="O50" s="8" t="n">
        <f aca="false">K50*Settings!$B$10</f>
        <v>21.1652960420774</v>
      </c>
      <c r="P50" s="8" t="n">
        <f aca="false">L50*Settings!$B$10</f>
        <v>10.2017536765658</v>
      </c>
      <c r="Q50" s="8" t="n">
        <f aca="false">M50*Settings!$B$10</f>
        <v>6.66326156276088</v>
      </c>
      <c r="R50" s="8" t="n">
        <f aca="false">AVERAGE(N50:Q50)</f>
        <v>11.0056985186533</v>
      </c>
      <c r="S50" s="6" t="n">
        <f aca="false">IF(AND(OR(Settings!$B$14=0,F50&lt;5),G50&lt;=Settings!$B$13,OR(H50=0,Settings!$B$15=1),OR(Settings!$B$16=0,I50=0)),1,0)</f>
        <v>1</v>
      </c>
      <c r="T50" s="5" t="n">
        <v>5.1</v>
      </c>
      <c r="U50" s="5" t="n">
        <v>4</v>
      </c>
      <c r="V50" s="8" t="n">
        <f aca="false">R50</f>
        <v>11.0056985186533</v>
      </c>
      <c r="W50" s="5" t="n">
        <v>7</v>
      </c>
      <c r="X50" s="5" t="n">
        <v>2</v>
      </c>
      <c r="Y50" s="5" t="n">
        <v>6</v>
      </c>
      <c r="Z50" s="5" t="n">
        <v>4</v>
      </c>
      <c r="AA50" s="5" t="n">
        <v>4</v>
      </c>
      <c r="AB50" s="5" t="n">
        <v>2</v>
      </c>
      <c r="AC50" s="8" t="n">
        <f aca="false">IF($S50=1,IF(T$4=T$3,5,10*(T50-T$3)/(T$4-T$3)),"")</f>
        <v>3.5</v>
      </c>
      <c r="AD50" s="8" t="n">
        <f aca="false">IF($S50=1,IF(U$4=U$3,5,10*(U50-U$3)/(U$4-U$3)),"")</f>
        <v>2.5</v>
      </c>
      <c r="AE50" s="8" t="n">
        <f aca="false">IF($S50=1,IF(V$4=V$3,5,10*(V$4-V50)/(V$4-V$3)),"")</f>
        <v>8.82057759409605</v>
      </c>
      <c r="AF50" s="8" t="n">
        <f aca="false">IF($S50=1,IF(W$4=W$3,5,10*(W50-W$3)/(W$4-W$3)),"")</f>
        <v>10</v>
      </c>
      <c r="AG50" s="8" t="n">
        <f aca="false">IF($S50=1,IF(X$4=X$3,5,10*(X50-X$3)/(X$4-X$3)),"")</f>
        <v>1.42857142857143</v>
      </c>
      <c r="AH50" s="8" t="n">
        <f aca="false">IF($S50=1,IF(Y$4=Y$3,5,10*(Y50-Y$3)/(Y$4-Y$3)),"")</f>
        <v>5</v>
      </c>
      <c r="AI50" s="8" t="n">
        <f aca="false">IF($S50=1,IF(Z$4=Z$3,5,10*(Z50-Z$3)/(Z$4-Z$3)),"")</f>
        <v>3.33333333333333</v>
      </c>
      <c r="AJ50" s="8" t="n">
        <f aca="false">IF($S50=1,IF(AA$4=AA$3,5,10*(AA50-AA$3)/(AA$4-AA$3)),"")</f>
        <v>1.66666666666667</v>
      </c>
      <c r="AK50" s="8" t="n">
        <f aca="false">IF($S50=1,IF(AB$4=AB$3,5,10*(AB50-AB$3)/(AB$4-AB$3)),"")</f>
        <v>1.11111111111111</v>
      </c>
      <c r="AL50" s="10" t="n">
        <f aca="false">IF($S50=1,SUMPRODUCT(AC50:AK50,Settings!$B$21:$J$21),"")</f>
        <v>4.59237521972707</v>
      </c>
      <c r="AM50" s="10" t="n">
        <f aca="false">IF($S50=1,EXP(Settings!$B$21*LN(MAX(AC50,0.5))+Settings!$C$21*LN(MAX(AD50,0.5))+Settings!$D$21*LN(MAX(AE50,0.5))+Settings!$E$21*LN(MAX(AF50,0.5))+Settings!$F$21*LN(MAX(AG50,0.5))+Settings!$G$21*LN(MAX(AH50,0.5))+Settings!$H$21*LN(MAX(AI50,0.5))+Settings!$I$21*LN(MAX(AJ50,0.5))+Settings!$J$21*LN(MAX(AK50,0.5))),"")</f>
        <v>3.70268272652612</v>
      </c>
      <c r="AN50" s="6" t="n">
        <f aca="false">IF($S50=1,COUNTIFS($S$6:$S$55,1,$AL$6:$AL$55,"&gt;"&amp;AL50)+1,"")</f>
        <v>30</v>
      </c>
      <c r="AO50" s="0" t="str">
        <f aca="false">IF($S50=1,IF(AN50&lt;=CEILING(SUM($S$6:$S$55)*Settings!$B$30,1),"A",IF(AN50&lt;=CEILING(SUM($S$6:$S$55)*Settings!$B$31,1),"B","C")),"Excluded")</f>
        <v>B</v>
      </c>
    </row>
    <row r="51" customFormat="false" ht="15" hidden="false" customHeight="false" outlineLevel="0" collapsed="false">
      <c r="A51" s="0" t="s">
        <v>185</v>
      </c>
      <c r="B51" s="2" t="s">
        <v>186</v>
      </c>
      <c r="C51" s="6" t="s">
        <v>187</v>
      </c>
      <c r="D51" s="5" t="n">
        <v>30.32</v>
      </c>
      <c r="E51" s="5" t="n">
        <v>78.03</v>
      </c>
      <c r="F51" s="5" t="n">
        <v>4</v>
      </c>
      <c r="G51" s="5" t="n">
        <v>15</v>
      </c>
      <c r="H51" s="5" t="n">
        <v>0</v>
      </c>
      <c r="I51" s="5" t="n">
        <v>0</v>
      </c>
      <c r="J51" s="9" t="n">
        <f aca="false">2*Settings!$B$9*ASIN(SQRT(SIN(RADIANS(Settings!$B$4-$D51)/2)^2+COS(RADIANS($D51))*COS(RADIANS(Settings!$B$4))*SIN(RADIANS(Settings!$C$4-$E51)/2)^2))</f>
        <v>1353.74449741782</v>
      </c>
      <c r="K51" s="9" t="n">
        <f aca="false">2*Settings!$B$9*ASIN(SQRT(SIN(RADIANS(Settings!$B$5-$D51)/2)^2+COS(RADIANS($D51))*COS(RADIANS(Settings!$B$5))*SIN(RADIANS(Settings!$C$5-$E51)/2)^2))</f>
        <v>205.674293156074</v>
      </c>
      <c r="L51" s="9" t="n">
        <f aca="false">2*Settings!$B$9*ASIN(SQRT(SIN(RADIANS(Settings!$B$6-$D51)/2)^2+COS(RADIANS($D51))*COS(RADIANS(Settings!$B$6))*SIN(RADIANS(Settings!$C$6-$E51)/2)^2))</f>
        <v>1930.43254836287</v>
      </c>
      <c r="M51" s="9" t="n">
        <f aca="false">2*Settings!$B$9*ASIN(SQRT(SIN(RADIANS(Settings!$B$7-$D51)/2)^2+COS(RADIANS($D51))*COS(RADIANS(Settings!$B$7))*SIN(RADIANS(Settings!$C$7-$E51)/2)^2))</f>
        <v>1929.52990661015</v>
      </c>
      <c r="N51" s="8" t="n">
        <f aca="false">J51*Settings!$B$10</f>
        <v>18.9524229638495</v>
      </c>
      <c r="O51" s="8" t="n">
        <f aca="false">K51*Settings!$B$10</f>
        <v>2.87944010418503</v>
      </c>
      <c r="P51" s="8" t="n">
        <f aca="false">L51*Settings!$B$10</f>
        <v>27.0260556770802</v>
      </c>
      <c r="Q51" s="8" t="n">
        <f aca="false">M51*Settings!$B$10</f>
        <v>27.0134186925421</v>
      </c>
      <c r="R51" s="8" t="n">
        <f aca="false">AVERAGE(N51:Q51)</f>
        <v>18.9678343594142</v>
      </c>
      <c r="S51" s="6" t="n">
        <f aca="false">IF(AND(OR(Settings!$B$14=0,F51&lt;5),G51&lt;=Settings!$B$13,OR(H51=0,Settings!$B$15=1),OR(Settings!$B$16=0,I51=0)),1,0)</f>
        <v>1</v>
      </c>
      <c r="T51" s="5" t="n">
        <v>6.5</v>
      </c>
      <c r="U51" s="5" t="n">
        <v>3</v>
      </c>
      <c r="V51" s="8" t="n">
        <f aca="false">R51</f>
        <v>18.9678343594142</v>
      </c>
      <c r="W51" s="5" t="n">
        <v>7</v>
      </c>
      <c r="X51" s="5" t="n">
        <v>8</v>
      </c>
      <c r="Y51" s="5" t="n">
        <v>4</v>
      </c>
      <c r="Z51" s="5" t="n">
        <v>4</v>
      </c>
      <c r="AA51" s="5" t="n">
        <v>4</v>
      </c>
      <c r="AB51" s="5" t="n">
        <v>3</v>
      </c>
      <c r="AC51" s="8" t="n">
        <f aca="false">IF($S51=1,IF(T$4=T$3,5,10*(T51-T$3)/(T$4-T$3)),"")</f>
        <v>5.83333333333333</v>
      </c>
      <c r="AD51" s="8" t="n">
        <f aca="false">IF($S51=1,IF(U$4=U$3,5,10*(U51-U$3)/(U$4-U$3)),"")</f>
        <v>1.25</v>
      </c>
      <c r="AE51" s="8" t="n">
        <f aca="false">IF($S51=1,IF(V$4=V$3,5,10*(V$4-V51)/(V$4-V$3)),"")</f>
        <v>1.47490056544957</v>
      </c>
      <c r="AF51" s="8" t="n">
        <f aca="false">IF($S51=1,IF(W$4=W$3,5,10*(W51-W$3)/(W$4-W$3)),"")</f>
        <v>10</v>
      </c>
      <c r="AG51" s="8" t="n">
        <f aca="false">IF($S51=1,IF(X$4=X$3,5,10*(X51-X$3)/(X$4-X$3)),"")</f>
        <v>10</v>
      </c>
      <c r="AH51" s="8" t="n">
        <f aca="false">IF($S51=1,IF(Y$4=Y$3,5,10*(Y51-Y$3)/(Y$4-Y$3)),"")</f>
        <v>1.66666666666667</v>
      </c>
      <c r="AI51" s="8" t="n">
        <f aca="false">IF($S51=1,IF(Z$4=Z$3,5,10*(Z51-Z$3)/(Z$4-Z$3)),"")</f>
        <v>3.33333333333333</v>
      </c>
      <c r="AJ51" s="8" t="n">
        <f aca="false">IF($S51=1,IF(AA$4=AA$3,5,10*(AA51-AA$3)/(AA$4-AA$3)),"")</f>
        <v>1.66666666666667</v>
      </c>
      <c r="AK51" s="8" t="n">
        <f aca="false">IF($S51=1,IF(AB$4=AB$3,5,10*(AB51-AB$3)/(AB$4-AB$3)),"")</f>
        <v>2.22222222222222</v>
      </c>
      <c r="AL51" s="10" t="n">
        <f aca="false">IF($S51=1,SUMPRODUCT(AC51:AK51,Settings!$B$21:$J$21),"")</f>
        <v>4.4044345009894</v>
      </c>
      <c r="AM51" s="10" t="n">
        <f aca="false">IF($S51=1,EXP(Settings!$B$21*LN(MAX(AC51,0.5))+Settings!$C$21*LN(MAX(AD51,0.5))+Settings!$D$21*LN(MAX(AE51,0.5))+Settings!$E$21*LN(MAX(AF51,0.5))+Settings!$F$21*LN(MAX(AG51,0.5))+Settings!$G$21*LN(MAX(AH51,0.5))+Settings!$H$21*LN(MAX(AI51,0.5))+Settings!$I$21*LN(MAX(AJ51,0.5))+Settings!$J$21*LN(MAX(AK51,0.5))),"")</f>
        <v>3.24149261241999</v>
      </c>
      <c r="AN51" s="6" t="n">
        <f aca="false">IF($S51=1,COUNTIFS($S$6:$S$55,1,$AL$6:$AL$55,"&gt;"&amp;AL51)+1,"")</f>
        <v>36</v>
      </c>
      <c r="AO51" s="0" t="str">
        <f aca="false">IF($S51=1,IF(AN51&lt;=CEILING(SUM($S$6:$S$55)*Settings!$B$30,1),"A",IF(AN51&lt;=CEILING(SUM($S$6:$S$55)*Settings!$B$31,1),"B","C")),"Excluded")</f>
        <v>C</v>
      </c>
    </row>
    <row r="52" customFormat="false" ht="15" hidden="false" customHeight="false" outlineLevel="0" collapsed="false">
      <c r="A52" s="0" t="s">
        <v>188</v>
      </c>
      <c r="B52" s="2" t="s">
        <v>189</v>
      </c>
      <c r="C52" s="6" t="s">
        <v>190</v>
      </c>
      <c r="D52" s="5" t="n">
        <v>30.95</v>
      </c>
      <c r="E52" s="5" t="n">
        <v>76.79</v>
      </c>
      <c r="F52" s="5" t="n">
        <v>4</v>
      </c>
      <c r="G52" s="5" t="n">
        <v>10</v>
      </c>
      <c r="H52" s="5" t="n">
        <v>0</v>
      </c>
      <c r="I52" s="5" t="n">
        <v>0</v>
      </c>
      <c r="J52" s="9" t="n">
        <f aca="false">2*Settings!$B$9*ASIN(SQRT(SIN(RADIANS(Settings!$B$4-$D52)/2)^2+COS(RADIANS($D52))*COS(RADIANS(Settings!$B$4))*SIN(RADIANS(Settings!$C$4-$E52)/2)^2))</f>
        <v>1377.58012228512</v>
      </c>
      <c r="K52" s="9" t="n">
        <f aca="false">2*Settings!$B$9*ASIN(SQRT(SIN(RADIANS(Settings!$B$5-$D52)/2)^2+COS(RADIANS($D52))*COS(RADIANS(Settings!$B$5))*SIN(RADIANS(Settings!$C$5-$E52)/2)^2))</f>
        <v>262.879187500931</v>
      </c>
      <c r="L52" s="9" t="n">
        <f aca="false">2*Settings!$B$9*ASIN(SQRT(SIN(RADIANS(Settings!$B$6-$D52)/2)^2+COS(RADIANS($D52))*COS(RADIANS(Settings!$B$6))*SIN(RADIANS(Settings!$C$6-$E52)/2)^2))</f>
        <v>2018.46069999829</v>
      </c>
      <c r="M52" s="9" t="n">
        <f aca="false">2*Settings!$B$9*ASIN(SQRT(SIN(RADIANS(Settings!$B$7-$D52)/2)^2+COS(RADIANS($D52))*COS(RADIANS(Settings!$B$7))*SIN(RADIANS(Settings!$C$7-$E52)/2)^2))</f>
        <v>2000.76007267633</v>
      </c>
      <c r="N52" s="8" t="n">
        <f aca="false">J52*Settings!$B$10</f>
        <v>19.2861217119917</v>
      </c>
      <c r="O52" s="8" t="n">
        <f aca="false">K52*Settings!$B$10</f>
        <v>3.68030862501304</v>
      </c>
      <c r="P52" s="8" t="n">
        <f aca="false">L52*Settings!$B$10</f>
        <v>28.2584497999761</v>
      </c>
      <c r="Q52" s="8" t="n">
        <f aca="false">M52*Settings!$B$10</f>
        <v>28.0106410174686</v>
      </c>
      <c r="R52" s="8" t="n">
        <f aca="false">AVERAGE(N52:Q52)</f>
        <v>19.8088802886124</v>
      </c>
      <c r="S52" s="6" t="n">
        <f aca="false">IF(AND(OR(Settings!$B$14=0,F52&lt;5),G52&lt;=Settings!$B$13,OR(H52=0,Settings!$B$15=1),OR(Settings!$B$16=0,I52=0)),1,0)</f>
        <v>1</v>
      </c>
      <c r="T52" s="5" t="n">
        <v>8</v>
      </c>
      <c r="U52" s="5" t="n">
        <v>2</v>
      </c>
      <c r="V52" s="8" t="n">
        <f aca="false">R52</f>
        <v>19.8088802886124</v>
      </c>
      <c r="W52" s="5" t="n">
        <v>5</v>
      </c>
      <c r="X52" s="5" t="n">
        <v>7</v>
      </c>
      <c r="Y52" s="5" t="n">
        <v>4</v>
      </c>
      <c r="Z52" s="5" t="n">
        <v>6</v>
      </c>
      <c r="AA52" s="5" t="n">
        <v>3</v>
      </c>
      <c r="AB52" s="5" t="n">
        <v>1</v>
      </c>
      <c r="AC52" s="8" t="n">
        <f aca="false">IF($S52=1,IF(T$4=T$3,5,10*(T52-T$3)/(T$4-T$3)),"")</f>
        <v>8.33333333333333</v>
      </c>
      <c r="AD52" s="8" t="n">
        <f aca="false">IF($S52=1,IF(U$4=U$3,5,10*(U52-U$3)/(U$4-U$3)),"")</f>
        <v>0</v>
      </c>
      <c r="AE52" s="8" t="n">
        <f aca="false">IF($S52=1,IF(V$4=V$3,5,10*(V$4-V52)/(V$4-V$3)),"")</f>
        <v>0.698971607980658</v>
      </c>
      <c r="AF52" s="8" t="n">
        <f aca="false">IF($S52=1,IF(W$4=W$3,5,10*(W52-W$3)/(W$4-W$3)),"")</f>
        <v>6.66666666666667</v>
      </c>
      <c r="AG52" s="8" t="n">
        <f aca="false">IF($S52=1,IF(X$4=X$3,5,10*(X52-X$3)/(X$4-X$3)),"")</f>
        <v>8.57142857142857</v>
      </c>
      <c r="AH52" s="8" t="n">
        <f aca="false">IF($S52=1,IF(Y$4=Y$3,5,10*(Y52-Y$3)/(Y$4-Y$3)),"")</f>
        <v>1.66666666666667</v>
      </c>
      <c r="AI52" s="8" t="n">
        <f aca="false">IF($S52=1,IF(Z$4=Z$3,5,10*(Z52-Z$3)/(Z$4-Z$3)),"")</f>
        <v>5.55555555555556</v>
      </c>
      <c r="AJ52" s="8" t="n">
        <f aca="false">IF($S52=1,IF(AA$4=AA$3,5,10*(AA52-AA$3)/(AA$4-AA$3)),"")</f>
        <v>0</v>
      </c>
      <c r="AK52" s="8" t="n">
        <f aca="false">IF($S52=1,IF(AB$4=AB$3,5,10*(AB52-AB$3)/(AB$4-AB$3)),"")</f>
        <v>0</v>
      </c>
      <c r="AL52" s="10" t="n">
        <f aca="false">IF($S52=1,SUMPRODUCT(AC52:AK52,Settings!$B$21:$J$21),"")</f>
        <v>4.02624636714727</v>
      </c>
      <c r="AM52" s="10" t="n">
        <f aca="false">IF($S52=1,EXP(Settings!$B$21*LN(MAX(AC52,0.5))+Settings!$C$21*LN(MAX(AD52,0.5))+Settings!$D$21*LN(MAX(AE52,0.5))+Settings!$E$21*LN(MAX(AF52,0.5))+Settings!$F$21*LN(MAX(AG52,0.5))+Settings!$G$21*LN(MAX(AH52,0.5))+Settings!$H$21*LN(MAX(AI52,0.5))+Settings!$I$21*LN(MAX(AJ52,0.5))+Settings!$J$21*LN(MAX(AK52,0.5))),"")</f>
        <v>2.25944547129173</v>
      </c>
      <c r="AN52" s="6" t="n">
        <f aca="false">IF($S52=1,COUNTIFS($S$6:$S$55,1,$AL$6:$AL$55,"&gt;"&amp;AL52)+1,"")</f>
        <v>42</v>
      </c>
      <c r="AO52" s="0" t="str">
        <f aca="false">IF($S52=1,IF(AN52&lt;=CEILING(SUM($S$6:$S$55)*Settings!$B$30,1),"A",IF(AN52&lt;=CEILING(SUM($S$6:$S$55)*Settings!$B$31,1),"B","C")),"Excluded")</f>
        <v>C</v>
      </c>
    </row>
    <row r="53" customFormat="false" ht="15" hidden="false" customHeight="false" outlineLevel="0" collapsed="false">
      <c r="A53" s="0" t="s">
        <v>191</v>
      </c>
      <c r="B53" s="2" t="s">
        <v>192</v>
      </c>
      <c r="C53" s="6" t="s">
        <v>193</v>
      </c>
      <c r="D53" s="5" t="n">
        <v>30.7</v>
      </c>
      <c r="E53" s="5" t="n">
        <v>76.72</v>
      </c>
      <c r="F53" s="5" t="n">
        <v>4</v>
      </c>
      <c r="G53" s="5" t="n">
        <v>10</v>
      </c>
      <c r="H53" s="5" t="n">
        <v>1</v>
      </c>
      <c r="I53" s="5" t="n">
        <v>0</v>
      </c>
      <c r="J53" s="9" t="n">
        <f aca="false">2*Settings!$B$9*ASIN(SQRT(SIN(RADIANS(Settings!$B$4-$D53)/2)^2+COS(RADIANS($D53))*COS(RADIANS(Settings!$B$4))*SIN(RADIANS(Settings!$C$4-$E53)/2)^2))</f>
        <v>1349.05849183823</v>
      </c>
      <c r="K53" s="9" t="n">
        <f aca="false">2*Settings!$B$9*ASIN(SQRT(SIN(RADIANS(Settings!$B$5-$D53)/2)^2+COS(RADIANS($D53))*COS(RADIANS(Settings!$B$5))*SIN(RADIANS(Settings!$C$5-$E53)/2)^2))</f>
        <v>236.715496790019</v>
      </c>
      <c r="L53" s="9" t="n">
        <f aca="false">2*Settings!$B$9*ASIN(SQRT(SIN(RADIANS(Settings!$B$6-$D53)/2)^2+COS(RADIANS($D53))*COS(RADIANS(Settings!$B$6))*SIN(RADIANS(Settings!$C$6-$E53)/2)^2))</f>
        <v>1992.47338661754</v>
      </c>
      <c r="M53" s="9" t="n">
        <f aca="false">2*Settings!$B$9*ASIN(SQRT(SIN(RADIANS(Settings!$B$7-$D53)/2)^2+COS(RADIANS($D53))*COS(RADIANS(Settings!$B$7))*SIN(RADIANS(Settings!$C$7-$E53)/2)^2))</f>
        <v>1973.30230141527</v>
      </c>
      <c r="N53" s="8" t="n">
        <f aca="false">J53*Settings!$B$10</f>
        <v>18.8868188857353</v>
      </c>
      <c r="O53" s="8" t="n">
        <f aca="false">K53*Settings!$B$10</f>
        <v>3.31401695506027</v>
      </c>
      <c r="P53" s="8" t="n">
        <f aca="false">L53*Settings!$B$10</f>
        <v>27.8946274126455</v>
      </c>
      <c r="Q53" s="8" t="n">
        <f aca="false">M53*Settings!$B$10</f>
        <v>27.6262322198138</v>
      </c>
      <c r="R53" s="8" t="n">
        <f aca="false">AVERAGE(N53:Q53)</f>
        <v>19.4304238683137</v>
      </c>
      <c r="S53" s="6" t="n">
        <f aca="false">IF(AND(OR(Settings!$B$14=0,F53&lt;5),G53&lt;=Settings!$B$13,OR(H53=0,Settings!$B$15=1),OR(Settings!$B$16=0,I53=0)),1,0)</f>
        <v>1</v>
      </c>
      <c r="T53" s="5" t="n">
        <v>6.1</v>
      </c>
      <c r="U53" s="5" t="n">
        <v>5</v>
      </c>
      <c r="V53" s="8" t="n">
        <f aca="false">R53</f>
        <v>19.4304238683137</v>
      </c>
      <c r="W53" s="5" t="n">
        <v>2</v>
      </c>
      <c r="X53" s="5" t="n">
        <v>5</v>
      </c>
      <c r="Y53" s="5" t="n">
        <v>6</v>
      </c>
      <c r="Z53" s="5" t="n">
        <v>6</v>
      </c>
      <c r="AA53" s="5" t="n">
        <v>4</v>
      </c>
      <c r="AB53" s="5" t="n">
        <v>5</v>
      </c>
      <c r="AC53" s="8" t="n">
        <f aca="false">IF($S53=1,IF(T$4=T$3,5,10*(T53-T$3)/(T$4-T$3)),"")</f>
        <v>5.16666666666667</v>
      </c>
      <c r="AD53" s="8" t="n">
        <f aca="false">IF($S53=1,IF(U$4=U$3,5,10*(U53-U$3)/(U$4-U$3)),"")</f>
        <v>3.75</v>
      </c>
      <c r="AE53" s="8" t="n">
        <f aca="false">IF($S53=1,IF(V$4=V$3,5,10*(V$4-V53)/(V$4-V$3)),"")</f>
        <v>1.0481264941231</v>
      </c>
      <c r="AF53" s="8" t="n">
        <f aca="false">IF($S53=1,IF(W$4=W$3,5,10*(W53-W$3)/(W$4-W$3)),"")</f>
        <v>1.66666666666667</v>
      </c>
      <c r="AG53" s="8" t="n">
        <f aca="false">IF($S53=1,IF(X$4=X$3,5,10*(X53-X$3)/(X$4-X$3)),"")</f>
        <v>5.71428571428571</v>
      </c>
      <c r="AH53" s="8" t="n">
        <f aca="false">IF($S53=1,IF(Y$4=Y$3,5,10*(Y53-Y$3)/(Y$4-Y$3)),"")</f>
        <v>5</v>
      </c>
      <c r="AI53" s="8" t="n">
        <f aca="false">IF($S53=1,IF(Z$4=Z$3,5,10*(Z53-Z$3)/(Z$4-Z$3)),"")</f>
        <v>5.55555555555556</v>
      </c>
      <c r="AJ53" s="8" t="n">
        <f aca="false">IF($S53=1,IF(AA$4=AA$3,5,10*(AA53-AA$3)/(AA$4-AA$3)),"")</f>
        <v>1.66666666666667</v>
      </c>
      <c r="AK53" s="8" t="n">
        <f aca="false">IF($S53=1,IF(AB$4=AB$3,5,10*(AB53-AB$3)/(AB$4-AB$3)),"")</f>
        <v>4.44444444444445</v>
      </c>
      <c r="AL53" s="10" t="n">
        <f aca="false">IF($S53=1,SUMPRODUCT(AC53:AK53,Settings!$B$21:$J$21),"")</f>
        <v>3.66136026845993</v>
      </c>
      <c r="AM53" s="10" t="n">
        <f aca="false">IF($S53=1,EXP(Settings!$B$21*LN(MAX(AC53,0.5))+Settings!$C$21*LN(MAX(AD53,0.5))+Settings!$D$21*LN(MAX(AE53,0.5))+Settings!$E$21*LN(MAX(AF53,0.5))+Settings!$F$21*LN(MAX(AG53,0.5))+Settings!$G$21*LN(MAX(AH53,0.5))+Settings!$H$21*LN(MAX(AI53,0.5))+Settings!$I$21*LN(MAX(AJ53,0.5))+Settings!$J$21*LN(MAX(AK53,0.5))),"")</f>
        <v>3.15706268547295</v>
      </c>
      <c r="AN53" s="6" t="n">
        <f aca="false">IF($S53=1,COUNTIFS($S$6:$S$55,1,$AL$6:$AL$55,"&gt;"&amp;AL53)+1,"")</f>
        <v>45</v>
      </c>
      <c r="AO53" s="0" t="str">
        <f aca="false">IF($S53=1,IF(AN53&lt;=CEILING(SUM($S$6:$S$55)*Settings!$B$30,1),"A",IF(AN53&lt;=CEILING(SUM($S$6:$S$55)*Settings!$B$31,1),"B","C")),"Excluded")</f>
        <v>C</v>
      </c>
    </row>
    <row r="54" customFormat="false" ht="15" hidden="false" customHeight="false" outlineLevel="0" collapsed="false">
      <c r="A54" s="0" t="s">
        <v>194</v>
      </c>
      <c r="B54" s="2" t="s">
        <v>195</v>
      </c>
      <c r="C54" s="6" t="s">
        <v>196</v>
      </c>
      <c r="D54" s="5" t="n">
        <v>25.59</v>
      </c>
      <c r="E54" s="5" t="n">
        <v>85.14</v>
      </c>
      <c r="F54" s="5" t="n">
        <v>4</v>
      </c>
      <c r="G54" s="5" t="n">
        <v>15</v>
      </c>
      <c r="H54" s="5" t="n">
        <v>0</v>
      </c>
      <c r="I54" s="5" t="n">
        <v>1</v>
      </c>
      <c r="J54" s="9" t="n">
        <f aca="false">2*Settings!$B$9*ASIN(SQRT(SIN(RADIANS(Settings!$B$4-$D54)/2)^2+COS(RADIANS($D54))*COS(RADIANS(Settings!$B$4))*SIN(RADIANS(Settings!$C$4-$E54)/2)^2))</f>
        <v>1453.20498084075</v>
      </c>
      <c r="K54" s="9" t="n">
        <f aca="false">2*Settings!$B$9*ASIN(SQRT(SIN(RADIANS(Settings!$B$5-$D54)/2)^2+COS(RADIANS($D54))*COS(RADIANS(Settings!$B$5))*SIN(RADIANS(Settings!$C$5-$E54)/2)^2))</f>
        <v>853.764920234503</v>
      </c>
      <c r="L54" s="9" t="n">
        <f aca="false">2*Settings!$B$9*ASIN(SQRT(SIN(RADIANS(Settings!$B$6-$D54)/2)^2+COS(RADIANS($D54))*COS(RADIANS(Settings!$B$6))*SIN(RADIANS(Settings!$C$6-$E54)/2)^2))</f>
        <v>1481.12835274832</v>
      </c>
      <c r="M54" s="9" t="n">
        <f aca="false">2*Settings!$B$9*ASIN(SQRT(SIN(RADIANS(Settings!$B$7-$D54)/2)^2+COS(RADIANS($D54))*COS(RADIANS(Settings!$B$7))*SIN(RADIANS(Settings!$C$7-$E54)/2)^2))</f>
        <v>1610.0570931181</v>
      </c>
      <c r="N54" s="8" t="n">
        <f aca="false">J54*Settings!$B$10</f>
        <v>20.3448697317705</v>
      </c>
      <c r="O54" s="8" t="n">
        <f aca="false">K54*Settings!$B$10</f>
        <v>11.952708883283</v>
      </c>
      <c r="P54" s="8" t="n">
        <f aca="false">L54*Settings!$B$10</f>
        <v>20.7357969384765</v>
      </c>
      <c r="Q54" s="8" t="n">
        <f aca="false">M54*Settings!$B$10</f>
        <v>22.5407993036534</v>
      </c>
      <c r="R54" s="8" t="n">
        <f aca="false">AVERAGE(N54:Q54)</f>
        <v>18.8935437142959</v>
      </c>
      <c r="S54" s="6" t="n">
        <f aca="false">IF(AND(OR(Settings!$B$14=0,F54&lt;5),G54&lt;=Settings!$B$13,OR(H54=0,Settings!$B$15=1),OR(Settings!$B$16=0,I54=0)),1,0)</f>
        <v>1</v>
      </c>
      <c r="T54" s="5" t="n">
        <v>3.8</v>
      </c>
      <c r="U54" s="5" t="n">
        <v>4</v>
      </c>
      <c r="V54" s="8" t="n">
        <f aca="false">R54</f>
        <v>18.8935437142959</v>
      </c>
      <c r="W54" s="5" t="n">
        <v>6</v>
      </c>
      <c r="X54" s="5" t="n">
        <v>3</v>
      </c>
      <c r="Y54" s="5" t="n">
        <v>3</v>
      </c>
      <c r="Z54" s="5" t="n">
        <v>7</v>
      </c>
      <c r="AA54" s="5" t="n">
        <v>4</v>
      </c>
      <c r="AB54" s="5" t="n">
        <v>2</v>
      </c>
      <c r="AC54" s="8" t="n">
        <f aca="false">IF($S54=1,IF(T$4=T$3,5,10*(T54-T$3)/(T$4-T$3)),"")</f>
        <v>1.33333333333333</v>
      </c>
      <c r="AD54" s="8" t="n">
        <f aca="false">IF($S54=1,IF(U$4=U$3,5,10*(U54-U$3)/(U$4-U$3)),"")</f>
        <v>2.5</v>
      </c>
      <c r="AE54" s="8" t="n">
        <f aca="false">IF($S54=1,IF(V$4=V$3,5,10*(V$4-V54)/(V$4-V$3)),"")</f>
        <v>1.5434393465258</v>
      </c>
      <c r="AF54" s="8" t="n">
        <f aca="false">IF($S54=1,IF(W$4=W$3,5,10*(W54-W$3)/(W$4-W$3)),"")</f>
        <v>8.33333333333333</v>
      </c>
      <c r="AG54" s="8" t="n">
        <f aca="false">IF($S54=1,IF(X$4=X$3,5,10*(X54-X$3)/(X$4-X$3)),"")</f>
        <v>2.85714285714286</v>
      </c>
      <c r="AH54" s="8" t="n">
        <f aca="false">IF($S54=1,IF(Y$4=Y$3,5,10*(Y54-Y$3)/(Y$4-Y$3)),"")</f>
        <v>0</v>
      </c>
      <c r="AI54" s="8" t="n">
        <f aca="false">IF($S54=1,IF(Z$4=Z$3,5,10*(Z54-Z$3)/(Z$4-Z$3)),"")</f>
        <v>6.66666666666667</v>
      </c>
      <c r="AJ54" s="8" t="n">
        <f aca="false">IF($S54=1,IF(AA$4=AA$3,5,10*(AA54-AA$3)/(AA$4-AA$3)),"")</f>
        <v>1.66666666666667</v>
      </c>
      <c r="AK54" s="8" t="n">
        <f aca="false">IF($S54=1,IF(AB$4=AB$3,5,10*(AB54-AB$3)/(AB$4-AB$3)),"")</f>
        <v>1.11111111111111</v>
      </c>
      <c r="AL54" s="10" t="n">
        <f aca="false">IF($S54=1,SUMPRODUCT(AC54:AK54,Settings!$B$21:$J$21),"")</f>
        <v>2.81108996639861</v>
      </c>
      <c r="AM54" s="10" t="n">
        <f aca="false">IF($S54=1,EXP(Settings!$B$21*LN(MAX(AC54,0.5))+Settings!$C$21*LN(MAX(AD54,0.5))+Settings!$D$21*LN(MAX(AE54,0.5))+Settings!$E$21*LN(MAX(AF54,0.5))+Settings!$F$21*LN(MAX(AG54,0.5))+Settings!$G$21*LN(MAX(AH54,0.5))+Settings!$H$21*LN(MAX(AI54,0.5))+Settings!$I$21*LN(MAX(AJ54,0.5))+Settings!$J$21*LN(MAX(AK54,0.5))),"")</f>
        <v>2.02422712433335</v>
      </c>
      <c r="AN54" s="6" t="n">
        <f aca="false">IF($S54=1,COUNTIFS($S$6:$S$55,1,$AL$6:$AL$55,"&gt;"&amp;AL54)+1,"")</f>
        <v>48</v>
      </c>
      <c r="AO54" s="0" t="str">
        <f aca="false">IF($S54=1,IF(AN54&lt;=CEILING(SUM($S$6:$S$55)*Settings!$B$30,1),"A",IF(AN54&lt;=CEILING(SUM($S$6:$S$55)*Settings!$B$31,1),"B","C")),"Excluded")</f>
        <v>C</v>
      </c>
    </row>
    <row r="55" customFormat="false" ht="15" hidden="false" customHeight="false" outlineLevel="0" collapsed="false">
      <c r="A55" s="0" t="s">
        <v>197</v>
      </c>
      <c r="B55" s="2" t="s">
        <v>198</v>
      </c>
      <c r="C55" s="6" t="s">
        <v>199</v>
      </c>
      <c r="D55" s="5" t="n">
        <v>26.14</v>
      </c>
      <c r="E55" s="5" t="n">
        <v>91.74</v>
      </c>
      <c r="F55" s="5" t="n">
        <v>5</v>
      </c>
      <c r="G55" s="5" t="n">
        <v>15</v>
      </c>
      <c r="H55" s="5" t="n">
        <v>0</v>
      </c>
      <c r="I55" s="5" t="n">
        <v>1</v>
      </c>
      <c r="J55" s="9" t="n">
        <f aca="false">2*Settings!$B$9*ASIN(SQRT(SIN(RADIANS(Settings!$B$4-$D55)/2)^2+COS(RADIANS($D55))*COS(RADIANS(Settings!$B$4))*SIN(RADIANS(Settings!$C$4-$E55)/2)^2))</f>
        <v>2086.51055957674</v>
      </c>
      <c r="K55" s="9" t="n">
        <f aca="false">2*Settings!$B$9*ASIN(SQRT(SIN(RADIANS(Settings!$B$5-$D55)/2)^2+COS(RADIANS($D55))*COS(RADIANS(Settings!$B$5))*SIN(RADIANS(Settings!$C$5-$E55)/2)^2))</f>
        <v>1459.94068822887</v>
      </c>
      <c r="L55" s="9" t="n">
        <f aca="false">2*Settings!$B$9*ASIN(SQRT(SIN(RADIANS(Settings!$B$6-$D55)/2)^2+COS(RADIANS($D55))*COS(RADIANS(Settings!$B$6))*SIN(RADIANS(Settings!$C$6-$E55)/2)^2))</f>
        <v>1882.05948210044</v>
      </c>
      <c r="M55" s="9" t="n">
        <f aca="false">2*Settings!$B$9*ASIN(SQRT(SIN(RADIANS(Settings!$B$7-$D55)/2)^2+COS(RADIANS($D55))*COS(RADIANS(Settings!$B$7))*SIN(RADIANS(Settings!$C$7-$E55)/2)^2))</f>
        <v>2079.97371235542</v>
      </c>
      <c r="N55" s="8" t="n">
        <f aca="false">J55*Settings!$B$10</f>
        <v>29.2111478340744</v>
      </c>
      <c r="O55" s="8" t="n">
        <f aca="false">K55*Settings!$B$10</f>
        <v>20.4391696352042</v>
      </c>
      <c r="P55" s="8" t="n">
        <f aca="false">L55*Settings!$B$10</f>
        <v>26.3488327494061</v>
      </c>
      <c r="Q55" s="8" t="n">
        <f aca="false">M55*Settings!$B$10</f>
        <v>29.1196319729759</v>
      </c>
      <c r="R55" s="8" t="n">
        <f aca="false">AVERAGE(N55:Q55)</f>
        <v>26.2796955479152</v>
      </c>
      <c r="S55" s="6" t="n">
        <f aca="false">IF(AND(OR(Settings!$B$14=0,F55&lt;5),G55&lt;=Settings!$B$13,OR(H55=0,Settings!$B$15=1),OR(Settings!$B$16=0,I55=0)),1,0)</f>
        <v>0</v>
      </c>
      <c r="T55" s="5" t="n">
        <v>4.7</v>
      </c>
      <c r="U55" s="5" t="n">
        <v>4</v>
      </c>
      <c r="V55" s="8" t="n">
        <f aca="false">R55</f>
        <v>26.2796955479152</v>
      </c>
      <c r="W55" s="5" t="n">
        <v>7</v>
      </c>
      <c r="X55" s="5" t="n">
        <v>4</v>
      </c>
      <c r="Y55" s="5" t="n">
        <v>1</v>
      </c>
      <c r="Z55" s="5" t="n">
        <v>7</v>
      </c>
      <c r="AA55" s="5" t="n">
        <v>4</v>
      </c>
      <c r="AB55" s="5" t="n">
        <v>2</v>
      </c>
      <c r="AC55" s="8" t="str">
        <f aca="false">IF($S55=1,IF(T$4=T$3,5,10*(T55-T$3)/(T$4-T$3)),"")</f>
        <v/>
      </c>
      <c r="AD55" s="8" t="str">
        <f aca="false">IF($S55=1,IF(U$4=U$3,5,10*(U55-U$3)/(U$4-U$3)),"")</f>
        <v/>
      </c>
      <c r="AE55" s="8" t="str">
        <f aca="false">IF($S55=1,IF(V$4=V$3,5,10*(V$4-V55)/(V$4-V$3)),"")</f>
        <v/>
      </c>
      <c r="AF55" s="8" t="str">
        <f aca="false">IF($S55=1,IF(W$4=W$3,5,10*(W55-W$3)/(W$4-W$3)),"")</f>
        <v/>
      </c>
      <c r="AG55" s="8" t="str">
        <f aca="false">IF($S55=1,IF(X$4=X$3,5,10*(X55-X$3)/(X$4-X$3)),"")</f>
        <v/>
      </c>
      <c r="AH55" s="8" t="str">
        <f aca="false">IF($S55=1,IF(Y$4=Y$3,5,10*(Y55-Y$3)/(Y$4-Y$3)),"")</f>
        <v/>
      </c>
      <c r="AI55" s="8" t="str">
        <f aca="false">IF($S55=1,IF(Z$4=Z$3,5,10*(Z55-Z$3)/(Z$4-Z$3)),"")</f>
        <v/>
      </c>
      <c r="AJ55" s="8" t="str">
        <f aca="false">IF($S55=1,IF(AA$4=AA$3,5,10*(AA55-AA$3)/(AA$4-AA$3)),"")</f>
        <v/>
      </c>
      <c r="AK55" s="8" t="str">
        <f aca="false">IF($S55=1,IF(AB$4=AB$3,5,10*(AB55-AB$3)/(AB$4-AB$3)),"")</f>
        <v/>
      </c>
      <c r="AL55" s="10" t="str">
        <f aca="false">IF($S55=1,SUMPRODUCT(AC55:AK55,Settings!$B$21:$J$21),"")</f>
        <v/>
      </c>
      <c r="AM55" s="10" t="str">
        <f aca="false">IF($S55=1,EXP(Settings!$B$21*LN(MAX(AC55,0.5))+Settings!$C$21*LN(MAX(AD55,0.5))+Settings!$D$21*LN(MAX(AE55,0.5))+Settings!$E$21*LN(MAX(AF55,0.5))+Settings!$F$21*LN(MAX(AG55,0.5))+Settings!$G$21*LN(MAX(AH55,0.5))+Settings!$H$21*LN(MAX(AI55,0.5))+Settings!$I$21*LN(MAX(AJ55,0.5))+Settings!$J$21*LN(MAX(AK55,0.5))),"")</f>
        <v/>
      </c>
      <c r="AN55" s="0" t="str">
        <f aca="false">IF($S55=1,COUNTIFS($S$6:$S$55,1,$AL$6:$AL$55,"&gt;"&amp;AL55)+1,"")</f>
        <v/>
      </c>
      <c r="AO55" s="0" t="str">
        <f aca="false">IF($S55=1,IF(AN55&lt;=CEILING(SUM($S$6:$S$55)*Settings!$B$30,1),"A",IF(AN55&lt;=CEILING(SUM($S$6:$S$55)*Settings!$B$31,1),"B","C")),"Excluded")</f>
        <v>Excluded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5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0" t="s">
        <v>201</v>
      </c>
      <c r="B2" s="11" t="s">
        <v>99</v>
      </c>
    </row>
    <row r="3" customFormat="false" ht="15" hidden="false" customHeight="false" outlineLevel="0" collapsed="false">
      <c r="A3" s="0" t="s">
        <v>202</v>
      </c>
      <c r="B3" s="0" t="n">
        <f aca="false">MATCH(B2,Model!$B$6:$B$55,0)</f>
        <v>9</v>
      </c>
    </row>
    <row r="5" customFormat="false" ht="15" hidden="false" customHeight="false" outlineLevel="0" collapsed="false">
      <c r="A5" s="12" t="s">
        <v>203</v>
      </c>
      <c r="B5" s="13"/>
      <c r="C5" s="13"/>
      <c r="D5" s="13"/>
      <c r="E5" s="13"/>
      <c r="F5" s="13"/>
      <c r="G5" s="13"/>
      <c r="H5" s="13"/>
      <c r="I5" s="13"/>
      <c r="J5" s="13"/>
    </row>
    <row r="6" customFormat="false" ht="15" hidden="false" customHeight="false" outlineLevel="0" collapsed="false">
      <c r="A6" s="4" t="s">
        <v>204</v>
      </c>
      <c r="B6" s="4" t="s">
        <v>205</v>
      </c>
      <c r="C6" s="4" t="s">
        <v>206</v>
      </c>
      <c r="D6" s="4" t="s">
        <v>207</v>
      </c>
    </row>
    <row r="7" customFormat="false" ht="15" hidden="false" customHeight="false" outlineLevel="0" collapsed="false">
      <c r="A7" s="0" t="s">
        <v>208</v>
      </c>
      <c r="B7" s="0" t="n">
        <f aca="false">INDEX(Model!$F$6:$F$55,$B$3)</f>
        <v>2</v>
      </c>
      <c r="C7" s="0" t="s">
        <v>209</v>
      </c>
      <c r="D7" s="0" t="str">
        <f aca="false">IF(OR(Settings!B14=0,B7&lt;5),"pass","FAIL")</f>
        <v>pass</v>
      </c>
    </row>
    <row r="8" customFormat="false" ht="15" hidden="false" customHeight="false" outlineLevel="0" collapsed="false">
      <c r="A8" s="0" t="s">
        <v>210</v>
      </c>
      <c r="B8" s="0" t="n">
        <f aca="false">INDEX(Model!$G$6:$G$55,$B$3)</f>
        <v>15</v>
      </c>
      <c r="C8" s="0" t="n">
        <f aca="false">Settings!B13</f>
        <v>25</v>
      </c>
      <c r="D8" s="0" t="str">
        <f aca="false">IF(B8&lt;=C8,"pass","FAIL")</f>
        <v>pass</v>
      </c>
    </row>
    <row r="9" customFormat="false" ht="15" hidden="false" customHeight="false" outlineLevel="0" collapsed="false">
      <c r="A9" s="0" t="s">
        <v>211</v>
      </c>
      <c r="B9" s="0" t="n">
        <f aca="false">INDEX(Model!$H$6:$H$55,$B$3)</f>
        <v>0</v>
      </c>
      <c r="C9" s="0" t="str">
        <f aca="false">IF(Settings!B15=1,"allowed","not allowed")</f>
        <v>allowed</v>
      </c>
      <c r="D9" s="0" t="str">
        <f aca="false">IF(OR(B9=0,Settings!B15=1),"pass","FAIL")</f>
        <v>pass</v>
      </c>
    </row>
    <row r="10" customFormat="false" ht="15" hidden="false" customHeight="false" outlineLevel="0" collapsed="false">
      <c r="A10" s="0" t="s">
        <v>212</v>
      </c>
      <c r="B10" s="0" t="n">
        <f aca="false">INDEX(Model!$I$6:$I$55,$B$3)</f>
        <v>0</v>
      </c>
      <c r="C10" s="0" t="str">
        <f aca="false">IF(Settings!B16=1,"excluded","ignored")</f>
        <v>ignored</v>
      </c>
      <c r="D10" s="0" t="str">
        <f aca="false">IF(OR(Settings!B16=0,B10=0),"pass","FAIL")</f>
        <v>pass</v>
      </c>
    </row>
    <row r="11" customFormat="false" ht="15" hidden="false" customHeight="false" outlineLevel="0" collapsed="false">
      <c r="A11" s="2" t="s">
        <v>213</v>
      </c>
      <c r="B11" s="14" t="n">
        <f aca="false">INDEX(Model!$S$6:$S$55,$B$3)</f>
        <v>1</v>
      </c>
      <c r="C11" s="6" t="s">
        <v>214</v>
      </c>
    </row>
    <row r="13" customFormat="false" ht="15" hidden="false" customHeight="false" outlineLevel="0" collapsed="false">
      <c r="A13" s="12" t="s">
        <v>215</v>
      </c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15" t="s">
        <v>216</v>
      </c>
    </row>
    <row r="15" customFormat="false" ht="15" hidden="false" customHeight="false" outlineLevel="0" collapsed="false">
      <c r="A15" s="4" t="s">
        <v>11</v>
      </c>
      <c r="B15" s="4" t="s">
        <v>217</v>
      </c>
      <c r="C15" s="4" t="s">
        <v>218</v>
      </c>
      <c r="D15" s="4" t="s">
        <v>219</v>
      </c>
      <c r="E15" s="4" t="s">
        <v>220</v>
      </c>
      <c r="F15" s="4" t="s">
        <v>221</v>
      </c>
      <c r="G15" s="4" t="s">
        <v>222</v>
      </c>
      <c r="H15" s="4" t="s">
        <v>223</v>
      </c>
    </row>
    <row r="16" customFormat="false" ht="15" hidden="false" customHeight="false" outlineLevel="0" collapsed="false">
      <c r="A16" s="0" t="str">
        <f aca="false">Settings!A4</f>
        <v>Mumbai</v>
      </c>
      <c r="B16" s="0" t="n">
        <f aca="false">Settings!B4</f>
        <v>19.076</v>
      </c>
      <c r="C16" s="0" t="n">
        <f aca="false">Settings!C4</f>
        <v>72.878</v>
      </c>
      <c r="D16" s="10" t="n">
        <f aca="false">B16-INDEX(Model!$D$6:$D$55,$B$3)</f>
        <v>6.776</v>
      </c>
      <c r="E16" s="10" t="n">
        <f aca="false">C16-INDEX(Model!$E$6:$E$55,$B$3)</f>
        <v>-3.762</v>
      </c>
      <c r="F16" s="16" t="n">
        <f aca="false">SIN(RADIANS(D16)/2)^2+COS(RADIANS(INDEX(Model!$D$6:$D$55,$B$3)))*COS(RADIANS(B16))*SIN(RADIANS(E16)/2)^2</f>
        <v>0.00448735201640295</v>
      </c>
      <c r="G16" s="9" t="n">
        <f aca="false">2*Settings!$B$9*ASIN(SQRT(F16))</f>
        <v>854.196940772882</v>
      </c>
      <c r="H16" s="8" t="n">
        <f aca="false">G16*Settings!$B$10</f>
        <v>11.9587571708204</v>
      </c>
    </row>
    <row r="17" customFormat="false" ht="15" hidden="false" customHeight="false" outlineLevel="0" collapsed="false">
      <c r="A17" s="0" t="str">
        <f aca="false">Settings!A5</f>
        <v>Delhi</v>
      </c>
      <c r="B17" s="0" t="n">
        <f aca="false">Settings!B5</f>
        <v>28.614</v>
      </c>
      <c r="C17" s="0" t="n">
        <f aca="false">Settings!C5</f>
        <v>77.209</v>
      </c>
      <c r="D17" s="10" t="n">
        <f aca="false">B17-INDEX(Model!$D$6:$D$55,$B$3)</f>
        <v>16.314</v>
      </c>
      <c r="E17" s="10" t="n">
        <f aca="false">C17-INDEX(Model!$E$6:$E$55,$B$3)</f>
        <v>0.569000000000003</v>
      </c>
      <c r="F17" s="16" t="n">
        <f aca="false">SIN(RADIANS(D17)/2)^2+COS(RADIANS(INDEX(Model!$D$6:$D$55,$B$3)))*COS(RADIANS(B17))*SIN(RADIANS(E17)/2)^2</f>
        <v>0.0201528057317379</v>
      </c>
      <c r="G17" s="9" t="n">
        <f aca="false">2*Settings!$B$9*ASIN(SQRT(F17))</f>
        <v>1814.99306076186</v>
      </c>
      <c r="H17" s="8" t="n">
        <f aca="false">G17*Settings!$B$10</f>
        <v>25.409902850666</v>
      </c>
    </row>
    <row r="18" customFormat="false" ht="15" hidden="false" customHeight="false" outlineLevel="0" collapsed="false">
      <c r="A18" s="0" t="str">
        <f aca="false">Settings!A6</f>
        <v>Chennai</v>
      </c>
      <c r="B18" s="0" t="n">
        <f aca="false">Settings!B6</f>
        <v>13.083</v>
      </c>
      <c r="C18" s="0" t="n">
        <f aca="false">Settings!C6</f>
        <v>80.27</v>
      </c>
      <c r="D18" s="10" t="n">
        <f aca="false">B18-INDEX(Model!$D$6:$D$55,$B$3)</f>
        <v>0.783</v>
      </c>
      <c r="E18" s="10" t="n">
        <f aca="false">C18-INDEX(Model!$E$6:$E$55,$B$3)</f>
        <v>3.63</v>
      </c>
      <c r="F18" s="16" t="n">
        <f aca="false">SIN(RADIANS(D18)/2)^2+COS(RADIANS(INDEX(Model!$D$6:$D$55,$B$3)))*COS(RADIANS(B18))*SIN(RADIANS(E18)/2)^2</f>
        <v>0.00100136410943514</v>
      </c>
      <c r="G18" s="9" t="n">
        <f aca="false">2*Settings!$B$9*ASIN(SQRT(F18))</f>
        <v>403.279475205052</v>
      </c>
      <c r="H18" s="8" t="n">
        <f aca="false">G18*Settings!$B$10</f>
        <v>5.64591265287073</v>
      </c>
    </row>
    <row r="19" customFormat="false" ht="15" hidden="false" customHeight="false" outlineLevel="0" collapsed="false">
      <c r="A19" s="0" t="str">
        <f aca="false">Settings!A7</f>
        <v>Bengaluru</v>
      </c>
      <c r="B19" s="0" t="n">
        <f aca="false">Settings!B7</f>
        <v>12.972</v>
      </c>
      <c r="C19" s="0" t="n">
        <f aca="false">Settings!C7</f>
        <v>77.594</v>
      </c>
      <c r="D19" s="10" t="n">
        <f aca="false">B19-INDEX(Model!$D$6:$D$55,$B$3)</f>
        <v>0.671999999999999</v>
      </c>
      <c r="E19" s="10" t="n">
        <f aca="false">C19-INDEX(Model!$E$6:$E$55,$B$3)</f>
        <v>0.953999999999994</v>
      </c>
      <c r="F19" s="16" t="n">
        <f aca="false">SIN(RADIANS(D19)/2)^2+COS(RADIANS(INDEX(Model!$D$6:$D$55,$B$3)))*COS(RADIANS(B19))*SIN(RADIANS(E19)/2)^2</f>
        <v>0.000100378331054774</v>
      </c>
      <c r="G19" s="9" t="n">
        <f aca="false">2*Settings!$B$9*ASIN(SQRT(F19))</f>
        <v>127.662942994211</v>
      </c>
      <c r="H19" s="8" t="n">
        <f aca="false">G19*Settings!$B$10</f>
        <v>1.78728120191895</v>
      </c>
    </row>
    <row r="20" customFormat="false" ht="15" hidden="false" customHeight="false" outlineLevel="0" collapsed="false">
      <c r="A20" s="2" t="s">
        <v>224</v>
      </c>
      <c r="H20" s="17" t="n">
        <f aca="false">AVERAGE(H16:H19)</f>
        <v>11.200463469069</v>
      </c>
    </row>
    <row r="22" customFormat="false" ht="15" hidden="false" customHeight="false" outlineLevel="0" collapsed="false">
      <c r="A22" s="12" t="s">
        <v>225</v>
      </c>
      <c r="B22" s="13"/>
      <c r="C22" s="13"/>
      <c r="D22" s="13"/>
      <c r="E22" s="13"/>
      <c r="F22" s="13"/>
      <c r="G22" s="13"/>
      <c r="H22" s="13"/>
      <c r="I22" s="13"/>
      <c r="J22" s="13"/>
    </row>
    <row r="23" customFormat="false" ht="15" hidden="false" customHeight="false" outlineLevel="0" collapsed="false">
      <c r="A23" s="15" t="s">
        <v>226</v>
      </c>
    </row>
    <row r="24" customFormat="false" ht="15" hidden="false" customHeight="false" outlineLevel="0" collapsed="false">
      <c r="A24" s="4" t="s">
        <v>227</v>
      </c>
      <c r="B24" s="4" t="s">
        <v>228</v>
      </c>
      <c r="C24" s="4" t="s">
        <v>48</v>
      </c>
      <c r="D24" s="4" t="s">
        <v>49</v>
      </c>
      <c r="E24" s="4" t="s">
        <v>229</v>
      </c>
    </row>
    <row r="25" customFormat="false" ht="15" hidden="false" customHeight="false" outlineLevel="0" collapsed="false">
      <c r="A25" s="0" t="s">
        <v>26</v>
      </c>
      <c r="B25" s="8" t="n">
        <f aca="false">INDEX(Model!$T$6:$T$55,$B$3)</f>
        <v>5</v>
      </c>
      <c r="C25" s="8" t="n">
        <f aca="false">Model!T$3</f>
        <v>3</v>
      </c>
      <c r="D25" s="8" t="n">
        <f aca="false">Model!T$4</f>
        <v>9</v>
      </c>
      <c r="E25" s="10" t="n">
        <f aca="false">IF(D25=C25,5,10*(B25-C25)/(D25-C25))</f>
        <v>3.33333333333333</v>
      </c>
    </row>
    <row r="26" customFormat="false" ht="15" hidden="false" customHeight="false" outlineLevel="0" collapsed="false">
      <c r="A26" s="0" t="s">
        <v>27</v>
      </c>
      <c r="B26" s="8" t="n">
        <f aca="false">INDEX(Model!$U$6:$U$55,$B$3)</f>
        <v>4</v>
      </c>
      <c r="C26" s="8" t="n">
        <f aca="false">Model!U$3</f>
        <v>2</v>
      </c>
      <c r="D26" s="8" t="n">
        <f aca="false">Model!U$4</f>
        <v>10</v>
      </c>
      <c r="E26" s="10" t="n">
        <f aca="false">IF(D26=C26,5,10*(B26-C26)/(D26-C26))</f>
        <v>2.5</v>
      </c>
    </row>
    <row r="27" customFormat="false" ht="15" hidden="false" customHeight="false" outlineLevel="0" collapsed="false">
      <c r="A27" s="0" t="s">
        <v>28</v>
      </c>
      <c r="B27" s="8" t="n">
        <f aca="false">INDEX(Model!$V$6:$V$55,$B$3)</f>
        <v>11.200463469069</v>
      </c>
      <c r="C27" s="8" t="n">
        <f aca="false">Model!V$3</f>
        <v>9.72729744373227</v>
      </c>
      <c r="D27" s="8" t="n">
        <f aca="false">Model!V$4</f>
        <v>20.5665105070216</v>
      </c>
      <c r="E27" s="10" t="n">
        <f aca="false">IF(D27=C27,5,10*(D27-B27)/(D27-C27))</f>
        <v>8.64089208622892</v>
      </c>
    </row>
    <row r="28" customFormat="false" ht="15" hidden="false" customHeight="false" outlineLevel="0" collapsed="false">
      <c r="A28" s="0" t="s">
        <v>29</v>
      </c>
      <c r="B28" s="8" t="n">
        <f aca="false">INDEX(Model!$W$6:$W$55,$B$3)</f>
        <v>7</v>
      </c>
      <c r="C28" s="8" t="n">
        <f aca="false">Model!W$3</f>
        <v>1</v>
      </c>
      <c r="D28" s="8" t="n">
        <f aca="false">Model!W$4</f>
        <v>7</v>
      </c>
      <c r="E28" s="10" t="n">
        <f aca="false">IF(D28=C28,5,10*(B28-C28)/(D28-C28))</f>
        <v>10</v>
      </c>
    </row>
    <row r="29" customFormat="false" ht="15" hidden="false" customHeight="false" outlineLevel="0" collapsed="false">
      <c r="A29" s="0" t="s">
        <v>30</v>
      </c>
      <c r="B29" s="8" t="n">
        <f aca="false">INDEX(Model!$X$6:$X$55,$B$3)</f>
        <v>8</v>
      </c>
      <c r="C29" s="8" t="n">
        <f aca="false">Model!X$3</f>
        <v>1</v>
      </c>
      <c r="D29" s="8" t="n">
        <f aca="false">Model!X$4</f>
        <v>8</v>
      </c>
      <c r="E29" s="10" t="n">
        <f aca="false">IF(D29=C29,5,10*(B29-C29)/(D29-C29))</f>
        <v>10</v>
      </c>
    </row>
    <row r="30" customFormat="false" ht="15" hidden="false" customHeight="false" outlineLevel="0" collapsed="false">
      <c r="A30" s="0" t="s">
        <v>31</v>
      </c>
      <c r="B30" s="8" t="n">
        <f aca="false">INDEX(Model!$Y$6:$Y$55,$B$3)</f>
        <v>9</v>
      </c>
      <c r="C30" s="8" t="n">
        <f aca="false">Model!Y$3</f>
        <v>3</v>
      </c>
      <c r="D30" s="8" t="n">
        <f aca="false">Model!Y$4</f>
        <v>9</v>
      </c>
      <c r="E30" s="10" t="n">
        <f aca="false">IF(D30=C30,5,10*(B30-C30)/(D30-C30))</f>
        <v>10</v>
      </c>
    </row>
    <row r="31" customFormat="false" ht="15" hidden="false" customHeight="false" outlineLevel="0" collapsed="false">
      <c r="A31" s="0" t="s">
        <v>32</v>
      </c>
      <c r="B31" s="8" t="n">
        <f aca="false">INDEX(Model!$Z$6:$Z$55,$B$3)</f>
        <v>7</v>
      </c>
      <c r="C31" s="8" t="n">
        <f aca="false">Model!Z$3</f>
        <v>1</v>
      </c>
      <c r="D31" s="8" t="n">
        <f aca="false">Model!Z$4</f>
        <v>10</v>
      </c>
      <c r="E31" s="10" t="n">
        <f aca="false">IF(D31=C31,5,10*(B31-C31)/(D31-C31))</f>
        <v>6.66666666666667</v>
      </c>
    </row>
    <row r="32" customFormat="false" ht="15" hidden="false" customHeight="false" outlineLevel="0" collapsed="false">
      <c r="A32" s="0" t="s">
        <v>33</v>
      </c>
      <c r="B32" s="8" t="n">
        <f aca="false">INDEX(Model!$AA$6:$AA$55,$B$3)</f>
        <v>8</v>
      </c>
      <c r="C32" s="8" t="n">
        <f aca="false">Model!AA$3</f>
        <v>3</v>
      </c>
      <c r="D32" s="8" t="n">
        <f aca="false">Model!AA$4</f>
        <v>9</v>
      </c>
      <c r="E32" s="10" t="n">
        <f aca="false">IF(D32=C32,5,10*(B32-C32)/(D32-C32))</f>
        <v>8.33333333333333</v>
      </c>
    </row>
    <row r="33" customFormat="false" ht="15" hidden="false" customHeight="false" outlineLevel="0" collapsed="false">
      <c r="A33" s="0" t="s">
        <v>34</v>
      </c>
      <c r="B33" s="8" t="n">
        <f aca="false">INDEX(Model!$AB$6:$AB$55,$B$3)</f>
        <v>3</v>
      </c>
      <c r="C33" s="8" t="n">
        <f aca="false">Model!AB$3</f>
        <v>1</v>
      </c>
      <c r="D33" s="8" t="n">
        <f aca="false">Model!AB$4</f>
        <v>10</v>
      </c>
      <c r="E33" s="10" t="n">
        <f aca="false">IF(D33=C33,5,10*(B33-C33)/(D33-C33))</f>
        <v>2.22222222222222</v>
      </c>
    </row>
    <row r="35" customFormat="false" ht="15" hidden="false" customHeight="false" outlineLevel="0" collapsed="false">
      <c r="A35" s="12" t="s">
        <v>230</v>
      </c>
      <c r="B35" s="13"/>
      <c r="C35" s="13"/>
      <c r="D35" s="13"/>
      <c r="E35" s="13"/>
      <c r="F35" s="13"/>
      <c r="G35" s="13"/>
      <c r="H35" s="13"/>
      <c r="I35" s="13"/>
      <c r="J35" s="13"/>
    </row>
    <row r="36" customFormat="false" ht="28.35" hidden="false" customHeight="false" outlineLevel="0" collapsed="false">
      <c r="A36" s="4" t="s">
        <v>227</v>
      </c>
      <c r="B36" s="4" t="s">
        <v>229</v>
      </c>
      <c r="C36" s="4" t="s">
        <v>36</v>
      </c>
      <c r="D36" s="4" t="s">
        <v>231</v>
      </c>
      <c r="E36" s="4" t="s">
        <v>232</v>
      </c>
      <c r="F36" s="4" t="s">
        <v>233</v>
      </c>
      <c r="G36" s="4" t="s">
        <v>234</v>
      </c>
    </row>
    <row r="37" customFormat="false" ht="15" hidden="false" customHeight="false" outlineLevel="0" collapsed="false">
      <c r="A37" s="0" t="s">
        <v>26</v>
      </c>
      <c r="B37" s="10" t="n">
        <f aca="false">E25</f>
        <v>3.33333333333333</v>
      </c>
      <c r="C37" s="6" t="n">
        <f aca="false">Settings!B20</f>
        <v>25</v>
      </c>
      <c r="D37" s="7" t="n">
        <f aca="false">Settings!B21</f>
        <v>0.25</v>
      </c>
      <c r="E37" s="7" t="n">
        <f aca="false">B37*D37</f>
        <v>0.833333333333333</v>
      </c>
      <c r="F37" s="7" t="n">
        <f aca="false">LN(MAX(B37,0.5))</f>
        <v>1.20397280432594</v>
      </c>
      <c r="G37" s="7" t="n">
        <f aca="false">D37*F37</f>
        <v>0.300993201081484</v>
      </c>
    </row>
    <row r="38" customFormat="false" ht="15" hidden="false" customHeight="false" outlineLevel="0" collapsed="false">
      <c r="A38" s="0" t="s">
        <v>27</v>
      </c>
      <c r="B38" s="10" t="n">
        <f aca="false">E26</f>
        <v>2.5</v>
      </c>
      <c r="C38" s="6" t="n">
        <f aca="false">Settings!C20</f>
        <v>15</v>
      </c>
      <c r="D38" s="7" t="n">
        <f aca="false">Settings!C21</f>
        <v>0.15</v>
      </c>
      <c r="E38" s="7" t="n">
        <f aca="false">B38*D38</f>
        <v>0.375</v>
      </c>
      <c r="F38" s="7" t="n">
        <f aca="false">LN(MAX(B38,0.5))</f>
        <v>0.916290731874155</v>
      </c>
      <c r="G38" s="7" t="n">
        <f aca="false">D38*F38</f>
        <v>0.137443609781123</v>
      </c>
    </row>
    <row r="39" customFormat="false" ht="15" hidden="false" customHeight="false" outlineLevel="0" collapsed="false">
      <c r="A39" s="0" t="s">
        <v>28</v>
      </c>
      <c r="B39" s="10" t="n">
        <f aca="false">E27</f>
        <v>8.64089208622892</v>
      </c>
      <c r="C39" s="6" t="n">
        <f aca="false">Settings!D20</f>
        <v>10</v>
      </c>
      <c r="D39" s="7" t="n">
        <f aca="false">Settings!D21</f>
        <v>0.1</v>
      </c>
      <c r="E39" s="7" t="n">
        <f aca="false">B39*D39</f>
        <v>0.864089208622892</v>
      </c>
      <c r="F39" s="7" t="n">
        <f aca="false">LN(MAX(B39,0.5))</f>
        <v>2.15650582820692</v>
      </c>
      <c r="G39" s="7" t="n">
        <f aca="false">D39*F39</f>
        <v>0.215650582820692</v>
      </c>
    </row>
    <row r="40" customFormat="false" ht="15" hidden="false" customHeight="false" outlineLevel="0" collapsed="false">
      <c r="A40" s="0" t="s">
        <v>29</v>
      </c>
      <c r="B40" s="10" t="n">
        <f aca="false">E28</f>
        <v>10</v>
      </c>
      <c r="C40" s="6" t="n">
        <f aca="false">Settings!E20</f>
        <v>15</v>
      </c>
      <c r="D40" s="7" t="n">
        <f aca="false">Settings!E21</f>
        <v>0.15</v>
      </c>
      <c r="E40" s="7" t="n">
        <f aca="false">B40*D40</f>
        <v>1.5</v>
      </c>
      <c r="F40" s="7" t="n">
        <f aca="false">LN(MAX(B40,0.5))</f>
        <v>2.30258509299405</v>
      </c>
      <c r="G40" s="7" t="n">
        <f aca="false">D40*F40</f>
        <v>0.345387763949107</v>
      </c>
    </row>
    <row r="41" customFormat="false" ht="15" hidden="false" customHeight="false" outlineLevel="0" collapsed="false">
      <c r="A41" s="0" t="s">
        <v>30</v>
      </c>
      <c r="B41" s="10" t="n">
        <f aca="false">E29</f>
        <v>10</v>
      </c>
      <c r="C41" s="6" t="n">
        <f aca="false">Settings!F20</f>
        <v>5</v>
      </c>
      <c r="D41" s="7" t="n">
        <f aca="false">Settings!F21</f>
        <v>0.05</v>
      </c>
      <c r="E41" s="7" t="n">
        <f aca="false">B41*D41</f>
        <v>0.5</v>
      </c>
      <c r="F41" s="7" t="n">
        <f aca="false">LN(MAX(B41,0.5))</f>
        <v>2.30258509299405</v>
      </c>
      <c r="G41" s="7" t="n">
        <f aca="false">D41*F41</f>
        <v>0.115129254649702</v>
      </c>
    </row>
    <row r="42" customFormat="false" ht="15" hidden="false" customHeight="false" outlineLevel="0" collapsed="false">
      <c r="A42" s="0" t="s">
        <v>31</v>
      </c>
      <c r="B42" s="10" t="n">
        <f aca="false">E30</f>
        <v>10</v>
      </c>
      <c r="C42" s="6" t="n">
        <f aca="false">Settings!G20</f>
        <v>10</v>
      </c>
      <c r="D42" s="7" t="n">
        <f aca="false">Settings!G21</f>
        <v>0.1</v>
      </c>
      <c r="E42" s="7" t="n">
        <f aca="false">B42*D42</f>
        <v>1</v>
      </c>
      <c r="F42" s="7" t="n">
        <f aca="false">LN(MAX(B42,0.5))</f>
        <v>2.30258509299405</v>
      </c>
      <c r="G42" s="7" t="n">
        <f aca="false">D42*F42</f>
        <v>0.230258509299405</v>
      </c>
    </row>
    <row r="43" customFormat="false" ht="15" hidden="false" customHeight="false" outlineLevel="0" collapsed="false">
      <c r="A43" s="0" t="s">
        <v>32</v>
      </c>
      <c r="B43" s="10" t="n">
        <f aca="false">E31</f>
        <v>6.66666666666667</v>
      </c>
      <c r="C43" s="6" t="n">
        <f aca="false">Settings!H20</f>
        <v>5</v>
      </c>
      <c r="D43" s="7" t="n">
        <f aca="false">Settings!H21</f>
        <v>0.05</v>
      </c>
      <c r="E43" s="7" t="n">
        <f aca="false">B43*D43</f>
        <v>0.333333333333333</v>
      </c>
      <c r="F43" s="7" t="n">
        <f aca="false">LN(MAX(B43,0.5))</f>
        <v>1.89711998488588</v>
      </c>
      <c r="G43" s="7" t="n">
        <f aca="false">D43*F43</f>
        <v>0.0948559992442941</v>
      </c>
    </row>
    <row r="44" customFormat="false" ht="15" hidden="false" customHeight="false" outlineLevel="0" collapsed="false">
      <c r="A44" s="0" t="s">
        <v>33</v>
      </c>
      <c r="B44" s="10" t="n">
        <f aca="false">E32</f>
        <v>8.33333333333333</v>
      </c>
      <c r="C44" s="6" t="n">
        <f aca="false">Settings!I20</f>
        <v>10</v>
      </c>
      <c r="D44" s="7" t="n">
        <f aca="false">Settings!I21</f>
        <v>0.1</v>
      </c>
      <c r="E44" s="7" t="n">
        <f aca="false">B44*D44</f>
        <v>0.833333333333334</v>
      </c>
      <c r="F44" s="7" t="n">
        <f aca="false">LN(MAX(B44,0.5))</f>
        <v>2.12026353620009</v>
      </c>
      <c r="G44" s="7" t="n">
        <f aca="false">D44*F44</f>
        <v>0.212026353620009</v>
      </c>
    </row>
    <row r="45" customFormat="false" ht="15" hidden="false" customHeight="false" outlineLevel="0" collapsed="false">
      <c r="A45" s="0" t="s">
        <v>34</v>
      </c>
      <c r="B45" s="10" t="n">
        <f aca="false">E33</f>
        <v>2.22222222222222</v>
      </c>
      <c r="C45" s="6" t="n">
        <f aca="false">Settings!J20</f>
        <v>5</v>
      </c>
      <c r="D45" s="7" t="n">
        <f aca="false">Settings!J21</f>
        <v>0.05</v>
      </c>
      <c r="E45" s="7" t="n">
        <f aca="false">B45*D45</f>
        <v>0.111111111111111</v>
      </c>
      <c r="F45" s="7" t="n">
        <f aca="false">LN(MAX(B45,0.5))</f>
        <v>0.798507696217772</v>
      </c>
      <c r="G45" s="7" t="n">
        <f aca="false">D45*F45</f>
        <v>0.0399253848108886</v>
      </c>
    </row>
    <row r="46" customFormat="false" ht="15" hidden="false" customHeight="false" outlineLevel="0" collapsed="false">
      <c r="A46" s="2" t="s">
        <v>235</v>
      </c>
      <c r="C46" s="6" t="n">
        <f aca="false">SUM(C37:C45)</f>
        <v>100</v>
      </c>
      <c r="D46" s="7" t="n">
        <f aca="false">SUM(D37:D45)</f>
        <v>1</v>
      </c>
      <c r="E46" s="7" t="n">
        <f aca="false">SUM(E37:E45)</f>
        <v>6.350200319734</v>
      </c>
      <c r="G46" s="7" t="n">
        <f aca="false">SUM(G37:G45)</f>
        <v>1.6916706592567</v>
      </c>
    </row>
    <row r="47" customFormat="false" ht="15" hidden="false" customHeight="false" outlineLevel="0" collapsed="false">
      <c r="A47" s="2" t="s">
        <v>236</v>
      </c>
      <c r="E47" s="18" t="n">
        <f aca="false">E46</f>
        <v>6.350200319734</v>
      </c>
    </row>
    <row r="48" customFormat="false" ht="15" hidden="false" customHeight="false" outlineLevel="0" collapsed="false">
      <c r="A48" s="2" t="s">
        <v>237</v>
      </c>
      <c r="E48" s="18" t="n">
        <f aca="false">EXP(G46)</f>
        <v>5.42854237811402</v>
      </c>
    </row>
    <row r="49" customFormat="false" ht="15" hidden="false" customHeight="false" outlineLevel="0" collapsed="false">
      <c r="A49" s="0" t="s">
        <v>238</v>
      </c>
      <c r="E49" s="0" t="str">
        <f aca="false">IF(ABS(E47-INDEX(Model!$AL$6:$AL$55,$B$3))&lt;0.000001,"matches","MISMATCH")</f>
        <v>matches</v>
      </c>
    </row>
    <row r="51" customFormat="false" ht="15" hidden="false" customHeight="false" outlineLevel="0" collapsed="false">
      <c r="A51" s="12" t="s">
        <v>239</v>
      </c>
      <c r="B51" s="13"/>
      <c r="C51" s="13"/>
      <c r="D51" s="13"/>
      <c r="E51" s="13"/>
      <c r="F51" s="13"/>
      <c r="G51" s="13"/>
      <c r="H51" s="13"/>
      <c r="I51" s="13"/>
      <c r="J51" s="13"/>
    </row>
    <row r="52" customFormat="false" ht="15" hidden="false" customHeight="false" outlineLevel="0" collapsed="false">
      <c r="A52" s="0" t="s">
        <v>240</v>
      </c>
      <c r="B52" s="0" t="n">
        <f aca="false">SUM(Model!S6:S55)</f>
        <v>48</v>
      </c>
    </row>
    <row r="53" customFormat="false" ht="15" hidden="false" customHeight="false" outlineLevel="0" collapsed="false">
      <c r="A53" s="0" t="s">
        <v>241</v>
      </c>
      <c r="B53" s="0" t="n">
        <f aca="false">CEILING(B52*Settings!B30,1)</f>
        <v>15</v>
      </c>
    </row>
    <row r="54" customFormat="false" ht="15" hidden="false" customHeight="false" outlineLevel="0" collapsed="false">
      <c r="A54" s="0" t="s">
        <v>242</v>
      </c>
      <c r="B54" s="0" t="n">
        <f aca="false">CEILING(B52*Settings!B31,1)</f>
        <v>34</v>
      </c>
    </row>
    <row r="55" customFormat="false" ht="15" hidden="false" customHeight="false" outlineLevel="0" collapsed="false">
      <c r="A55" s="0" t="s">
        <v>243</v>
      </c>
      <c r="B55" s="0" t="n">
        <f aca="false">COUNTIFS(Model!S6:S55,1,Model!AL6:AL55,"&gt;"&amp;INDEX(Model!$AL$6:$AL$55,$B$3))</f>
        <v>4</v>
      </c>
    </row>
    <row r="56" customFormat="false" ht="15" hidden="false" customHeight="false" outlineLevel="0" collapsed="false">
      <c r="A56" s="2" t="s">
        <v>244</v>
      </c>
      <c r="B56" s="14" t="n">
        <f aca="false">B55+1</f>
        <v>5</v>
      </c>
    </row>
    <row r="57" customFormat="false" ht="15" hidden="false" customHeight="false" outlineLevel="0" collapsed="false">
      <c r="A57" s="2" t="s">
        <v>80</v>
      </c>
      <c r="B57" s="14" t="str">
        <f aca="false">INDEX(Model!$AO$6:$AO$55,$B$3)</f>
        <v>A</v>
      </c>
    </row>
    <row r="59" customFormat="false" ht="15" hidden="false" customHeight="false" outlineLevel="0" collapsed="false">
      <c r="A59" s="12" t="s">
        <v>245</v>
      </c>
      <c r="B59" s="13"/>
      <c r="C59" s="13"/>
      <c r="D59" s="13"/>
      <c r="E59" s="13"/>
      <c r="F59" s="13"/>
      <c r="G59" s="13"/>
      <c r="H59" s="13"/>
      <c r="I59" s="13"/>
      <c r="J59" s="13"/>
    </row>
    <row r="60" customFormat="false" ht="15" hidden="false" customHeight="false" outlineLevel="0" collapsed="false">
      <c r="A60" s="0" t="s">
        <v>246</v>
      </c>
      <c r="B60" s="0" t="n">
        <f aca="false">IFERROR(INDEX(MonteCarlo!$D$5:$D$54,MATCH($B$2,MonteCarlo!$B$5:$B$54,0)),"n/a")</f>
        <v>99.8</v>
      </c>
    </row>
    <row r="61" customFormat="false" ht="15" hidden="false" customHeight="false" outlineLevel="0" collapsed="false">
      <c r="A61" s="0" t="s">
        <v>247</v>
      </c>
      <c r="B61" s="0" t="n">
        <f aca="false">IFERROR(INDEX(MonteCarlo!$E$5:$E$54,MATCH($B$2,MonteCarlo!$B$5:$B$54,0)),"n/a")</f>
        <v>76.1</v>
      </c>
    </row>
  </sheetData>
  <dataValidations count="1">
    <dataValidation allowBlank="false" errorStyle="stop" operator="between" showDropDown="false" showErrorMessage="false" showInputMessage="false" sqref="B2" type="list">
      <formula1>Model!$B$6:$B$55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6"/>
  </cols>
  <sheetData>
    <row r="1" customFormat="false" ht="16.15" hidden="false" customHeight="false" outlineLevel="0" collapsed="false">
      <c r="A1" s="3" t="s">
        <v>248</v>
      </c>
    </row>
    <row r="2" customFormat="false" ht="15" hidden="false" customHeight="false" outlineLevel="0" collapsed="false">
      <c r="A2" s="0" t="s">
        <v>249</v>
      </c>
    </row>
    <row r="4" customFormat="false" ht="15" hidden="false" customHeight="false" outlineLevel="0" collapsed="false">
      <c r="A4" s="4" t="s">
        <v>50</v>
      </c>
      <c r="B4" s="4" t="s">
        <v>51</v>
      </c>
      <c r="C4" s="4" t="s">
        <v>52</v>
      </c>
      <c r="D4" s="4" t="s">
        <v>250</v>
      </c>
      <c r="E4" s="4" t="s">
        <v>251</v>
      </c>
    </row>
    <row r="5" customFormat="false" ht="15" hidden="false" customHeight="false" outlineLevel="0" collapsed="false">
      <c r="A5" s="0" t="s">
        <v>81</v>
      </c>
      <c r="B5" s="0" t="s">
        <v>82</v>
      </c>
      <c r="C5" s="0" t="s">
        <v>83</v>
      </c>
      <c r="D5" s="0" t="n">
        <v>99.8</v>
      </c>
      <c r="E5" s="0" t="n">
        <v>70.7</v>
      </c>
    </row>
    <row r="6" customFormat="false" ht="15" hidden="false" customHeight="false" outlineLevel="0" collapsed="false">
      <c r="A6" s="0" t="s">
        <v>84</v>
      </c>
      <c r="B6" s="0" t="s">
        <v>85</v>
      </c>
      <c r="C6" s="0" t="s">
        <v>83</v>
      </c>
      <c r="D6" s="0" t="n">
        <v>99.3</v>
      </c>
      <c r="E6" s="0" t="n">
        <v>35.6</v>
      </c>
    </row>
    <row r="7" customFormat="false" ht="15" hidden="false" customHeight="false" outlineLevel="0" collapsed="false">
      <c r="A7" s="0" t="s">
        <v>86</v>
      </c>
      <c r="B7" s="0" t="s">
        <v>87</v>
      </c>
      <c r="C7" s="0" t="s">
        <v>83</v>
      </c>
      <c r="D7" s="0" t="n">
        <v>98.6</v>
      </c>
      <c r="E7" s="0" t="n">
        <v>21.6</v>
      </c>
    </row>
    <row r="8" customFormat="false" ht="15" hidden="false" customHeight="false" outlineLevel="0" collapsed="false">
      <c r="A8" s="0" t="s">
        <v>88</v>
      </c>
      <c r="B8" s="0" t="s">
        <v>89</v>
      </c>
      <c r="C8" s="0" t="s">
        <v>83</v>
      </c>
      <c r="D8" s="0" t="n">
        <v>2.3</v>
      </c>
      <c r="E8" s="0" t="n">
        <v>0</v>
      </c>
    </row>
    <row r="9" customFormat="false" ht="15" hidden="false" customHeight="false" outlineLevel="0" collapsed="false">
      <c r="A9" s="0" t="s">
        <v>90</v>
      </c>
      <c r="B9" s="0" t="s">
        <v>91</v>
      </c>
      <c r="C9" s="0" t="s">
        <v>92</v>
      </c>
      <c r="D9" s="0" t="n">
        <v>99.8</v>
      </c>
      <c r="E9" s="0" t="n">
        <v>0</v>
      </c>
    </row>
    <row r="10" customFormat="false" ht="15" hidden="false" customHeight="false" outlineLevel="0" collapsed="false">
      <c r="A10" s="0" t="s">
        <v>93</v>
      </c>
      <c r="B10" s="0" t="s">
        <v>16</v>
      </c>
      <c r="C10" s="0" t="s">
        <v>92</v>
      </c>
      <c r="D10" s="0" t="n">
        <v>60.1</v>
      </c>
      <c r="E10" s="0" t="n">
        <v>0</v>
      </c>
    </row>
    <row r="11" customFormat="false" ht="15" hidden="false" customHeight="false" outlineLevel="0" collapsed="false">
      <c r="A11" s="0" t="s">
        <v>94</v>
      </c>
      <c r="B11" s="0" t="s">
        <v>95</v>
      </c>
      <c r="C11" s="0" t="s">
        <v>92</v>
      </c>
      <c r="D11" s="0" t="n">
        <v>92.3</v>
      </c>
      <c r="E11" s="0" t="n">
        <v>0</v>
      </c>
    </row>
    <row r="12" customFormat="false" ht="15" hidden="false" customHeight="false" outlineLevel="0" collapsed="false">
      <c r="A12" s="0" t="s">
        <v>96</v>
      </c>
      <c r="B12" s="0" t="s">
        <v>97</v>
      </c>
      <c r="C12" s="0" t="s">
        <v>92</v>
      </c>
      <c r="D12" s="0" t="n">
        <v>47.8</v>
      </c>
      <c r="E12" s="0" t="n">
        <v>0</v>
      </c>
    </row>
    <row r="13" customFormat="false" ht="15" hidden="false" customHeight="false" outlineLevel="0" collapsed="false">
      <c r="A13" s="0" t="s">
        <v>98</v>
      </c>
      <c r="B13" s="0" t="s">
        <v>99</v>
      </c>
      <c r="C13" s="0" t="s">
        <v>100</v>
      </c>
      <c r="D13" s="0" t="n">
        <v>99.8</v>
      </c>
      <c r="E13" s="0" t="n">
        <v>76.1</v>
      </c>
    </row>
    <row r="14" customFormat="false" ht="15" hidden="false" customHeight="false" outlineLevel="0" collapsed="false">
      <c r="A14" s="0" t="s">
        <v>101</v>
      </c>
      <c r="B14" s="0" t="s">
        <v>102</v>
      </c>
      <c r="C14" s="0" t="s">
        <v>100</v>
      </c>
      <c r="D14" s="0" t="n">
        <v>96.7</v>
      </c>
      <c r="E14" s="0" t="n">
        <v>30.6</v>
      </c>
    </row>
    <row r="15" customFormat="false" ht="15" hidden="false" customHeight="false" outlineLevel="0" collapsed="false">
      <c r="A15" s="0" t="s">
        <v>103</v>
      </c>
      <c r="B15" s="0" t="s">
        <v>104</v>
      </c>
      <c r="C15" s="0" t="s">
        <v>100</v>
      </c>
      <c r="D15" s="0" t="n">
        <v>33.8</v>
      </c>
      <c r="E15" s="0" t="n">
        <v>1.4</v>
      </c>
    </row>
    <row r="16" customFormat="false" ht="15" hidden="false" customHeight="false" outlineLevel="0" collapsed="false">
      <c r="A16" s="0" t="s">
        <v>105</v>
      </c>
      <c r="B16" s="0" t="s">
        <v>106</v>
      </c>
      <c r="C16" s="0" t="s">
        <v>100</v>
      </c>
      <c r="D16" s="0" t="n">
        <v>69.7</v>
      </c>
      <c r="E16" s="0" t="n">
        <v>4.3</v>
      </c>
    </row>
    <row r="17" customFormat="false" ht="15" hidden="false" customHeight="false" outlineLevel="0" collapsed="false">
      <c r="A17" s="0" t="s">
        <v>107</v>
      </c>
      <c r="B17" s="0" t="s">
        <v>108</v>
      </c>
      <c r="C17" s="0" t="s">
        <v>109</v>
      </c>
      <c r="D17" s="0" t="n">
        <v>100</v>
      </c>
      <c r="E17" s="0" t="n">
        <v>100</v>
      </c>
    </row>
    <row r="18" customFormat="false" ht="15" hidden="false" customHeight="false" outlineLevel="0" collapsed="false">
      <c r="A18" s="0" t="s">
        <v>110</v>
      </c>
      <c r="B18" s="0" t="s">
        <v>111</v>
      </c>
      <c r="C18" s="0" t="s">
        <v>109</v>
      </c>
      <c r="D18" s="0" t="n">
        <v>100</v>
      </c>
      <c r="E18" s="0" t="n">
        <v>92.3</v>
      </c>
    </row>
    <row r="19" customFormat="false" ht="15" hidden="false" customHeight="false" outlineLevel="0" collapsed="false">
      <c r="A19" s="0" t="s">
        <v>112</v>
      </c>
      <c r="B19" s="0" t="s">
        <v>113</v>
      </c>
      <c r="C19" s="0" t="s">
        <v>109</v>
      </c>
      <c r="D19" s="0" t="n">
        <v>100</v>
      </c>
      <c r="E19" s="0" t="n">
        <v>62.1</v>
      </c>
    </row>
    <row r="20" customFormat="false" ht="15" hidden="false" customHeight="false" outlineLevel="0" collapsed="false">
      <c r="A20" s="0" t="s">
        <v>114</v>
      </c>
      <c r="B20" s="0" t="s">
        <v>115</v>
      </c>
      <c r="C20" s="0" t="s">
        <v>116</v>
      </c>
      <c r="D20" s="0" t="n">
        <v>98.9</v>
      </c>
      <c r="E20" s="0" t="n">
        <v>96.2</v>
      </c>
    </row>
    <row r="21" customFormat="false" ht="15" hidden="false" customHeight="false" outlineLevel="0" collapsed="false">
      <c r="A21" s="0" t="s">
        <v>117</v>
      </c>
      <c r="B21" s="0" t="s">
        <v>118</v>
      </c>
      <c r="C21" s="0" t="s">
        <v>116</v>
      </c>
      <c r="D21" s="0" t="n">
        <v>85</v>
      </c>
      <c r="E21" s="0" t="n">
        <v>65.1</v>
      </c>
    </row>
    <row r="22" customFormat="false" ht="15" hidden="false" customHeight="false" outlineLevel="0" collapsed="false">
      <c r="A22" s="0" t="s">
        <v>119</v>
      </c>
      <c r="B22" s="0" t="s">
        <v>120</v>
      </c>
      <c r="C22" s="0" t="s">
        <v>116</v>
      </c>
      <c r="D22" s="0" t="n">
        <v>62.3</v>
      </c>
      <c r="E22" s="0" t="n">
        <v>44.2</v>
      </c>
    </row>
    <row r="23" customFormat="false" ht="15" hidden="false" customHeight="false" outlineLevel="0" collapsed="false">
      <c r="A23" s="0" t="s">
        <v>121</v>
      </c>
      <c r="B23" s="0" t="s">
        <v>122</v>
      </c>
      <c r="C23" s="0" t="s">
        <v>116</v>
      </c>
      <c r="D23" s="0" t="n">
        <v>53.8</v>
      </c>
      <c r="E23" s="0" t="n">
        <v>32.9</v>
      </c>
    </row>
    <row r="24" customFormat="false" ht="15" hidden="false" customHeight="false" outlineLevel="0" collapsed="false">
      <c r="A24" s="0" t="s">
        <v>123</v>
      </c>
      <c r="B24" s="0" t="s">
        <v>124</v>
      </c>
      <c r="C24" s="0" t="s">
        <v>125</v>
      </c>
      <c r="D24" s="0" t="n">
        <v>100</v>
      </c>
      <c r="E24" s="0" t="n">
        <v>53.5</v>
      </c>
    </row>
    <row r="25" customFormat="false" ht="15" hidden="false" customHeight="false" outlineLevel="0" collapsed="false">
      <c r="A25" s="0" t="s">
        <v>126</v>
      </c>
      <c r="B25" s="0" t="s">
        <v>127</v>
      </c>
      <c r="C25" s="0" t="s">
        <v>125</v>
      </c>
      <c r="D25" s="0" t="n">
        <v>99.7</v>
      </c>
      <c r="E25" s="0" t="n">
        <v>1</v>
      </c>
    </row>
    <row r="26" customFormat="false" ht="15" hidden="false" customHeight="false" outlineLevel="0" collapsed="false">
      <c r="A26" s="0" t="s">
        <v>128</v>
      </c>
      <c r="B26" s="0" t="s">
        <v>129</v>
      </c>
      <c r="C26" s="0" t="s">
        <v>125</v>
      </c>
      <c r="D26" s="0" t="n">
        <v>99.9</v>
      </c>
      <c r="E26" s="0" t="n">
        <v>0.7</v>
      </c>
    </row>
    <row r="27" customFormat="false" ht="15" hidden="false" customHeight="false" outlineLevel="0" collapsed="false">
      <c r="A27" s="0" t="s">
        <v>130</v>
      </c>
      <c r="B27" s="0" t="s">
        <v>131</v>
      </c>
      <c r="C27" s="0" t="s">
        <v>125</v>
      </c>
      <c r="D27" s="0" t="n">
        <v>0.4</v>
      </c>
      <c r="E27" s="0" t="n">
        <v>0</v>
      </c>
    </row>
    <row r="28" customFormat="false" ht="15" hidden="false" customHeight="false" outlineLevel="0" collapsed="false">
      <c r="A28" s="0" t="s">
        <v>132</v>
      </c>
      <c r="B28" s="0" t="s">
        <v>133</v>
      </c>
      <c r="C28" s="0" t="s">
        <v>125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0" t="s">
        <v>134</v>
      </c>
      <c r="B29" s="0" t="s">
        <v>135</v>
      </c>
      <c r="C29" s="0" t="s">
        <v>136</v>
      </c>
      <c r="D29" s="0" t="n">
        <v>100</v>
      </c>
      <c r="E29" s="0" t="n">
        <v>0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s">
        <v>136</v>
      </c>
      <c r="D30" s="0" t="n">
        <v>100</v>
      </c>
      <c r="E30" s="0" t="n">
        <v>0</v>
      </c>
    </row>
    <row r="31" customFormat="false" ht="15" hidden="false" customHeight="false" outlineLevel="0" collapsed="false">
      <c r="A31" s="0" t="s">
        <v>139</v>
      </c>
      <c r="B31" s="0" t="s">
        <v>15</v>
      </c>
      <c r="C31" s="0" t="s">
        <v>15</v>
      </c>
      <c r="D31" s="0" t="n">
        <v>100</v>
      </c>
      <c r="E31" s="0" t="n">
        <v>0</v>
      </c>
    </row>
    <row r="32" customFormat="false" ht="15" hidden="false" customHeight="false" outlineLevel="0" collapsed="false">
      <c r="A32" s="0" t="s">
        <v>140</v>
      </c>
      <c r="B32" s="0" t="s">
        <v>141</v>
      </c>
      <c r="C32" s="0" t="s">
        <v>142</v>
      </c>
      <c r="D32" s="0" t="n">
        <v>100</v>
      </c>
      <c r="E32" s="0" t="n">
        <v>2.4</v>
      </c>
    </row>
    <row r="33" customFormat="false" ht="15" hidden="false" customHeight="false" outlineLevel="0" collapsed="false">
      <c r="A33" s="0" t="s">
        <v>143</v>
      </c>
      <c r="B33" s="0" t="s">
        <v>144</v>
      </c>
      <c r="C33" s="0" t="s">
        <v>142</v>
      </c>
      <c r="D33" s="0" t="n">
        <v>100</v>
      </c>
      <c r="E33" s="0" t="n">
        <v>0.2</v>
      </c>
    </row>
    <row r="34" customFormat="false" ht="15" hidden="false" customHeight="false" outlineLevel="0" collapsed="false">
      <c r="A34" s="0" t="s">
        <v>145</v>
      </c>
      <c r="B34" s="0" t="s">
        <v>146</v>
      </c>
      <c r="C34" s="0" t="s">
        <v>142</v>
      </c>
      <c r="D34" s="0" t="n">
        <v>77.8</v>
      </c>
      <c r="E34" s="0" t="n">
        <v>0</v>
      </c>
    </row>
    <row r="35" customFormat="false" ht="15" hidden="false" customHeight="false" outlineLevel="0" collapsed="false">
      <c r="A35" s="0" t="s">
        <v>147</v>
      </c>
      <c r="B35" s="0" t="s">
        <v>148</v>
      </c>
      <c r="C35" s="0" t="s">
        <v>142</v>
      </c>
      <c r="D35" s="0" t="n">
        <v>22.2</v>
      </c>
      <c r="E35" s="0" t="n">
        <v>0</v>
      </c>
    </row>
    <row r="36" customFormat="false" ht="15" hidden="false" customHeight="false" outlineLevel="0" collapsed="false">
      <c r="A36" s="0" t="s">
        <v>149</v>
      </c>
      <c r="B36" s="0" t="s">
        <v>150</v>
      </c>
      <c r="C36" s="0" t="s">
        <v>151</v>
      </c>
      <c r="D36" s="0" t="n">
        <v>100</v>
      </c>
      <c r="E36" s="0" t="n">
        <v>0</v>
      </c>
    </row>
    <row r="37" customFormat="false" ht="15" hidden="false" customHeight="false" outlineLevel="0" collapsed="false">
      <c r="A37" s="0" t="s">
        <v>152</v>
      </c>
      <c r="B37" s="0" t="s">
        <v>153</v>
      </c>
      <c r="C37" s="0" t="s">
        <v>151</v>
      </c>
      <c r="D37" s="0" t="n">
        <v>100</v>
      </c>
      <c r="E37" s="0" t="n">
        <v>0</v>
      </c>
    </row>
    <row r="38" customFormat="false" ht="15" hidden="false" customHeight="false" outlineLevel="0" collapsed="false">
      <c r="A38" s="0" t="s">
        <v>154</v>
      </c>
      <c r="B38" s="0" t="s">
        <v>155</v>
      </c>
      <c r="C38" s="0" t="s">
        <v>151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s">
        <v>158</v>
      </c>
      <c r="D39" s="0" t="n">
        <v>100</v>
      </c>
      <c r="E39" s="0" t="n">
        <v>40.3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s">
        <v>158</v>
      </c>
      <c r="D40" s="0" t="n">
        <v>100</v>
      </c>
      <c r="E40" s="0" t="n">
        <v>3.4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s">
        <v>163</v>
      </c>
      <c r="D41" s="0" t="n">
        <v>100</v>
      </c>
      <c r="E41" s="0" t="n">
        <v>68.4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s">
        <v>163</v>
      </c>
      <c r="D42" s="0" t="n">
        <v>100</v>
      </c>
      <c r="E42" s="0" t="n">
        <v>33.3</v>
      </c>
    </row>
    <row r="43" customFormat="false" ht="15" hidden="false" customHeight="false" outlineLevel="0" collapsed="false">
      <c r="A43" s="0" t="s">
        <v>166</v>
      </c>
      <c r="B43" s="0" t="s">
        <v>167</v>
      </c>
      <c r="C43" s="0" t="s">
        <v>168</v>
      </c>
      <c r="D43" s="0" t="n">
        <v>100</v>
      </c>
      <c r="E43" s="0" t="n">
        <v>0</v>
      </c>
    </row>
    <row r="44" customFormat="false" ht="15" hidden="false" customHeight="false" outlineLevel="0" collapsed="false">
      <c r="A44" s="0" t="s">
        <v>169</v>
      </c>
      <c r="B44" s="0" t="s">
        <v>170</v>
      </c>
      <c r="C44" s="0" t="s">
        <v>168</v>
      </c>
      <c r="D44" s="0" t="n">
        <v>100</v>
      </c>
      <c r="E44" s="0" t="n">
        <v>0</v>
      </c>
    </row>
    <row r="45" customFormat="false" ht="15" hidden="false" customHeight="false" outlineLevel="0" collapsed="false">
      <c r="A45" s="0" t="s">
        <v>171</v>
      </c>
      <c r="B45" s="0" t="s">
        <v>172</v>
      </c>
      <c r="C45" s="0" t="s">
        <v>173</v>
      </c>
      <c r="D45" s="0" t="n">
        <v>100</v>
      </c>
      <c r="E45" s="0" t="n">
        <v>0</v>
      </c>
    </row>
    <row r="46" customFormat="false" ht="15" hidden="false" customHeight="false" outlineLevel="0" collapsed="false">
      <c r="A46" s="0" t="s">
        <v>174</v>
      </c>
      <c r="B46" s="0" t="s">
        <v>175</v>
      </c>
      <c r="C46" s="0" t="s">
        <v>173</v>
      </c>
      <c r="D46" s="0" t="n">
        <v>100</v>
      </c>
      <c r="E46" s="0" t="n">
        <v>0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s">
        <v>178</v>
      </c>
      <c r="D47" s="0" t="n">
        <v>100</v>
      </c>
      <c r="E47" s="0" t="n">
        <v>63.7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s">
        <v>181</v>
      </c>
      <c r="D48" s="0" t="n">
        <v>100</v>
      </c>
      <c r="E48" s="0" t="n">
        <v>0</v>
      </c>
    </row>
    <row r="49" customFormat="false" ht="15" hidden="false" customHeight="false" outlineLevel="0" collapsed="false">
      <c r="A49" s="0" t="s">
        <v>182</v>
      </c>
      <c r="B49" s="0" t="s">
        <v>183</v>
      </c>
      <c r="C49" s="0" t="s">
        <v>184</v>
      </c>
      <c r="D49" s="0" t="n">
        <v>100</v>
      </c>
      <c r="E49" s="0" t="n">
        <v>0</v>
      </c>
    </row>
    <row r="50" customFormat="false" ht="15" hidden="false" customHeight="false" outlineLevel="0" collapsed="false">
      <c r="A50" s="0" t="s">
        <v>185</v>
      </c>
      <c r="B50" s="0" t="s">
        <v>186</v>
      </c>
      <c r="C50" s="0" t="s">
        <v>187</v>
      </c>
      <c r="D50" s="0" t="n">
        <v>100</v>
      </c>
      <c r="E50" s="0" t="n">
        <v>0</v>
      </c>
    </row>
    <row r="51" customFormat="false" ht="15" hidden="false" customHeight="false" outlineLevel="0" collapsed="false">
      <c r="A51" s="0" t="s">
        <v>188</v>
      </c>
      <c r="B51" s="0" t="s">
        <v>189</v>
      </c>
      <c r="C51" s="0" t="s">
        <v>190</v>
      </c>
      <c r="D51" s="0" t="n">
        <v>100</v>
      </c>
      <c r="E51" s="0" t="n">
        <v>0</v>
      </c>
    </row>
    <row r="52" customFormat="false" ht="15" hidden="false" customHeight="false" outlineLevel="0" collapsed="false">
      <c r="A52" s="0" t="s">
        <v>191</v>
      </c>
      <c r="B52" s="0" t="s">
        <v>192</v>
      </c>
      <c r="C52" s="0" t="s">
        <v>193</v>
      </c>
      <c r="D52" s="0" t="n">
        <v>100</v>
      </c>
      <c r="E52" s="0" t="n">
        <v>0</v>
      </c>
    </row>
    <row r="53" customFormat="false" ht="15" hidden="false" customHeight="false" outlineLevel="0" collapsed="false">
      <c r="A53" s="0" t="s">
        <v>194</v>
      </c>
      <c r="B53" s="0" t="s">
        <v>195</v>
      </c>
      <c r="C53" s="0" t="s">
        <v>196</v>
      </c>
      <c r="D53" s="0" t="n">
        <v>100</v>
      </c>
      <c r="E53" s="0" t="n">
        <v>0</v>
      </c>
    </row>
    <row r="54" customFormat="false" ht="15" hidden="false" customHeight="false" outlineLevel="0" collapsed="false">
      <c r="A54" s="0" t="s">
        <v>197</v>
      </c>
      <c r="B54" s="0" t="s">
        <v>198</v>
      </c>
      <c r="C54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2026-10-08T03:17:41Z</dcterms:created>
  <dc:creator>openpyxl</dc:creator>
  <dc:description/>
  <dc:language>en-US</dc:language>
  <cp:lastModifiedBy/>
  <dcterms:modified xsi:type="dcterms:W3CDTF">2026-10-08T03:17:41Z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